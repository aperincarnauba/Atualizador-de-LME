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ml.chartshape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omments6.xml" ContentType="application/vnd.openxmlformats-officedocument.spreadsheetml.comment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4.xml" ContentType="application/vnd.openxmlformats-officedocument.drawing+xml"/>
  <Override PartName="/xl/comments7.xml" ContentType="application/vnd.openxmlformats-officedocument.spreadsheetml.comments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5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6.xml" ContentType="application/vnd.openxmlformats-officedocument.drawing+xml"/>
  <Override PartName="/xl/comments8.xml" ContentType="application/vnd.openxmlformats-officedocument.spreadsheetml.comments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8.xml" ContentType="application/vnd.openxmlformats-officedocument.drawing+xml"/>
  <Override PartName="/xl/charts/chart3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MATERIA PRIMA\LME\Metais (cobre, zinco, Niquel)\Ano 2026\"/>
    </mc:Choice>
  </mc:AlternateContent>
  <xr:revisionPtr revIDLastSave="0" documentId="8_{A97F3270-D88F-42D9-8A6A-4F04C5FF25F9}" xr6:coauthVersionLast="47" xr6:coauthVersionMax="47" xr10:uidLastSave="{00000000-0000-0000-0000-000000000000}"/>
  <bookViews>
    <workbookView xWindow="-110" yWindow="-110" windowWidth="19420" windowHeight="10560" tabRatio="789" firstSheet="4" activeTab="20" xr2:uid="{00000000-000D-0000-FFFF-FFFF00000000}"/>
  </bookViews>
  <sheets>
    <sheet name="2013" sheetId="1" state="hidden" r:id="rId1"/>
    <sheet name="2014" sheetId="2" state="hidden" r:id="rId2"/>
    <sheet name="2015" sheetId="4" state="hidden" r:id="rId3"/>
    <sheet name="2016" sheetId="8" state="hidden" r:id="rId4"/>
    <sheet name="2017" sheetId="14" r:id="rId5"/>
    <sheet name="Cotação Média LME" sheetId="6" state="hidden" r:id="rId6"/>
    <sheet name="Dolar Medio" sheetId="5" state="hidden" r:id="rId7"/>
    <sheet name="LME Média" sheetId="3" state="hidden" r:id="rId8"/>
    <sheet name="Cotação Dolar" sheetId="7" state="hidden" r:id="rId9"/>
    <sheet name="2018" sheetId="16" r:id="rId10"/>
    <sheet name="2019" sheetId="21" r:id="rId11"/>
    <sheet name="Planilha3" sheetId="22" state="hidden" r:id="rId12"/>
    <sheet name="2020" sheetId="23" r:id="rId13"/>
    <sheet name="Planilha2" sheetId="20" state="hidden" r:id="rId14"/>
    <sheet name="2022" sheetId="26" r:id="rId15"/>
    <sheet name="2021" sheetId="24" r:id="rId16"/>
    <sheet name="2023" sheetId="27" r:id="rId17"/>
    <sheet name="2024" sheetId="28" r:id="rId18"/>
    <sheet name="2025" sheetId="30" r:id="rId19"/>
    <sheet name="2026" sheetId="31" r:id="rId20"/>
    <sheet name="Impacto liga LME" sheetId="9" r:id="rId21"/>
    <sheet name="Impacto tabela TM" sheetId="25" r:id="rId22"/>
    <sheet name="Planilha1" sheetId="29" r:id="rId23"/>
    <sheet name="Plan1" sheetId="10" state="hidden" r:id="rId24"/>
    <sheet name="Plan2" sheetId="11" state="hidden" r:id="rId25"/>
  </sheets>
  <externalReferences>
    <externalReference r:id="rId26"/>
    <externalReference r:id="rId27"/>
    <externalReference r:id="rId28"/>
  </externalReferences>
  <definedNames>
    <definedName name="_xlnm._FilterDatabase" localSheetId="20" hidden="1">'Impacto liga LME'!$A$2:$BF$120</definedName>
    <definedName name="_xlnm.Print_Area" localSheetId="5">'Cotação Média LME'!$A$1:$N$38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" i="27" l="1"/>
  <c r="BD118" i="9"/>
  <c r="BD117" i="9"/>
  <c r="AH118" i="9"/>
  <c r="AH117" i="9"/>
  <c r="AB118" i="9"/>
  <c r="V118" i="9"/>
  <c r="A30" i="31"/>
  <c r="K118" i="9" s="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4" i="31"/>
  <c r="M68" i="31"/>
  <c r="K68" i="31"/>
  <c r="I68" i="31"/>
  <c r="G68" i="31"/>
  <c r="E68" i="31"/>
  <c r="C68" i="31"/>
  <c r="A68" i="31"/>
  <c r="T65" i="31"/>
  <c r="S65" i="31"/>
  <c r="R65" i="31"/>
  <c r="Q65" i="31"/>
  <c r="P65" i="31"/>
  <c r="O65" i="31"/>
  <c r="T64" i="31"/>
  <c r="S64" i="31"/>
  <c r="R64" i="31"/>
  <c r="Q64" i="31"/>
  <c r="P64" i="31"/>
  <c r="O64" i="31"/>
  <c r="T62" i="31"/>
  <c r="S62" i="31"/>
  <c r="R62" i="31"/>
  <c r="Q62" i="31"/>
  <c r="P62" i="31"/>
  <c r="O62" i="31"/>
  <c r="T61" i="31"/>
  <c r="S61" i="31"/>
  <c r="R61" i="31"/>
  <c r="Q61" i="31"/>
  <c r="P61" i="31"/>
  <c r="O61" i="31"/>
  <c r="T60" i="31"/>
  <c r="S60" i="31"/>
  <c r="R60" i="31"/>
  <c r="Q60" i="31"/>
  <c r="P60" i="31"/>
  <c r="O60" i="31"/>
  <c r="T59" i="31"/>
  <c r="S59" i="31"/>
  <c r="R59" i="31"/>
  <c r="Q59" i="31"/>
  <c r="P59" i="31"/>
  <c r="O59" i="31"/>
  <c r="T58" i="31"/>
  <c r="S58" i="31"/>
  <c r="R58" i="31"/>
  <c r="Q58" i="31"/>
  <c r="P58" i="31"/>
  <c r="O58" i="31"/>
  <c r="T57" i="31"/>
  <c r="S57" i="31"/>
  <c r="R57" i="31"/>
  <c r="Q57" i="31"/>
  <c r="P57" i="31"/>
  <c r="O57" i="31"/>
  <c r="T56" i="31"/>
  <c r="S56" i="31"/>
  <c r="R56" i="31"/>
  <c r="Q56" i="31"/>
  <c r="P56" i="31"/>
  <c r="O56" i="31"/>
  <c r="T55" i="31"/>
  <c r="S55" i="31"/>
  <c r="R55" i="31"/>
  <c r="Q55" i="31"/>
  <c r="P55" i="31"/>
  <c r="O55" i="31"/>
  <c r="T54" i="31"/>
  <c r="S54" i="31"/>
  <c r="R54" i="31"/>
  <c r="Q54" i="31"/>
  <c r="P54" i="31"/>
  <c r="O54" i="31"/>
  <c r="T53" i="31"/>
  <c r="S53" i="31"/>
  <c r="R53" i="31"/>
  <c r="Q53" i="31"/>
  <c r="P53" i="31"/>
  <c r="O53" i="31"/>
  <c r="T52" i="31"/>
  <c r="S52" i="31"/>
  <c r="R52" i="31"/>
  <c r="Q52" i="31"/>
  <c r="P52" i="31"/>
  <c r="O52" i="31"/>
  <c r="T51" i="31"/>
  <c r="S51" i="31"/>
  <c r="R51" i="31"/>
  <c r="Q51" i="31"/>
  <c r="P51" i="31"/>
  <c r="O51" i="31"/>
  <c r="T50" i="31"/>
  <c r="S50" i="31"/>
  <c r="R50" i="31"/>
  <c r="Q50" i="31"/>
  <c r="P50" i="31"/>
  <c r="O50" i="31"/>
  <c r="T49" i="31"/>
  <c r="S49" i="31"/>
  <c r="R49" i="31"/>
  <c r="Q49" i="31"/>
  <c r="P49" i="31"/>
  <c r="O49" i="31"/>
  <c r="T48" i="31"/>
  <c r="S48" i="31"/>
  <c r="R48" i="31"/>
  <c r="Q48" i="31"/>
  <c r="P48" i="31"/>
  <c r="O48" i="31"/>
  <c r="T47" i="31"/>
  <c r="S47" i="31"/>
  <c r="R47" i="31"/>
  <c r="Q47" i="31"/>
  <c r="P47" i="31"/>
  <c r="O47" i="31"/>
  <c r="T46" i="31"/>
  <c r="S46" i="31"/>
  <c r="R46" i="31"/>
  <c r="Q46" i="31"/>
  <c r="P46" i="31"/>
  <c r="O46" i="31"/>
  <c r="T45" i="31"/>
  <c r="S45" i="31"/>
  <c r="R45" i="31"/>
  <c r="Q45" i="31"/>
  <c r="P45" i="31"/>
  <c r="O45" i="31"/>
  <c r="T44" i="31"/>
  <c r="S44" i="31"/>
  <c r="R44" i="31"/>
  <c r="Q44" i="31"/>
  <c r="P44" i="31"/>
  <c r="O44" i="31"/>
  <c r="T43" i="31"/>
  <c r="S43" i="31"/>
  <c r="R43" i="31"/>
  <c r="Q43" i="31"/>
  <c r="P43" i="31"/>
  <c r="O43" i="31"/>
  <c r="T42" i="31"/>
  <c r="S42" i="31"/>
  <c r="R42" i="31"/>
  <c r="Q42" i="31"/>
  <c r="P42" i="31"/>
  <c r="O42" i="31"/>
  <c r="T41" i="31"/>
  <c r="S41" i="31"/>
  <c r="R41" i="31"/>
  <c r="Q41" i="31"/>
  <c r="P41" i="31"/>
  <c r="O41" i="31"/>
  <c r="J65" i="31"/>
  <c r="H65" i="31"/>
  <c r="F65" i="31"/>
  <c r="D65" i="31"/>
  <c r="B65" i="31"/>
  <c r="K30" i="31"/>
  <c r="I30" i="31"/>
  <c r="G30" i="31"/>
  <c r="E30" i="31"/>
  <c r="C30" i="31"/>
  <c r="AB117" i="9"/>
  <c r="BD116" i="9"/>
  <c r="AV119" i="9"/>
  <c r="V117" i="9"/>
  <c r="K69" i="30"/>
  <c r="K117" i="9" s="1"/>
  <c r="L43" i="30"/>
  <c r="L44" i="30"/>
  <c r="L45" i="30"/>
  <c r="L46" i="30"/>
  <c r="L47" i="30"/>
  <c r="L48" i="30"/>
  <c r="L49" i="30"/>
  <c r="L50" i="30"/>
  <c r="L51" i="30"/>
  <c r="L52" i="30"/>
  <c r="L53" i="30"/>
  <c r="L54" i="30"/>
  <c r="L55" i="30"/>
  <c r="L56" i="30"/>
  <c r="L57" i="30"/>
  <c r="L58" i="30"/>
  <c r="L59" i="30"/>
  <c r="L60" i="30"/>
  <c r="L61" i="30"/>
  <c r="L62" i="30"/>
  <c r="L63" i="30"/>
  <c r="L42" i="30"/>
  <c r="B9" i="25"/>
  <c r="V116" i="9"/>
  <c r="AH116" i="9"/>
  <c r="AB116" i="9"/>
  <c r="I69" i="30"/>
  <c r="J43" i="30"/>
  <c r="J44" i="30"/>
  <c r="J45" i="30"/>
  <c r="J46" i="30"/>
  <c r="J47" i="30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J61" i="30"/>
  <c r="J42" i="30"/>
  <c r="BD115" i="9"/>
  <c r="AH115" i="9"/>
  <c r="AB115" i="9"/>
  <c r="V115" i="9"/>
  <c r="G69" i="30"/>
  <c r="K115" i="9" s="1"/>
  <c r="C3" i="25" s="1"/>
  <c r="D3" i="25" s="1"/>
  <c r="H64" i="30"/>
  <c r="H43" i="30"/>
  <c r="H44" i="30"/>
  <c r="H45" i="30"/>
  <c r="H46" i="30"/>
  <c r="H47" i="30"/>
  <c r="H48" i="30"/>
  <c r="H49" i="30"/>
  <c r="H50" i="30"/>
  <c r="H51" i="30"/>
  <c r="H52" i="30"/>
  <c r="H53" i="30"/>
  <c r="H54" i="30"/>
  <c r="H55" i="30"/>
  <c r="H56" i="30"/>
  <c r="H57" i="30"/>
  <c r="H58" i="30"/>
  <c r="H59" i="30"/>
  <c r="H60" i="30"/>
  <c r="H61" i="30"/>
  <c r="H62" i="30"/>
  <c r="H63" i="30"/>
  <c r="H42" i="30"/>
  <c r="BD114" i="9"/>
  <c r="AH114" i="9"/>
  <c r="AB114" i="9"/>
  <c r="V114" i="9"/>
  <c r="E69" i="30"/>
  <c r="F43" i="30"/>
  <c r="F44" i="30"/>
  <c r="F45" i="30"/>
  <c r="F46" i="30"/>
  <c r="F47" i="30"/>
  <c r="F48" i="30"/>
  <c r="F49" i="30"/>
  <c r="F50" i="30"/>
  <c r="F51" i="30"/>
  <c r="F52" i="30"/>
  <c r="F53" i="30"/>
  <c r="F54" i="30"/>
  <c r="F55" i="30"/>
  <c r="F56" i="30"/>
  <c r="F57" i="30"/>
  <c r="F58" i="30"/>
  <c r="F59" i="30"/>
  <c r="F60" i="30"/>
  <c r="F61" i="30"/>
  <c r="F62" i="30"/>
  <c r="F63" i="30"/>
  <c r="F42" i="30"/>
  <c r="BE118" i="9" l="1"/>
  <c r="B28" i="31"/>
  <c r="C27" i="31" s="1"/>
  <c r="J67" i="31"/>
  <c r="BE116" i="9"/>
  <c r="AJ118" i="9"/>
  <c r="AI118" i="9"/>
  <c r="AC118" i="9"/>
  <c r="AD118" i="9"/>
  <c r="X118" i="9"/>
  <c r="W118" i="9"/>
  <c r="P118" i="9"/>
  <c r="L118" i="9"/>
  <c r="F28" i="31"/>
  <c r="H28" i="31"/>
  <c r="D28" i="31"/>
  <c r="L28" i="31"/>
  <c r="J28" i="31"/>
  <c r="L65" i="31"/>
  <c r="L67" i="31"/>
  <c r="K64" i="31"/>
  <c r="H67" i="31"/>
  <c r="G64" i="31"/>
  <c r="F67" i="31"/>
  <c r="E64" i="31"/>
  <c r="D67" i="31"/>
  <c r="C64" i="31"/>
  <c r="B67" i="31"/>
  <c r="A64" i="31"/>
  <c r="H29" i="31"/>
  <c r="G27" i="31"/>
  <c r="E27" i="31"/>
  <c r="F29" i="31"/>
  <c r="D29" i="31"/>
  <c r="B29" i="31"/>
  <c r="L29" i="31"/>
  <c r="K27" i="31"/>
  <c r="I27" i="31"/>
  <c r="J29" i="31"/>
  <c r="BE117" i="9"/>
  <c r="AI117" i="9"/>
  <c r="AJ117" i="9"/>
  <c r="X117" i="9"/>
  <c r="W117" i="9"/>
  <c r="AD117" i="9"/>
  <c r="AC117" i="9"/>
  <c r="J66" i="30"/>
  <c r="AC116" i="9"/>
  <c r="AI116" i="9"/>
  <c r="W116" i="9"/>
  <c r="K116" i="9"/>
  <c r="L117" i="9" s="1"/>
  <c r="W115" i="9"/>
  <c r="AC115" i="9"/>
  <c r="H66" i="30"/>
  <c r="P115" i="9" s="1"/>
  <c r="R115" i="9" s="1"/>
  <c r="X115" i="9"/>
  <c r="AD115" i="9"/>
  <c r="AJ115" i="9"/>
  <c r="BE115" i="9"/>
  <c r="AI115" i="9"/>
  <c r="F66" i="30"/>
  <c r="P114" i="9" s="1"/>
  <c r="K114" i="9"/>
  <c r="V113" i="9"/>
  <c r="W114" i="9" s="1"/>
  <c r="BD113" i="9"/>
  <c r="BE114" i="9" s="1"/>
  <c r="AH113" i="9"/>
  <c r="AI114" i="9" s="1"/>
  <c r="AB113" i="9"/>
  <c r="AC114" i="9" s="1"/>
  <c r="AB112" i="9"/>
  <c r="C69" i="30"/>
  <c r="K113" i="9" s="1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42" i="30"/>
  <c r="BD112" i="9"/>
  <c r="AN112" i="9"/>
  <c r="AH112" i="9"/>
  <c r="V112" i="9"/>
  <c r="A69" i="30"/>
  <c r="K112" i="9" s="1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42" i="30"/>
  <c r="BD111" i="9"/>
  <c r="BD110" i="9"/>
  <c r="AN111" i="9"/>
  <c r="AN110" i="9"/>
  <c r="AH111" i="9"/>
  <c r="AB111" i="9"/>
  <c r="V111" i="9"/>
  <c r="AH110" i="9"/>
  <c r="AB110" i="9"/>
  <c r="V110" i="9"/>
  <c r="I31" i="30"/>
  <c r="K110" i="9" s="1"/>
  <c r="K31" i="30"/>
  <c r="K111" i="9" s="1"/>
  <c r="L5" i="30"/>
  <c r="L6" i="30"/>
  <c r="L7" i="30"/>
  <c r="L8" i="30"/>
  <c r="L9" i="30"/>
  <c r="L10" i="30"/>
  <c r="L11" i="30"/>
  <c r="L12" i="30"/>
  <c r="L13" i="30"/>
  <c r="L14" i="30"/>
  <c r="L15" i="30"/>
  <c r="L16" i="30"/>
  <c r="L17" i="30"/>
  <c r="L18" i="30"/>
  <c r="L19" i="30"/>
  <c r="L20" i="30"/>
  <c r="L21" i="30"/>
  <c r="L22" i="30"/>
  <c r="L23" i="30"/>
  <c r="L24" i="30"/>
  <c r="L4" i="30"/>
  <c r="J5" i="30"/>
  <c r="J6" i="30"/>
  <c r="J7" i="30"/>
  <c r="J8" i="30"/>
  <c r="J9" i="30"/>
  <c r="J10" i="30"/>
  <c r="J11" i="30"/>
  <c r="J12" i="30"/>
  <c r="J13" i="30"/>
  <c r="J14" i="30"/>
  <c r="J15" i="30"/>
  <c r="J16" i="30"/>
  <c r="J17" i="30"/>
  <c r="J18" i="30"/>
  <c r="J19" i="30"/>
  <c r="J20" i="30"/>
  <c r="J21" i="30"/>
  <c r="J22" i="30"/>
  <c r="J23" i="30"/>
  <c r="J24" i="30"/>
  <c r="J25" i="30"/>
  <c r="V109" i="9"/>
  <c r="E31" i="30"/>
  <c r="J4" i="30"/>
  <c r="H20" i="30"/>
  <c r="H21" i="30"/>
  <c r="H22" i="30"/>
  <c r="H23" i="30"/>
  <c r="H16" i="30"/>
  <c r="H17" i="30"/>
  <c r="H18" i="30"/>
  <c r="H19" i="30"/>
  <c r="BD109" i="9"/>
  <c r="AN109" i="9"/>
  <c r="AH109" i="9"/>
  <c r="AB109" i="9"/>
  <c r="G31" i="30"/>
  <c r="K109" i="9" s="1"/>
  <c r="L68" i="31" l="1"/>
  <c r="R118" i="9"/>
  <c r="B118" i="9"/>
  <c r="AK118" i="9"/>
  <c r="Y118" i="9"/>
  <c r="J30" i="31"/>
  <c r="AE118" i="9"/>
  <c r="J68" i="30"/>
  <c r="P116" i="9"/>
  <c r="B116" i="9" s="1"/>
  <c r="H30" i="31"/>
  <c r="F30" i="31"/>
  <c r="F68" i="31"/>
  <c r="D30" i="31"/>
  <c r="J68" i="31"/>
  <c r="H68" i="31"/>
  <c r="B68" i="31"/>
  <c r="L30" i="31"/>
  <c r="D68" i="31"/>
  <c r="AT115" i="9"/>
  <c r="G3" i="25"/>
  <c r="L116" i="9"/>
  <c r="AJ116" i="9"/>
  <c r="AD116" i="9"/>
  <c r="X116" i="9"/>
  <c r="B115" i="9"/>
  <c r="H68" i="30"/>
  <c r="Q115" i="9"/>
  <c r="B114" i="9"/>
  <c r="F68" i="30"/>
  <c r="L115" i="9"/>
  <c r="AJ112" i="9"/>
  <c r="AD114" i="9"/>
  <c r="AE115" i="9" s="1"/>
  <c r="AJ114" i="9"/>
  <c r="AK115" i="9" s="1"/>
  <c r="R114" i="9"/>
  <c r="S115" i="9" s="1"/>
  <c r="L114" i="9"/>
  <c r="L113" i="9"/>
  <c r="X114" i="9"/>
  <c r="Y115" i="9" s="1"/>
  <c r="AC113" i="9"/>
  <c r="D66" i="30"/>
  <c r="AJ113" i="9"/>
  <c r="BE113" i="9"/>
  <c r="BE112" i="9"/>
  <c r="B66" i="30"/>
  <c r="P112" i="9" s="1"/>
  <c r="B112" i="9" s="1"/>
  <c r="W113" i="9"/>
  <c r="AD113" i="9"/>
  <c r="X113" i="9"/>
  <c r="AI113" i="9"/>
  <c r="AD112" i="9"/>
  <c r="W112" i="9"/>
  <c r="AC112" i="9"/>
  <c r="X112" i="9"/>
  <c r="L112" i="9"/>
  <c r="AI112" i="9"/>
  <c r="BE111" i="9"/>
  <c r="AO111" i="9"/>
  <c r="AI111" i="9"/>
  <c r="L29" i="30"/>
  <c r="P111" i="9" s="1"/>
  <c r="AC111" i="9"/>
  <c r="AD111" i="9"/>
  <c r="AJ111" i="9"/>
  <c r="L111" i="9"/>
  <c r="J29" i="30"/>
  <c r="P110" i="9" s="1"/>
  <c r="B110" i="9" s="1"/>
  <c r="AP111" i="9"/>
  <c r="W111" i="9"/>
  <c r="X111" i="9"/>
  <c r="BE110" i="9"/>
  <c r="AI110" i="9"/>
  <c r="L110" i="9"/>
  <c r="W110" i="9"/>
  <c r="AP110" i="9"/>
  <c r="AC110" i="9"/>
  <c r="AD110" i="9"/>
  <c r="AO110" i="9"/>
  <c r="X110" i="9"/>
  <c r="AJ110" i="9"/>
  <c r="X109" i="9"/>
  <c r="AD109" i="9"/>
  <c r="AJ109" i="9"/>
  <c r="AP109" i="9"/>
  <c r="H13" i="30"/>
  <c r="H14" i="30"/>
  <c r="H15" i="30"/>
  <c r="H5" i="30"/>
  <c r="H6" i="30"/>
  <c r="H7" i="30"/>
  <c r="H8" i="30"/>
  <c r="H9" i="30"/>
  <c r="H10" i="30"/>
  <c r="H11" i="30"/>
  <c r="H12" i="30"/>
  <c r="H4" i="30"/>
  <c r="J69" i="30" l="1"/>
  <c r="AT118" i="9"/>
  <c r="R116" i="9"/>
  <c r="Q116" i="9"/>
  <c r="C116" i="9"/>
  <c r="AK116" i="9"/>
  <c r="AK117" i="9"/>
  <c r="AE116" i="9"/>
  <c r="AE117" i="9"/>
  <c r="Y116" i="9"/>
  <c r="Y117" i="9"/>
  <c r="C115" i="9"/>
  <c r="G115" i="9" s="1"/>
  <c r="H69" i="30"/>
  <c r="AK113" i="9"/>
  <c r="AK112" i="9"/>
  <c r="AE114" i="9"/>
  <c r="D68" i="30"/>
  <c r="E65" i="30"/>
  <c r="AK114" i="9"/>
  <c r="Y114" i="9"/>
  <c r="AT114" i="9"/>
  <c r="AU115" i="9" s="1"/>
  <c r="C65" i="30"/>
  <c r="P113" i="9"/>
  <c r="B68" i="30"/>
  <c r="AE112" i="9"/>
  <c r="R112" i="9"/>
  <c r="AT112" i="9" s="1"/>
  <c r="Q112" i="9"/>
  <c r="Y113" i="9"/>
  <c r="AE113" i="9"/>
  <c r="Y112" i="9"/>
  <c r="AE111" i="9"/>
  <c r="Y111" i="9"/>
  <c r="L30" i="30"/>
  <c r="K28" i="30"/>
  <c r="B111" i="9"/>
  <c r="C111" i="9" s="1"/>
  <c r="R111" i="9"/>
  <c r="AQ111" i="9"/>
  <c r="AK111" i="9"/>
  <c r="Q111" i="9"/>
  <c r="H29" i="30"/>
  <c r="I28" i="30" s="1"/>
  <c r="R110" i="9"/>
  <c r="AQ110" i="9"/>
  <c r="AK110" i="9"/>
  <c r="AE110" i="9"/>
  <c r="Y110" i="9"/>
  <c r="BD108" i="9"/>
  <c r="BE109" i="9" s="1"/>
  <c r="BD107" i="9"/>
  <c r="AN108" i="9"/>
  <c r="AO109" i="9" s="1"/>
  <c r="AH108" i="9"/>
  <c r="AI109" i="9" s="1"/>
  <c r="AB108" i="9"/>
  <c r="AC109" i="9" s="1"/>
  <c r="F5" i="30"/>
  <c r="F6" i="30"/>
  <c r="F7" i="30"/>
  <c r="F8" i="30"/>
  <c r="F9" i="30"/>
  <c r="F10" i="30"/>
  <c r="F11" i="30"/>
  <c r="F12" i="30"/>
  <c r="F13" i="30"/>
  <c r="V108" i="9"/>
  <c r="W109" i="9" s="1"/>
  <c r="K108" i="9"/>
  <c r="L109" i="9" s="1"/>
  <c r="F14" i="30"/>
  <c r="F15" i="30"/>
  <c r="F16" i="30"/>
  <c r="F17" i="30"/>
  <c r="F18" i="30"/>
  <c r="F19" i="30"/>
  <c r="F20" i="30"/>
  <c r="F21" i="30"/>
  <c r="F22" i="30"/>
  <c r="F23" i="30"/>
  <c r="F24" i="30"/>
  <c r="F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AT116" i="9" l="1"/>
  <c r="AU116" i="9" s="1"/>
  <c r="S116" i="9"/>
  <c r="G116" i="9"/>
  <c r="F116" i="9"/>
  <c r="F115" i="9"/>
  <c r="B69" i="30"/>
  <c r="R113" i="9"/>
  <c r="Q114" i="9"/>
  <c r="B113" i="9"/>
  <c r="Q113" i="9"/>
  <c r="C112" i="9"/>
  <c r="S112" i="9"/>
  <c r="P109" i="9"/>
  <c r="Q110" i="9" s="1"/>
  <c r="S111" i="9"/>
  <c r="AT111" i="9"/>
  <c r="AU112" i="9" s="1"/>
  <c r="AT110" i="9"/>
  <c r="F111" i="9"/>
  <c r="G111" i="9"/>
  <c r="H30" i="30"/>
  <c r="BE108" i="9"/>
  <c r="F29" i="30"/>
  <c r="AD108" i="9"/>
  <c r="AE109" i="9" s="1"/>
  <c r="AJ108" i="9"/>
  <c r="AK109" i="9" s="1"/>
  <c r="AP108" i="9"/>
  <c r="AQ109" i="9" s="1"/>
  <c r="X108" i="9"/>
  <c r="Y109" i="9" s="1"/>
  <c r="D4" i="30"/>
  <c r="D29" i="30" s="1"/>
  <c r="AN107" i="9"/>
  <c r="AO108" i="9" s="1"/>
  <c r="AH107" i="9"/>
  <c r="AI108" i="9" s="1"/>
  <c r="AB107" i="9"/>
  <c r="AC108" i="9" s="1"/>
  <c r="C31" i="30"/>
  <c r="K107" i="9" s="1"/>
  <c r="L108" i="9" s="1"/>
  <c r="V107" i="9"/>
  <c r="W108" i="9" s="1"/>
  <c r="S113" i="9" l="1"/>
  <c r="AT113" i="9"/>
  <c r="S114" i="9"/>
  <c r="C113" i="9"/>
  <c r="C114" i="9"/>
  <c r="D115" i="9" s="1"/>
  <c r="E115" i="9" s="1"/>
  <c r="G112" i="9"/>
  <c r="F112" i="9"/>
  <c r="R109" i="9"/>
  <c r="B109" i="9"/>
  <c r="C110" i="9" s="1"/>
  <c r="F110" i="9" s="1"/>
  <c r="AU111" i="9"/>
  <c r="F30" i="30"/>
  <c r="H31" i="30" s="1"/>
  <c r="G28" i="30"/>
  <c r="D30" i="30"/>
  <c r="P107" i="9"/>
  <c r="AD107" i="9"/>
  <c r="AE108" i="9" s="1"/>
  <c r="X107" i="9"/>
  <c r="Y108" i="9" s="1"/>
  <c r="AP107" i="9"/>
  <c r="AQ108" i="9" s="1"/>
  <c r="AJ107" i="9"/>
  <c r="AK108" i="9" s="1"/>
  <c r="B26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D106" i="9"/>
  <c r="BD119" i="9" s="1"/>
  <c r="AN106" i="9"/>
  <c r="AN119" i="9" s="1"/>
  <c r="AN105" i="9"/>
  <c r="AH106" i="9"/>
  <c r="AH119" i="9" s="1"/>
  <c r="AB106" i="9"/>
  <c r="AB119" i="9" s="1"/>
  <c r="V106" i="9"/>
  <c r="V119" i="9" s="1"/>
  <c r="A31" i="30"/>
  <c r="K106" i="9" s="1"/>
  <c r="K119" i="9" s="1"/>
  <c r="L66" i="30"/>
  <c r="M69" i="30"/>
  <c r="T66" i="30"/>
  <c r="S66" i="30"/>
  <c r="R66" i="30"/>
  <c r="Q66" i="30"/>
  <c r="P66" i="30"/>
  <c r="O66" i="30"/>
  <c r="T65" i="30"/>
  <c r="S65" i="30"/>
  <c r="R65" i="30"/>
  <c r="Q65" i="30"/>
  <c r="P65" i="30"/>
  <c r="O65" i="30"/>
  <c r="T63" i="30"/>
  <c r="S63" i="30"/>
  <c r="R63" i="30"/>
  <c r="Q63" i="30"/>
  <c r="P63" i="30"/>
  <c r="O63" i="30"/>
  <c r="T62" i="30"/>
  <c r="S62" i="30"/>
  <c r="R62" i="30"/>
  <c r="Q62" i="30"/>
  <c r="P62" i="30"/>
  <c r="O62" i="30"/>
  <c r="T61" i="30"/>
  <c r="S61" i="30"/>
  <c r="R61" i="30"/>
  <c r="Q61" i="30"/>
  <c r="P61" i="30"/>
  <c r="O61" i="30"/>
  <c r="T60" i="30"/>
  <c r="S60" i="30"/>
  <c r="R60" i="30"/>
  <c r="Q60" i="30"/>
  <c r="P60" i="30"/>
  <c r="O60" i="30"/>
  <c r="T59" i="30"/>
  <c r="S59" i="30"/>
  <c r="R59" i="30"/>
  <c r="Q59" i="30"/>
  <c r="P59" i="30"/>
  <c r="O59" i="30"/>
  <c r="T58" i="30"/>
  <c r="S58" i="30"/>
  <c r="R58" i="30"/>
  <c r="Q58" i="30"/>
  <c r="P58" i="30"/>
  <c r="O58" i="30"/>
  <c r="T57" i="30"/>
  <c r="S57" i="30"/>
  <c r="R57" i="30"/>
  <c r="Q57" i="30"/>
  <c r="P57" i="30"/>
  <c r="O57" i="30"/>
  <c r="T56" i="30"/>
  <c r="S56" i="30"/>
  <c r="R56" i="30"/>
  <c r="Q56" i="30"/>
  <c r="P56" i="30"/>
  <c r="O56" i="30"/>
  <c r="T55" i="30"/>
  <c r="S55" i="30"/>
  <c r="R55" i="30"/>
  <c r="Q55" i="30"/>
  <c r="P55" i="30"/>
  <c r="O55" i="30"/>
  <c r="T54" i="30"/>
  <c r="S54" i="30"/>
  <c r="R54" i="30"/>
  <c r="Q54" i="30"/>
  <c r="P54" i="30"/>
  <c r="O54" i="30"/>
  <c r="T53" i="30"/>
  <c r="S53" i="30"/>
  <c r="R53" i="30"/>
  <c r="Q53" i="30"/>
  <c r="P53" i="30"/>
  <c r="O53" i="30"/>
  <c r="T52" i="30"/>
  <c r="S52" i="30"/>
  <c r="R52" i="30"/>
  <c r="Q52" i="30"/>
  <c r="P52" i="30"/>
  <c r="O52" i="30"/>
  <c r="T51" i="30"/>
  <c r="S51" i="30"/>
  <c r="R51" i="30"/>
  <c r="Q51" i="30"/>
  <c r="P51" i="30"/>
  <c r="O51" i="30"/>
  <c r="T50" i="30"/>
  <c r="S50" i="30"/>
  <c r="R50" i="30"/>
  <c r="Q50" i="30"/>
  <c r="P50" i="30"/>
  <c r="O50" i="30"/>
  <c r="T49" i="30"/>
  <c r="S49" i="30"/>
  <c r="R49" i="30"/>
  <c r="Q49" i="30"/>
  <c r="P49" i="30"/>
  <c r="O49" i="30"/>
  <c r="T48" i="30"/>
  <c r="S48" i="30"/>
  <c r="R48" i="30"/>
  <c r="Q48" i="30"/>
  <c r="P48" i="30"/>
  <c r="O48" i="30"/>
  <c r="T47" i="30"/>
  <c r="S47" i="30"/>
  <c r="R47" i="30"/>
  <c r="Q47" i="30"/>
  <c r="P47" i="30"/>
  <c r="O47" i="30"/>
  <c r="T46" i="30"/>
  <c r="S46" i="30"/>
  <c r="R46" i="30"/>
  <c r="Q46" i="30"/>
  <c r="P46" i="30"/>
  <c r="O46" i="30"/>
  <c r="T45" i="30"/>
  <c r="S45" i="30"/>
  <c r="R45" i="30"/>
  <c r="Q45" i="30"/>
  <c r="P45" i="30"/>
  <c r="O45" i="30"/>
  <c r="T44" i="30"/>
  <c r="S44" i="30"/>
  <c r="R44" i="30"/>
  <c r="Q44" i="30"/>
  <c r="P44" i="30"/>
  <c r="O44" i="30"/>
  <c r="T43" i="30"/>
  <c r="S43" i="30"/>
  <c r="R43" i="30"/>
  <c r="Q43" i="30"/>
  <c r="P43" i="30"/>
  <c r="O43" i="30"/>
  <c r="T42" i="30"/>
  <c r="S42" i="30"/>
  <c r="R42" i="30"/>
  <c r="Q42" i="30"/>
  <c r="P42" i="30"/>
  <c r="O42" i="30"/>
  <c r="P108" i="9"/>
  <c r="Q109" i="9" s="1"/>
  <c r="BD105" i="9"/>
  <c r="AH105" i="9"/>
  <c r="AB105" i="9"/>
  <c r="K69" i="28"/>
  <c r="I69" i="28"/>
  <c r="L63" i="28"/>
  <c r="L61" i="28"/>
  <c r="L62" i="28"/>
  <c r="L43" i="28"/>
  <c r="L44" i="28"/>
  <c r="L45" i="28"/>
  <c r="L46" i="28"/>
  <c r="L47" i="28"/>
  <c r="L48" i="28"/>
  <c r="L49" i="28"/>
  <c r="L50" i="28"/>
  <c r="L51" i="28"/>
  <c r="L52" i="28"/>
  <c r="L53" i="28"/>
  <c r="L54" i="28"/>
  <c r="L55" i="28"/>
  <c r="L56" i="28"/>
  <c r="L57" i="28"/>
  <c r="L58" i="28"/>
  <c r="L59" i="28"/>
  <c r="L60" i="28"/>
  <c r="L42" i="28"/>
  <c r="V105" i="9"/>
  <c r="BD104" i="9"/>
  <c r="AN104" i="9"/>
  <c r="AH104" i="9"/>
  <c r="AB104" i="9"/>
  <c r="V104" i="9"/>
  <c r="J62" i="28"/>
  <c r="J43" i="28"/>
  <c r="J44" i="28"/>
  <c r="J45" i="28"/>
  <c r="J46" i="28"/>
  <c r="J47" i="28"/>
  <c r="J48" i="28"/>
  <c r="J49" i="28"/>
  <c r="J50" i="28"/>
  <c r="J51" i="28"/>
  <c r="J52" i="28"/>
  <c r="J53" i="28"/>
  <c r="J54" i="28"/>
  <c r="J55" i="28"/>
  <c r="J56" i="28"/>
  <c r="J57" i="28"/>
  <c r="J58" i="28"/>
  <c r="J59" i="28"/>
  <c r="J60" i="28"/>
  <c r="J61" i="28"/>
  <c r="K65" i="30" l="1"/>
  <c r="P117" i="9"/>
  <c r="A27" i="31"/>
  <c r="G113" i="9"/>
  <c r="F113" i="9"/>
  <c r="AU114" i="9"/>
  <c r="AU113" i="9"/>
  <c r="G114" i="9"/>
  <c r="F114" i="9"/>
  <c r="G110" i="9"/>
  <c r="AT109" i="9"/>
  <c r="AU110" i="9" s="1"/>
  <c r="S110" i="9"/>
  <c r="F31" i="30"/>
  <c r="Q108" i="9"/>
  <c r="B108" i="9"/>
  <c r="C109" i="9" s="1"/>
  <c r="R108" i="9"/>
  <c r="B29" i="30"/>
  <c r="C28" i="30" s="1"/>
  <c r="BE107" i="9"/>
  <c r="AC107" i="9"/>
  <c r="AI107" i="9"/>
  <c r="AO107" i="9"/>
  <c r="W107" i="9"/>
  <c r="R107" i="9"/>
  <c r="B107" i="9"/>
  <c r="L107" i="9"/>
  <c r="AJ106" i="9"/>
  <c r="AJ119" i="9" s="1"/>
  <c r="AO106" i="9"/>
  <c r="AP106" i="9"/>
  <c r="AP119" i="9" s="1"/>
  <c r="L66" i="28"/>
  <c r="P105" i="9" s="1"/>
  <c r="BE106" i="9"/>
  <c r="X106" i="9"/>
  <c r="X119" i="9" s="1"/>
  <c r="K105" i="9"/>
  <c r="AC106" i="9"/>
  <c r="AD106" i="9"/>
  <c r="AD119" i="9" s="1"/>
  <c r="AI106" i="9"/>
  <c r="W106" i="9"/>
  <c r="BE105" i="9"/>
  <c r="W105" i="9"/>
  <c r="AI105" i="9"/>
  <c r="AC105" i="9"/>
  <c r="AO105" i="9"/>
  <c r="A65" i="30"/>
  <c r="G65" i="30"/>
  <c r="L68" i="30"/>
  <c r="L69" i="30" s="1"/>
  <c r="E28" i="30"/>
  <c r="J30" i="30"/>
  <c r="AN103" i="9"/>
  <c r="K104" i="9"/>
  <c r="J42" i="28"/>
  <c r="J66" i="28" s="1"/>
  <c r="H64" i="28"/>
  <c r="H62" i="28"/>
  <c r="H63" i="28"/>
  <c r="H54" i="28"/>
  <c r="H55" i="28"/>
  <c r="H56" i="28"/>
  <c r="H51" i="28"/>
  <c r="H52" i="28"/>
  <c r="H53" i="28"/>
  <c r="H57" i="28"/>
  <c r="H58" i="28"/>
  <c r="H59" i="28"/>
  <c r="H60" i="28"/>
  <c r="H61" i="28"/>
  <c r="H43" i="28"/>
  <c r="H44" i="28"/>
  <c r="H45" i="28"/>
  <c r="H46" i="28"/>
  <c r="H47" i="28"/>
  <c r="H48" i="28"/>
  <c r="H49" i="28"/>
  <c r="H50" i="28"/>
  <c r="BE119" i="9" l="1"/>
  <c r="Q118" i="9"/>
  <c r="Q117" i="9"/>
  <c r="R117" i="9"/>
  <c r="B117" i="9"/>
  <c r="AC119" i="9"/>
  <c r="AI119" i="9"/>
  <c r="W119" i="9"/>
  <c r="AO119" i="9"/>
  <c r="L31" i="30"/>
  <c r="S109" i="9"/>
  <c r="G109" i="9"/>
  <c r="F109" i="9"/>
  <c r="S108" i="9"/>
  <c r="AT108" i="9"/>
  <c r="AU109" i="9" s="1"/>
  <c r="C108" i="9"/>
  <c r="Y107" i="9"/>
  <c r="AQ107" i="9"/>
  <c r="AT107" i="9"/>
  <c r="AK107" i="9"/>
  <c r="AE107" i="9"/>
  <c r="R105" i="9"/>
  <c r="AT105" i="9" s="1"/>
  <c r="B105" i="9"/>
  <c r="AD105" i="9"/>
  <c r="AE106" i="9" s="1"/>
  <c r="AJ105" i="9"/>
  <c r="AK106" i="9" s="1"/>
  <c r="X105" i="9"/>
  <c r="Y106" i="9" s="1"/>
  <c r="L106" i="9"/>
  <c r="L119" i="9" s="1"/>
  <c r="L105" i="9"/>
  <c r="AP105" i="9"/>
  <c r="AQ106" i="9" s="1"/>
  <c r="L68" i="28"/>
  <c r="B30" i="31" s="1"/>
  <c r="A28" i="30"/>
  <c r="P106" i="9"/>
  <c r="P119" i="9" s="1"/>
  <c r="B30" i="30"/>
  <c r="F69" i="30"/>
  <c r="D69" i="30"/>
  <c r="J31" i="30"/>
  <c r="P104" i="9"/>
  <c r="X104" i="9"/>
  <c r="AD104" i="9"/>
  <c r="AJ104" i="9"/>
  <c r="AP104" i="9"/>
  <c r="AO104" i="9"/>
  <c r="G69" i="28"/>
  <c r="K103" i="9" s="1"/>
  <c r="L104" i="9" s="1"/>
  <c r="H42" i="28"/>
  <c r="H66" i="28" s="1"/>
  <c r="BD103" i="9"/>
  <c r="BE104" i="9" s="1"/>
  <c r="BD102" i="9"/>
  <c r="AH103" i="9"/>
  <c r="AI104" i="9" s="1"/>
  <c r="AB103" i="9"/>
  <c r="AC104" i="9" s="1"/>
  <c r="V103" i="9"/>
  <c r="W104" i="9" s="1"/>
  <c r="E69" i="28"/>
  <c r="K102" i="9" s="1"/>
  <c r="F62" i="28"/>
  <c r="F63" i="28"/>
  <c r="AN102" i="9"/>
  <c r="AH102" i="9"/>
  <c r="AB102" i="9"/>
  <c r="V102" i="9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42" i="28"/>
  <c r="BD101" i="9"/>
  <c r="AN101" i="9"/>
  <c r="AH101" i="9"/>
  <c r="AB101" i="9"/>
  <c r="V101" i="9"/>
  <c r="C69" i="28"/>
  <c r="AB100" i="9"/>
  <c r="AN100" i="9"/>
  <c r="A69" i="28"/>
  <c r="BD100" i="9"/>
  <c r="AH100" i="9"/>
  <c r="V100" i="9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AH99" i="9"/>
  <c r="B43" i="28"/>
  <c r="B44" i="28"/>
  <c r="B45" i="28"/>
  <c r="B46" i="28"/>
  <c r="B47" i="28"/>
  <c r="B48" i="28"/>
  <c r="B49" i="28"/>
  <c r="B50" i="28"/>
  <c r="B51" i="28"/>
  <c r="B42" i="28"/>
  <c r="BD99" i="9"/>
  <c r="AN99" i="9"/>
  <c r="AB99" i="9"/>
  <c r="V99" i="9"/>
  <c r="K31" i="28"/>
  <c r="L5" i="28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R125" i="9" l="1"/>
  <c r="R124" i="9"/>
  <c r="R123" i="9"/>
  <c r="R126" i="9"/>
  <c r="AE119" i="9"/>
  <c r="AK119" i="9"/>
  <c r="S117" i="9"/>
  <c r="S118" i="9"/>
  <c r="AT117" i="9"/>
  <c r="S124" i="9"/>
  <c r="S125" i="9"/>
  <c r="C117" i="9"/>
  <c r="C118" i="9"/>
  <c r="Y119" i="9"/>
  <c r="AQ119" i="9"/>
  <c r="F108" i="9"/>
  <c r="G108" i="9"/>
  <c r="AU108" i="9"/>
  <c r="B31" i="30"/>
  <c r="D31" i="30"/>
  <c r="Q107" i="9"/>
  <c r="AE105" i="9"/>
  <c r="Y105" i="9"/>
  <c r="AK105" i="9"/>
  <c r="AQ105" i="9"/>
  <c r="Q106" i="9"/>
  <c r="B106" i="9"/>
  <c r="B119" i="9" s="1"/>
  <c r="R106" i="9"/>
  <c r="R119" i="9" s="1"/>
  <c r="B104" i="9"/>
  <c r="C105" i="9" s="1"/>
  <c r="Q105" i="9"/>
  <c r="R104" i="9"/>
  <c r="H68" i="28"/>
  <c r="X102" i="9"/>
  <c r="W103" i="9"/>
  <c r="BE103" i="9"/>
  <c r="AC103" i="9"/>
  <c r="AI103" i="9"/>
  <c r="AO103" i="9"/>
  <c r="F66" i="28"/>
  <c r="P102" i="9" s="1"/>
  <c r="R102" i="9" s="1"/>
  <c r="X103" i="9"/>
  <c r="Y104" i="9" s="1"/>
  <c r="L103" i="9"/>
  <c r="AJ103" i="9"/>
  <c r="AK104" i="9" s="1"/>
  <c r="AD103" i="9"/>
  <c r="AE104" i="9" s="1"/>
  <c r="AP103" i="9"/>
  <c r="AQ104" i="9" s="1"/>
  <c r="AP102" i="9"/>
  <c r="AJ102" i="9"/>
  <c r="W102" i="9"/>
  <c r="AI102" i="9"/>
  <c r="AO102" i="9"/>
  <c r="BE102" i="9"/>
  <c r="AD102" i="9"/>
  <c r="AC102" i="9"/>
  <c r="D66" i="28"/>
  <c r="D68" i="28" s="1"/>
  <c r="K101" i="9"/>
  <c r="AP101" i="9" s="1"/>
  <c r="W101" i="9"/>
  <c r="AI101" i="9"/>
  <c r="AC101" i="9"/>
  <c r="BE101" i="9"/>
  <c r="AO101" i="9"/>
  <c r="B66" i="28"/>
  <c r="B68" i="28" s="1"/>
  <c r="W100" i="9"/>
  <c r="AI100" i="9"/>
  <c r="AC100" i="9"/>
  <c r="K100" i="9"/>
  <c r="AO100" i="9"/>
  <c r="BE100" i="9"/>
  <c r="K99" i="9"/>
  <c r="L4" i="28"/>
  <c r="I31" i="28"/>
  <c r="K98" i="9" s="1"/>
  <c r="E52" i="29"/>
  <c r="E20" i="29"/>
  <c r="J14" i="28"/>
  <c r="D30" i="29"/>
  <c r="E29" i="29"/>
  <c r="E30" i="29" s="1"/>
  <c r="BD98" i="9"/>
  <c r="AN98" i="9"/>
  <c r="AH98" i="9"/>
  <c r="AB98" i="9"/>
  <c r="V98" i="9"/>
  <c r="J26" i="28"/>
  <c r="J5" i="28"/>
  <c r="J6" i="28"/>
  <c r="J7" i="28"/>
  <c r="J8" i="28"/>
  <c r="J9" i="28"/>
  <c r="J10" i="28"/>
  <c r="J11" i="28"/>
  <c r="J12" i="28"/>
  <c r="J13" i="28"/>
  <c r="J15" i="28"/>
  <c r="J16" i="28"/>
  <c r="J17" i="28"/>
  <c r="J18" i="28"/>
  <c r="J19" i="28"/>
  <c r="J20" i="28"/>
  <c r="J21" i="28"/>
  <c r="J22" i="28"/>
  <c r="J23" i="28"/>
  <c r="J24" i="28"/>
  <c r="J25" i="28"/>
  <c r="J4" i="28"/>
  <c r="AU117" i="9" l="1"/>
  <c r="AU118" i="9"/>
  <c r="F117" i="9"/>
  <c r="G117" i="9"/>
  <c r="F118" i="9"/>
  <c r="G118" i="9"/>
  <c r="Q119" i="9"/>
  <c r="C107" i="9"/>
  <c r="F107" i="9" s="1"/>
  <c r="S107" i="9"/>
  <c r="C106" i="9"/>
  <c r="AT106" i="9"/>
  <c r="AT119" i="9" s="1"/>
  <c r="S106" i="9"/>
  <c r="S119" i="9" s="1"/>
  <c r="AT104" i="9"/>
  <c r="AU105" i="9" s="1"/>
  <c r="S105" i="9"/>
  <c r="F105" i="9"/>
  <c r="G105" i="9"/>
  <c r="Y103" i="9"/>
  <c r="P103" i="9"/>
  <c r="G65" i="28"/>
  <c r="E65" i="28"/>
  <c r="F68" i="28"/>
  <c r="F69" i="28" s="1"/>
  <c r="AQ103" i="9"/>
  <c r="AE103" i="9"/>
  <c r="AK103" i="9"/>
  <c r="B102" i="9"/>
  <c r="AQ102" i="9"/>
  <c r="L102" i="9"/>
  <c r="AT102" i="9"/>
  <c r="D69" i="28"/>
  <c r="AD101" i="9"/>
  <c r="AE102" i="9" s="1"/>
  <c r="C65" i="28"/>
  <c r="L101" i="9"/>
  <c r="X101" i="9"/>
  <c r="Y102" i="9" s="1"/>
  <c r="AJ101" i="9"/>
  <c r="AK102" i="9" s="1"/>
  <c r="P101" i="9"/>
  <c r="AD100" i="9"/>
  <c r="AP100" i="9"/>
  <c r="AQ101" i="9" s="1"/>
  <c r="P100" i="9"/>
  <c r="X100" i="9"/>
  <c r="AJ100" i="9"/>
  <c r="L29" i="28"/>
  <c r="A65" i="28" s="1"/>
  <c r="AC99" i="9"/>
  <c r="L99" i="9"/>
  <c r="W99" i="9"/>
  <c r="AI99" i="9"/>
  <c r="AO99" i="9"/>
  <c r="X99" i="9"/>
  <c r="X98" i="9"/>
  <c r="AD99" i="9"/>
  <c r="AJ99" i="9"/>
  <c r="AP99" i="9"/>
  <c r="BE99" i="9"/>
  <c r="J29" i="28"/>
  <c r="AP98" i="9"/>
  <c r="AD98" i="9"/>
  <c r="AJ98" i="9"/>
  <c r="BD97" i="9"/>
  <c r="BE98" i="9" s="1"/>
  <c r="AN97" i="9"/>
  <c r="AO98" i="9" s="1"/>
  <c r="AH97" i="9"/>
  <c r="AB97" i="9"/>
  <c r="AC98" i="9" s="1"/>
  <c r="V97" i="9"/>
  <c r="G31" i="28"/>
  <c r="K97" i="9" s="1"/>
  <c r="H5" i="28"/>
  <c r="H6" i="28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1" i="28"/>
  <c r="H22" i="28"/>
  <c r="H23" i="28"/>
  <c r="H24" i="28"/>
  <c r="H25" i="28"/>
  <c r="H4" i="28"/>
  <c r="BD96" i="9"/>
  <c r="BD95" i="9"/>
  <c r="AH96" i="9"/>
  <c r="AB96" i="9"/>
  <c r="AN96" i="9"/>
  <c r="AN95" i="9"/>
  <c r="AH95" i="9"/>
  <c r="AB95" i="9"/>
  <c r="V96" i="9"/>
  <c r="V95" i="9"/>
  <c r="F24" i="28"/>
  <c r="F27" i="28"/>
  <c r="E31" i="28"/>
  <c r="K96" i="9" s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F20" i="28"/>
  <c r="F21" i="28"/>
  <c r="F22" i="28"/>
  <c r="F23" i="28"/>
  <c r="F5" i="28"/>
  <c r="F4" i="28"/>
  <c r="P95" i="9"/>
  <c r="C31" i="28"/>
  <c r="K95" i="9" s="1"/>
  <c r="BD94" i="9"/>
  <c r="A31" i="28"/>
  <c r="AN94" i="9"/>
  <c r="AH94" i="9"/>
  <c r="AB94" i="9"/>
  <c r="V94" i="9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4" i="28"/>
  <c r="C119" i="9" l="1"/>
  <c r="G107" i="9"/>
  <c r="AU106" i="9"/>
  <c r="AU107" i="9"/>
  <c r="F106" i="9"/>
  <c r="F119" i="9" s="1"/>
  <c r="G106" i="9"/>
  <c r="G119" i="9" s="1"/>
  <c r="H69" i="28"/>
  <c r="B100" i="9"/>
  <c r="B103" i="9"/>
  <c r="Q104" i="9"/>
  <c r="Q103" i="9"/>
  <c r="R103" i="9"/>
  <c r="AE101" i="9"/>
  <c r="B101" i="9"/>
  <c r="C102" i="9" s="1"/>
  <c r="G102" i="9" s="1"/>
  <c r="Q102" i="9"/>
  <c r="AK101" i="9"/>
  <c r="Y101" i="9"/>
  <c r="R101" i="9"/>
  <c r="Q101" i="9"/>
  <c r="AE100" i="9"/>
  <c r="AQ100" i="9"/>
  <c r="Y100" i="9"/>
  <c r="AK100" i="9"/>
  <c r="R100" i="9"/>
  <c r="P99" i="9"/>
  <c r="Q100" i="9" s="1"/>
  <c r="L30" i="28"/>
  <c r="B69" i="28" s="1"/>
  <c r="K28" i="28"/>
  <c r="Y99" i="9"/>
  <c r="AQ99" i="9"/>
  <c r="AK99" i="9"/>
  <c r="AE99" i="9"/>
  <c r="AI98" i="9"/>
  <c r="L98" i="9"/>
  <c r="W98" i="9"/>
  <c r="H29" i="28"/>
  <c r="AO97" i="9"/>
  <c r="AI97" i="9"/>
  <c r="W97" i="9"/>
  <c r="L97" i="9"/>
  <c r="AJ97" i="9"/>
  <c r="AK98" i="9" s="1"/>
  <c r="AP97" i="9"/>
  <c r="AQ98" i="9" s="1"/>
  <c r="AD97" i="9"/>
  <c r="AE98" i="9" s="1"/>
  <c r="AC97" i="9"/>
  <c r="BE97" i="9"/>
  <c r="X97" i="9"/>
  <c r="Y98" i="9" s="1"/>
  <c r="F29" i="28"/>
  <c r="W96" i="9"/>
  <c r="AI96" i="9"/>
  <c r="BE96" i="9"/>
  <c r="L96" i="9"/>
  <c r="AD96" i="9"/>
  <c r="AP96" i="9"/>
  <c r="X96" i="9"/>
  <c r="AC96" i="9"/>
  <c r="AJ96" i="9"/>
  <c r="AO96" i="9"/>
  <c r="B95" i="9"/>
  <c r="B29" i="28"/>
  <c r="AJ95" i="9"/>
  <c r="AP95" i="9"/>
  <c r="X95" i="9"/>
  <c r="AD95" i="9"/>
  <c r="AC95" i="9"/>
  <c r="W95" i="9"/>
  <c r="AI95" i="9"/>
  <c r="AO95" i="9"/>
  <c r="BE95" i="9"/>
  <c r="BD93" i="9"/>
  <c r="AB93" i="9"/>
  <c r="V93" i="9"/>
  <c r="K69" i="27"/>
  <c r="K93" i="9" s="1"/>
  <c r="K94" i="9"/>
  <c r="AN93" i="9"/>
  <c r="AH93" i="9"/>
  <c r="M69" i="28"/>
  <c r="T66" i="28"/>
  <c r="S66" i="28"/>
  <c r="R66" i="28"/>
  <c r="Q66" i="28"/>
  <c r="P66" i="28"/>
  <c r="O66" i="28"/>
  <c r="T65" i="28"/>
  <c r="S65" i="28"/>
  <c r="R65" i="28"/>
  <c r="Q65" i="28"/>
  <c r="P65" i="28"/>
  <c r="O65" i="28"/>
  <c r="T63" i="28"/>
  <c r="S63" i="28"/>
  <c r="R63" i="28"/>
  <c r="Q63" i="28"/>
  <c r="P63" i="28"/>
  <c r="O63" i="28"/>
  <c r="T62" i="28"/>
  <c r="S62" i="28"/>
  <c r="R62" i="28"/>
  <c r="Q62" i="28"/>
  <c r="P62" i="28"/>
  <c r="O62" i="28"/>
  <c r="T61" i="28"/>
  <c r="S61" i="28"/>
  <c r="R61" i="28"/>
  <c r="Q61" i="28"/>
  <c r="P61" i="28"/>
  <c r="O61" i="28"/>
  <c r="T60" i="28"/>
  <c r="S60" i="28"/>
  <c r="R60" i="28"/>
  <c r="Q60" i="28"/>
  <c r="P60" i="28"/>
  <c r="O60" i="28"/>
  <c r="T59" i="28"/>
  <c r="S59" i="28"/>
  <c r="R59" i="28"/>
  <c r="Q59" i="28"/>
  <c r="P59" i="28"/>
  <c r="O59" i="28"/>
  <c r="T58" i="28"/>
  <c r="S58" i="28"/>
  <c r="R58" i="28"/>
  <c r="Q58" i="28"/>
  <c r="P58" i="28"/>
  <c r="O58" i="28"/>
  <c r="T57" i="28"/>
  <c r="S57" i="28"/>
  <c r="R57" i="28"/>
  <c r="Q57" i="28"/>
  <c r="P57" i="28"/>
  <c r="O57" i="28"/>
  <c r="T56" i="28"/>
  <c r="S56" i="28"/>
  <c r="R56" i="28"/>
  <c r="Q56" i="28"/>
  <c r="P56" i="28"/>
  <c r="O56" i="28"/>
  <c r="T55" i="28"/>
  <c r="S55" i="28"/>
  <c r="R55" i="28"/>
  <c r="Q55" i="28"/>
  <c r="P55" i="28"/>
  <c r="O55" i="28"/>
  <c r="T54" i="28"/>
  <c r="S54" i="28"/>
  <c r="R54" i="28"/>
  <c r="Q54" i="28"/>
  <c r="P54" i="28"/>
  <c r="O54" i="28"/>
  <c r="T53" i="28"/>
  <c r="S53" i="28"/>
  <c r="R53" i="28"/>
  <c r="Q53" i="28"/>
  <c r="P53" i="28"/>
  <c r="O53" i="28"/>
  <c r="T52" i="28"/>
  <c r="S52" i="28"/>
  <c r="R52" i="28"/>
  <c r="Q52" i="28"/>
  <c r="P52" i="28"/>
  <c r="O52" i="28"/>
  <c r="T51" i="28"/>
  <c r="S51" i="28"/>
  <c r="R51" i="28"/>
  <c r="Q51" i="28"/>
  <c r="P51" i="28"/>
  <c r="O51" i="28"/>
  <c r="T50" i="28"/>
  <c r="S50" i="28"/>
  <c r="R50" i="28"/>
  <c r="Q50" i="28"/>
  <c r="P50" i="28"/>
  <c r="O50" i="28"/>
  <c r="T49" i="28"/>
  <c r="S49" i="28"/>
  <c r="R49" i="28"/>
  <c r="Q49" i="28"/>
  <c r="P49" i="28"/>
  <c r="O49" i="28"/>
  <c r="T48" i="28"/>
  <c r="S48" i="28"/>
  <c r="R48" i="28"/>
  <c r="Q48" i="28"/>
  <c r="P48" i="28"/>
  <c r="O48" i="28"/>
  <c r="T47" i="28"/>
  <c r="S47" i="28"/>
  <c r="R47" i="28"/>
  <c r="Q47" i="28"/>
  <c r="P47" i="28"/>
  <c r="O47" i="28"/>
  <c r="T46" i="28"/>
  <c r="S46" i="28"/>
  <c r="R46" i="28"/>
  <c r="Q46" i="28"/>
  <c r="P46" i="28"/>
  <c r="O46" i="28"/>
  <c r="T45" i="28"/>
  <c r="S45" i="28"/>
  <c r="R45" i="28"/>
  <c r="Q45" i="28"/>
  <c r="P45" i="28"/>
  <c r="O45" i="28"/>
  <c r="T44" i="28"/>
  <c r="S44" i="28"/>
  <c r="R44" i="28"/>
  <c r="Q44" i="28"/>
  <c r="P44" i="28"/>
  <c r="O44" i="28"/>
  <c r="T43" i="28"/>
  <c r="S43" i="28"/>
  <c r="R43" i="28"/>
  <c r="Q43" i="28"/>
  <c r="P43" i="28"/>
  <c r="O43" i="28"/>
  <c r="T42" i="28"/>
  <c r="S42" i="28"/>
  <c r="R42" i="28"/>
  <c r="Q42" i="28"/>
  <c r="P42" i="28"/>
  <c r="O42" i="28"/>
  <c r="P98" i="9"/>
  <c r="L57" i="27"/>
  <c r="L58" i="27"/>
  <c r="L59" i="27"/>
  <c r="L60" i="27"/>
  <c r="L50" i="27"/>
  <c r="L51" i="27"/>
  <c r="L52" i="27"/>
  <c r="L53" i="27"/>
  <c r="L54" i="27"/>
  <c r="L55" i="27"/>
  <c r="L56" i="27"/>
  <c r="L48" i="27"/>
  <c r="L49" i="27"/>
  <c r="L44" i="27"/>
  <c r="L45" i="27"/>
  <c r="L46" i="27"/>
  <c r="L47" i="27"/>
  <c r="BD92" i="9"/>
  <c r="AN92" i="9"/>
  <c r="AH92" i="9"/>
  <c r="V92" i="9"/>
  <c r="AB92" i="9"/>
  <c r="L43" i="27"/>
  <c r="L42" i="27"/>
  <c r="BD91" i="9"/>
  <c r="BD90" i="9"/>
  <c r="BD89" i="9"/>
  <c r="BD88" i="9"/>
  <c r="BD87" i="9"/>
  <c r="BD86" i="9"/>
  <c r="BD85" i="9"/>
  <c r="BD84" i="9"/>
  <c r="BD83" i="9"/>
  <c r="BD82" i="9"/>
  <c r="BD81" i="9"/>
  <c r="BD80" i="9"/>
  <c r="BD79" i="9"/>
  <c r="BD78" i="9"/>
  <c r="BD77" i="9"/>
  <c r="BD76" i="9"/>
  <c r="BD75" i="9"/>
  <c r="BD74" i="9"/>
  <c r="BD73" i="9"/>
  <c r="BD72" i="9"/>
  <c r="BD71" i="9"/>
  <c r="BD70" i="9"/>
  <c r="AN91" i="9"/>
  <c r="AH91" i="9"/>
  <c r="AN90" i="9"/>
  <c r="AH90" i="9"/>
  <c r="AN89" i="9"/>
  <c r="AH89" i="9"/>
  <c r="AN88" i="9"/>
  <c r="AH88" i="9"/>
  <c r="AN87" i="9"/>
  <c r="AH87" i="9"/>
  <c r="AN86" i="9"/>
  <c r="AH86" i="9"/>
  <c r="AN85" i="9"/>
  <c r="AH85" i="9"/>
  <c r="AN84" i="9"/>
  <c r="AH84" i="9"/>
  <c r="AN83" i="9"/>
  <c r="AH83" i="9"/>
  <c r="AN82" i="9"/>
  <c r="AH82" i="9"/>
  <c r="AN81" i="9"/>
  <c r="AH81" i="9"/>
  <c r="AN80" i="9"/>
  <c r="AH80" i="9"/>
  <c r="AN79" i="9"/>
  <c r="AH79" i="9"/>
  <c r="AN78" i="9"/>
  <c r="AH78" i="9"/>
  <c r="AN77" i="9"/>
  <c r="AH77" i="9"/>
  <c r="AN76" i="9"/>
  <c r="AH76" i="9"/>
  <c r="AN75" i="9"/>
  <c r="AH75" i="9"/>
  <c r="AN74" i="9"/>
  <c r="AH74" i="9"/>
  <c r="AN73" i="9"/>
  <c r="AH73" i="9"/>
  <c r="AN72" i="9"/>
  <c r="AH72" i="9"/>
  <c r="AN71" i="9"/>
  <c r="AH71" i="9"/>
  <c r="AN70" i="9"/>
  <c r="AH70" i="9"/>
  <c r="AB91" i="9"/>
  <c r="V91" i="9"/>
  <c r="AB90" i="9"/>
  <c r="V90" i="9"/>
  <c r="AB89" i="9"/>
  <c r="V89" i="9"/>
  <c r="AB88" i="9"/>
  <c r="V88" i="9"/>
  <c r="AB87" i="9"/>
  <c r="V87" i="9"/>
  <c r="AB86" i="9"/>
  <c r="V86" i="9"/>
  <c r="AB85" i="9"/>
  <c r="V85" i="9"/>
  <c r="AB84" i="9"/>
  <c r="V84" i="9"/>
  <c r="AB83" i="9"/>
  <c r="V83" i="9"/>
  <c r="AB81" i="9"/>
  <c r="V81" i="9"/>
  <c r="AB80" i="9"/>
  <c r="V80" i="9"/>
  <c r="AB79" i="9"/>
  <c r="V79" i="9"/>
  <c r="AB78" i="9"/>
  <c r="V78" i="9"/>
  <c r="AB77" i="9"/>
  <c r="V77" i="9"/>
  <c r="AB76" i="9"/>
  <c r="AB75" i="9"/>
  <c r="V75" i="9"/>
  <c r="AB74" i="9"/>
  <c r="V74" i="9"/>
  <c r="AB73" i="9"/>
  <c r="V73" i="9"/>
  <c r="AB72" i="9"/>
  <c r="V72" i="9"/>
  <c r="AB71" i="9"/>
  <c r="V71" i="9"/>
  <c r="AB70" i="9"/>
  <c r="V70" i="9"/>
  <c r="V76" i="9"/>
  <c r="I69" i="27"/>
  <c r="K92" i="9" s="1"/>
  <c r="J63" i="27"/>
  <c r="C69" i="27"/>
  <c r="K89" i="9" s="1"/>
  <c r="A69" i="27"/>
  <c r="K88" i="9" s="1"/>
  <c r="E69" i="27"/>
  <c r="K90" i="9" s="1"/>
  <c r="G69" i="27"/>
  <c r="K91" i="9" s="1"/>
  <c r="M69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F43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42" i="27"/>
  <c r="D63" i="27"/>
  <c r="D62" i="27"/>
  <c r="F44" i="27"/>
  <c r="F45" i="27"/>
  <c r="F46" i="27"/>
  <c r="F47" i="27"/>
  <c r="F48" i="27"/>
  <c r="F49" i="27"/>
  <c r="F50" i="27"/>
  <c r="F51" i="27"/>
  <c r="F52" i="27"/>
  <c r="F53" i="27"/>
  <c r="F54" i="27"/>
  <c r="F55" i="27"/>
  <c r="F56" i="27"/>
  <c r="F57" i="27"/>
  <c r="F58" i="27"/>
  <c r="F59" i="27"/>
  <c r="F60" i="27"/>
  <c r="F61" i="27"/>
  <c r="F42" i="27"/>
  <c r="D64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42" i="27"/>
  <c r="B62" i="27"/>
  <c r="B61" i="27"/>
  <c r="B60" i="27"/>
  <c r="B59" i="27"/>
  <c r="B58" i="27"/>
  <c r="B57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42" i="27"/>
  <c r="AU119" i="9" l="1"/>
  <c r="C104" i="9"/>
  <c r="F104" i="9" s="1"/>
  <c r="AT103" i="9"/>
  <c r="S104" i="9"/>
  <c r="C103" i="9"/>
  <c r="G103" i="9" s="1"/>
  <c r="S103" i="9"/>
  <c r="C101" i="9"/>
  <c r="G101" i="9" s="1"/>
  <c r="F102" i="9"/>
  <c r="S102" i="9"/>
  <c r="AT101" i="9"/>
  <c r="AU102" i="9" s="1"/>
  <c r="S101" i="9"/>
  <c r="B99" i="9"/>
  <c r="C100" i="9" s="1"/>
  <c r="F100" i="9" s="1"/>
  <c r="AT100" i="9"/>
  <c r="Q99" i="9"/>
  <c r="R99" i="9"/>
  <c r="AT99" i="9" s="1"/>
  <c r="R98" i="9"/>
  <c r="B98" i="9"/>
  <c r="Y97" i="9"/>
  <c r="AE97" i="9"/>
  <c r="AK97" i="9"/>
  <c r="G28" i="28"/>
  <c r="P97" i="9"/>
  <c r="AQ97" i="9"/>
  <c r="P96" i="9"/>
  <c r="AK96" i="9"/>
  <c r="Y96" i="9"/>
  <c r="AQ96" i="9"/>
  <c r="AE96" i="9"/>
  <c r="R95" i="9"/>
  <c r="AT95" i="9" s="1"/>
  <c r="L95" i="9"/>
  <c r="BE94" i="9"/>
  <c r="P94" i="9"/>
  <c r="AO94" i="9"/>
  <c r="X94" i="9"/>
  <c r="AD94" i="9"/>
  <c r="AJ94" i="9"/>
  <c r="AC94" i="9"/>
  <c r="L94" i="9"/>
  <c r="AP94" i="9"/>
  <c r="AI94" i="9"/>
  <c r="W94" i="9"/>
  <c r="B31" i="28"/>
  <c r="L66" i="27"/>
  <c r="K65" i="28"/>
  <c r="E28" i="28"/>
  <c r="F30" i="28"/>
  <c r="H30" i="28"/>
  <c r="D30" i="28"/>
  <c r="J30" i="28"/>
  <c r="L31" i="28" s="1"/>
  <c r="I28" i="28"/>
  <c r="AD93" i="9"/>
  <c r="AJ93" i="9"/>
  <c r="BE92" i="9"/>
  <c r="X93" i="9"/>
  <c r="L93" i="9"/>
  <c r="AP93" i="9"/>
  <c r="W92" i="9"/>
  <c r="AC93" i="9"/>
  <c r="AO93" i="9"/>
  <c r="AI92" i="9"/>
  <c r="AI93" i="9"/>
  <c r="BE93" i="9"/>
  <c r="X92" i="9"/>
  <c r="W93" i="9"/>
  <c r="AO92" i="9"/>
  <c r="AC92" i="9"/>
  <c r="J66" i="27"/>
  <c r="AP92" i="9"/>
  <c r="AD92" i="9"/>
  <c r="AJ92" i="9"/>
  <c r="L92" i="9"/>
  <c r="BE91" i="9"/>
  <c r="W91" i="9"/>
  <c r="AD91" i="9"/>
  <c r="H66" i="27"/>
  <c r="P91" i="9" s="1"/>
  <c r="R91" i="9" s="1"/>
  <c r="AI91" i="9"/>
  <c r="AP91" i="9"/>
  <c r="L91" i="9"/>
  <c r="X91" i="9"/>
  <c r="AJ91" i="9"/>
  <c r="AC91" i="9"/>
  <c r="AO91" i="9"/>
  <c r="F66" i="27"/>
  <c r="D66" i="27"/>
  <c r="D68" i="27" s="1"/>
  <c r="AC90" i="9"/>
  <c r="W90" i="9"/>
  <c r="AI90" i="9"/>
  <c r="AO90" i="9"/>
  <c r="BE90" i="9"/>
  <c r="AJ90" i="9"/>
  <c r="AP90" i="9"/>
  <c r="X90" i="9"/>
  <c r="L90" i="9"/>
  <c r="AD90" i="9"/>
  <c r="B66" i="27"/>
  <c r="L89" i="9"/>
  <c r="AP89" i="9"/>
  <c r="X89" i="9"/>
  <c r="AC89" i="9"/>
  <c r="AI89" i="9"/>
  <c r="AJ89" i="9"/>
  <c r="AD89" i="9"/>
  <c r="W89" i="9"/>
  <c r="AO89" i="9"/>
  <c r="BE89" i="9"/>
  <c r="AD88" i="9"/>
  <c r="AP88" i="9"/>
  <c r="AJ88" i="9"/>
  <c r="X88" i="9"/>
  <c r="AI88" i="9"/>
  <c r="BE88" i="9"/>
  <c r="AO88" i="9"/>
  <c r="AI87" i="9"/>
  <c r="AC88" i="9"/>
  <c r="K31" i="27"/>
  <c r="K87" i="9" s="1"/>
  <c r="L88" i="9" s="1"/>
  <c r="I31" i="27"/>
  <c r="K86" i="9" s="1"/>
  <c r="G31" i="27"/>
  <c r="K85" i="9" s="1"/>
  <c r="L5" i="27"/>
  <c r="L6" i="27"/>
  <c r="L7" i="27"/>
  <c r="L8" i="27"/>
  <c r="L9" i="27"/>
  <c r="L10" i="27"/>
  <c r="L11" i="27"/>
  <c r="L12" i="27"/>
  <c r="L13" i="27"/>
  <c r="L14" i="27"/>
  <c r="L15" i="27"/>
  <c r="L16" i="27"/>
  <c r="L17" i="27"/>
  <c r="L18" i="27"/>
  <c r="L19" i="27"/>
  <c r="L20" i="27"/>
  <c r="L21" i="27"/>
  <c r="L22" i="27"/>
  <c r="L23" i="27"/>
  <c r="L24" i="27"/>
  <c r="L25" i="27"/>
  <c r="L26" i="27"/>
  <c r="L4" i="27"/>
  <c r="J5" i="27"/>
  <c r="J6" i="27"/>
  <c r="J7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4" i="27"/>
  <c r="J25" i="27"/>
  <c r="J4" i="27"/>
  <c r="H5" i="27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4" i="27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/>
  <c r="F25" i="27"/>
  <c r="F26" i="27"/>
  <c r="BQ84" i="9"/>
  <c r="BM84" i="9"/>
  <c r="BI84" i="9"/>
  <c r="K84" i="9"/>
  <c r="BH119" i="9"/>
  <c r="BL119" i="9"/>
  <c r="BP119" i="9"/>
  <c r="BQ83" i="9"/>
  <c r="BM83" i="9"/>
  <c r="BI83" i="9"/>
  <c r="BI82" i="9"/>
  <c r="BI81" i="9"/>
  <c r="BI80" i="9"/>
  <c r="BI79" i="9"/>
  <c r="BI78" i="9"/>
  <c r="BI77" i="9"/>
  <c r="BI76" i="9"/>
  <c r="BI75" i="9"/>
  <c r="BI74" i="9"/>
  <c r="BI73" i="9"/>
  <c r="BI72" i="9"/>
  <c r="BI71" i="9"/>
  <c r="BI70" i="9"/>
  <c r="BI69" i="9"/>
  <c r="BI68" i="9"/>
  <c r="BI67" i="9"/>
  <c r="BI66" i="9"/>
  <c r="BI65" i="9"/>
  <c r="BI64" i="9"/>
  <c r="BQ82" i="9"/>
  <c r="BQ81" i="9"/>
  <c r="BQ80" i="9"/>
  <c r="BQ79" i="9"/>
  <c r="BQ78" i="9"/>
  <c r="BQ77" i="9"/>
  <c r="BQ76" i="9"/>
  <c r="BQ75" i="9"/>
  <c r="BQ74" i="9"/>
  <c r="BQ73" i="9"/>
  <c r="BQ72" i="9"/>
  <c r="BQ71" i="9"/>
  <c r="BQ70" i="9"/>
  <c r="BQ69" i="9"/>
  <c r="BQ68" i="9"/>
  <c r="BQ67" i="9"/>
  <c r="BQ66" i="9"/>
  <c r="BQ65" i="9"/>
  <c r="BQ64" i="9"/>
  <c r="BM82" i="9"/>
  <c r="BM119" i="9" s="1"/>
  <c r="BM81" i="9"/>
  <c r="BM80" i="9"/>
  <c r="BM79" i="9"/>
  <c r="BM78" i="9"/>
  <c r="BM77" i="9"/>
  <c r="BM76" i="9"/>
  <c r="BM75" i="9"/>
  <c r="BM74" i="9"/>
  <c r="BM73" i="9"/>
  <c r="BM72" i="9"/>
  <c r="BM71" i="9"/>
  <c r="BM70" i="9"/>
  <c r="BM69" i="9"/>
  <c r="BM68" i="9"/>
  <c r="BM67" i="9"/>
  <c r="BM66" i="9"/>
  <c r="BM65" i="9"/>
  <c r="BM64" i="9"/>
  <c r="F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G104" i="9" l="1"/>
  <c r="F103" i="9"/>
  <c r="AU103" i="9"/>
  <c r="AU104" i="9"/>
  <c r="F101" i="9"/>
  <c r="T125" i="9"/>
  <c r="T124" i="9"/>
  <c r="AU101" i="9"/>
  <c r="C99" i="9"/>
  <c r="F99" i="9" s="1"/>
  <c r="G100" i="9"/>
  <c r="AU100" i="9"/>
  <c r="S100" i="9"/>
  <c r="S99" i="9"/>
  <c r="AT98" i="9"/>
  <c r="AU99" i="9" s="1"/>
  <c r="B97" i="9"/>
  <c r="C98" i="9" s="1"/>
  <c r="Q98" i="9"/>
  <c r="R96" i="9"/>
  <c r="AT96" i="9" s="1"/>
  <c r="Q97" i="9"/>
  <c r="R97" i="9"/>
  <c r="S98" i="9" s="1"/>
  <c r="B96" i="9"/>
  <c r="C96" i="9" s="1"/>
  <c r="G96" i="9" s="1"/>
  <c r="Q96" i="9"/>
  <c r="F31" i="28"/>
  <c r="AK95" i="9"/>
  <c r="AE95" i="9"/>
  <c r="Y95" i="9"/>
  <c r="R94" i="9"/>
  <c r="Q95" i="9"/>
  <c r="AQ95" i="9"/>
  <c r="A28" i="28"/>
  <c r="AK94" i="9"/>
  <c r="Y94" i="9"/>
  <c r="AE94" i="9"/>
  <c r="B94" i="9"/>
  <c r="AQ94" i="9"/>
  <c r="L68" i="27"/>
  <c r="C28" i="28"/>
  <c r="B30" i="28"/>
  <c r="J68" i="28"/>
  <c r="H31" i="28"/>
  <c r="J31" i="28"/>
  <c r="AK93" i="9"/>
  <c r="AE93" i="9"/>
  <c r="AQ93" i="9"/>
  <c r="K65" i="27"/>
  <c r="Y93" i="9"/>
  <c r="P93" i="9"/>
  <c r="J68" i="27"/>
  <c r="I65" i="27"/>
  <c r="AQ92" i="9"/>
  <c r="AE92" i="9"/>
  <c r="AK92" i="9"/>
  <c r="Y92" i="9"/>
  <c r="P92" i="9"/>
  <c r="R92" i="9" s="1"/>
  <c r="AT92" i="9" s="1"/>
  <c r="F68" i="27"/>
  <c r="F69" i="27" s="1"/>
  <c r="G65" i="27"/>
  <c r="AE91" i="9"/>
  <c r="B91" i="9"/>
  <c r="Y91" i="9"/>
  <c r="AQ91" i="9"/>
  <c r="AT91" i="9"/>
  <c r="AK91" i="9"/>
  <c r="AQ90" i="9"/>
  <c r="E65" i="27"/>
  <c r="P90" i="9"/>
  <c r="Y90" i="9"/>
  <c r="AE90" i="9"/>
  <c r="AK90" i="9"/>
  <c r="P89" i="9"/>
  <c r="AQ89" i="9"/>
  <c r="AE89" i="9"/>
  <c r="AK89" i="9"/>
  <c r="Y89" i="9"/>
  <c r="BQ119" i="9"/>
  <c r="X87" i="9"/>
  <c r="Y88" i="9" s="1"/>
  <c r="AD87" i="9"/>
  <c r="AE88" i="9" s="1"/>
  <c r="W88" i="9"/>
  <c r="L29" i="27"/>
  <c r="BE87" i="9"/>
  <c r="L87" i="9"/>
  <c r="J29" i="27"/>
  <c r="AP87" i="9"/>
  <c r="AQ88" i="9" s="1"/>
  <c r="AO87" i="9"/>
  <c r="AJ87" i="9"/>
  <c r="AK88" i="9" s="1"/>
  <c r="AC87" i="9"/>
  <c r="W87" i="9"/>
  <c r="W86" i="9"/>
  <c r="AI86" i="9"/>
  <c r="AO86" i="9"/>
  <c r="BE86" i="9"/>
  <c r="L86" i="9"/>
  <c r="X86" i="9"/>
  <c r="AD86" i="9"/>
  <c r="AC86" i="9"/>
  <c r="AP86" i="9"/>
  <c r="AJ86" i="9"/>
  <c r="AC85" i="9"/>
  <c r="AD85" i="9"/>
  <c r="H29" i="27"/>
  <c r="P85" i="9" s="1"/>
  <c r="B85" i="9" s="1"/>
  <c r="F29" i="27"/>
  <c r="P84" i="9" s="1"/>
  <c r="X85" i="9"/>
  <c r="AJ85" i="9"/>
  <c r="AO85" i="9"/>
  <c r="BE85" i="9"/>
  <c r="L85" i="9"/>
  <c r="AI85" i="9"/>
  <c r="W85" i="9"/>
  <c r="AP85" i="9"/>
  <c r="BI119" i="9"/>
  <c r="AO84" i="9"/>
  <c r="BE84" i="9"/>
  <c r="AC84" i="9"/>
  <c r="W84" i="9"/>
  <c r="AI84" i="9"/>
  <c r="AP84" i="9"/>
  <c r="X84" i="9"/>
  <c r="AD84" i="9"/>
  <c r="AJ84" i="9"/>
  <c r="K83" i="9"/>
  <c r="L84" i="9" s="1"/>
  <c r="D4" i="27"/>
  <c r="B6" i="27"/>
  <c r="B7" i="27"/>
  <c r="B8" i="27"/>
  <c r="B9" i="27"/>
  <c r="B10" i="27"/>
  <c r="B11" i="27"/>
  <c r="B12" i="27"/>
  <c r="B15" i="27"/>
  <c r="B17" i="27"/>
  <c r="B18" i="27"/>
  <c r="B19" i="27"/>
  <c r="B22" i="27"/>
  <c r="B23" i="27"/>
  <c r="B25" i="27"/>
  <c r="A31" i="27"/>
  <c r="J69" i="28" l="1"/>
  <c r="L69" i="28"/>
  <c r="D31" i="28"/>
  <c r="C95" i="9"/>
  <c r="G95" i="9" s="1"/>
  <c r="G99" i="9"/>
  <c r="F98" i="9"/>
  <c r="G98" i="9"/>
  <c r="AT97" i="9"/>
  <c r="AU98" i="9" s="1"/>
  <c r="C97" i="9"/>
  <c r="G97" i="9" s="1"/>
  <c r="S95" i="9"/>
  <c r="S97" i="9"/>
  <c r="S96" i="9"/>
  <c r="AU96" i="9"/>
  <c r="F96" i="9"/>
  <c r="AT94" i="9"/>
  <c r="L69" i="27"/>
  <c r="B93" i="9"/>
  <c r="C94" i="9" s="1"/>
  <c r="Q94" i="9"/>
  <c r="R93" i="9"/>
  <c r="B92" i="9"/>
  <c r="Q93" i="9"/>
  <c r="Q92" i="9"/>
  <c r="B90" i="9"/>
  <c r="Q91" i="9"/>
  <c r="R90" i="9"/>
  <c r="Q90" i="9"/>
  <c r="B89" i="9"/>
  <c r="R89" i="9"/>
  <c r="P87" i="9"/>
  <c r="R87" i="9" s="1"/>
  <c r="AE87" i="9"/>
  <c r="Y87" i="9"/>
  <c r="AK87" i="9"/>
  <c r="AQ87" i="9"/>
  <c r="Y86" i="9"/>
  <c r="Y85" i="9"/>
  <c r="AK86" i="9"/>
  <c r="AQ86" i="9"/>
  <c r="AE86" i="9"/>
  <c r="Q85" i="9"/>
  <c r="AE85" i="9"/>
  <c r="R85" i="9"/>
  <c r="AQ85" i="9"/>
  <c r="AK85" i="9"/>
  <c r="R84" i="9"/>
  <c r="B84" i="9"/>
  <c r="C85" i="9" s="1"/>
  <c r="AJ83" i="9"/>
  <c r="AK84" i="9" s="1"/>
  <c r="B29" i="27"/>
  <c r="AI83" i="9"/>
  <c r="AO83" i="9"/>
  <c r="W83" i="9"/>
  <c r="BE83" i="9"/>
  <c r="D29" i="27"/>
  <c r="P83" i="9" s="1"/>
  <c r="R83" i="9" s="1"/>
  <c r="AD83" i="9"/>
  <c r="AP83" i="9"/>
  <c r="AQ84" i="9" s="1"/>
  <c r="X83" i="9"/>
  <c r="AC83" i="9"/>
  <c r="K82" i="9"/>
  <c r="T66" i="27"/>
  <c r="S66" i="27"/>
  <c r="R66" i="27"/>
  <c r="Q66" i="27"/>
  <c r="P66" i="27"/>
  <c r="O66" i="27"/>
  <c r="T65" i="27"/>
  <c r="S65" i="27"/>
  <c r="R65" i="27"/>
  <c r="Q65" i="27"/>
  <c r="P65" i="27"/>
  <c r="O65" i="27"/>
  <c r="T64" i="27"/>
  <c r="S64" i="27"/>
  <c r="R64" i="27"/>
  <c r="Q64" i="27"/>
  <c r="P64" i="27"/>
  <c r="O64" i="27"/>
  <c r="T63" i="27"/>
  <c r="S63" i="27"/>
  <c r="R63" i="27"/>
  <c r="Q63" i="27"/>
  <c r="P63" i="27"/>
  <c r="O63" i="27"/>
  <c r="T62" i="27"/>
  <c r="S62" i="27"/>
  <c r="R62" i="27"/>
  <c r="Q62" i="27"/>
  <c r="P62" i="27"/>
  <c r="O62" i="27"/>
  <c r="T61" i="27"/>
  <c r="S61" i="27"/>
  <c r="R61" i="27"/>
  <c r="Q61" i="27"/>
  <c r="P61" i="27"/>
  <c r="O61" i="27"/>
  <c r="T60" i="27"/>
  <c r="S60" i="27"/>
  <c r="R60" i="27"/>
  <c r="Q60" i="27"/>
  <c r="P60" i="27"/>
  <c r="O60" i="27"/>
  <c r="T59" i="27"/>
  <c r="S59" i="27"/>
  <c r="R59" i="27"/>
  <c r="Q59" i="27"/>
  <c r="P59" i="27"/>
  <c r="O59" i="27"/>
  <c r="T58" i="27"/>
  <c r="S58" i="27"/>
  <c r="R58" i="27"/>
  <c r="Q58" i="27"/>
  <c r="P58" i="27"/>
  <c r="O58" i="27"/>
  <c r="T57" i="27"/>
  <c r="S57" i="27"/>
  <c r="R57" i="27"/>
  <c r="Q57" i="27"/>
  <c r="P57" i="27"/>
  <c r="O57" i="27"/>
  <c r="T56" i="27"/>
  <c r="S56" i="27"/>
  <c r="R56" i="27"/>
  <c r="Q56" i="27"/>
  <c r="P56" i="27"/>
  <c r="O56" i="27"/>
  <c r="T55" i="27"/>
  <c r="S55" i="27"/>
  <c r="R55" i="27"/>
  <c r="Q55" i="27"/>
  <c r="P55" i="27"/>
  <c r="O55" i="27"/>
  <c r="T54" i="27"/>
  <c r="S54" i="27"/>
  <c r="R54" i="27"/>
  <c r="Q54" i="27"/>
  <c r="P54" i="27"/>
  <c r="O54" i="27"/>
  <c r="T53" i="27"/>
  <c r="S53" i="27"/>
  <c r="R53" i="27"/>
  <c r="Q53" i="27"/>
  <c r="P53" i="27"/>
  <c r="O53" i="27"/>
  <c r="T52" i="27"/>
  <c r="S52" i="27"/>
  <c r="R52" i="27"/>
  <c r="Q52" i="27"/>
  <c r="P52" i="27"/>
  <c r="O52" i="27"/>
  <c r="T51" i="27"/>
  <c r="S51" i="27"/>
  <c r="R51" i="27"/>
  <c r="Q51" i="27"/>
  <c r="P51" i="27"/>
  <c r="O51" i="27"/>
  <c r="T50" i="27"/>
  <c r="S50" i="27"/>
  <c r="R50" i="27"/>
  <c r="Q50" i="27"/>
  <c r="P50" i="27"/>
  <c r="O50" i="27"/>
  <c r="T49" i="27"/>
  <c r="S49" i="27"/>
  <c r="R49" i="27"/>
  <c r="Q49" i="27"/>
  <c r="P49" i="27"/>
  <c r="O49" i="27"/>
  <c r="T48" i="27"/>
  <c r="S48" i="27"/>
  <c r="R48" i="27"/>
  <c r="Q48" i="27"/>
  <c r="P48" i="27"/>
  <c r="O48" i="27"/>
  <c r="T47" i="27"/>
  <c r="S47" i="27"/>
  <c r="R47" i="27"/>
  <c r="Q47" i="27"/>
  <c r="P47" i="27"/>
  <c r="O47" i="27"/>
  <c r="T46" i="27"/>
  <c r="S46" i="27"/>
  <c r="R46" i="27"/>
  <c r="Q46" i="27"/>
  <c r="P46" i="27"/>
  <c r="O46" i="27"/>
  <c r="T45" i="27"/>
  <c r="S45" i="27"/>
  <c r="R45" i="27"/>
  <c r="Q45" i="27"/>
  <c r="P45" i="27"/>
  <c r="O45" i="27"/>
  <c r="T44" i="27"/>
  <c r="S44" i="27"/>
  <c r="R44" i="27"/>
  <c r="Q44" i="27"/>
  <c r="P44" i="27"/>
  <c r="O44" i="27"/>
  <c r="U43" i="27"/>
  <c r="T43" i="27"/>
  <c r="S43" i="27"/>
  <c r="R43" i="27"/>
  <c r="Q43" i="27"/>
  <c r="P43" i="27"/>
  <c r="O43" i="27"/>
  <c r="T42" i="27"/>
  <c r="S42" i="27"/>
  <c r="R42" i="27"/>
  <c r="Q42" i="27"/>
  <c r="P42" i="27"/>
  <c r="O42" i="27"/>
  <c r="P86" i="9"/>
  <c r="K68" i="26"/>
  <c r="K81" i="9" s="1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41" i="26"/>
  <c r="I68" i="26"/>
  <c r="K80" i="9" s="1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41" i="26"/>
  <c r="G68" i="26"/>
  <c r="K79" i="9" s="1"/>
  <c r="U42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41" i="26"/>
  <c r="E68" i="26"/>
  <c r="K78" i="9" s="1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41" i="26"/>
  <c r="D61" i="26"/>
  <c r="D62" i="26"/>
  <c r="D63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41" i="26"/>
  <c r="C68" i="26"/>
  <c r="K77" i="9" s="1"/>
  <c r="K30" i="26"/>
  <c r="K75" i="9" s="1"/>
  <c r="A68" i="26"/>
  <c r="K76" i="9" s="1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41" i="26"/>
  <c r="H25" i="26"/>
  <c r="I30" i="26"/>
  <c r="K74" i="9" s="1"/>
  <c r="G30" i="26"/>
  <c r="K73" i="9" s="1"/>
  <c r="L25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4" i="26"/>
  <c r="J22" i="26"/>
  <c r="J23" i="26"/>
  <c r="J24" i="26"/>
  <c r="J25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4" i="26"/>
  <c r="BU119" i="9"/>
  <c r="BT119" i="9"/>
  <c r="H24" i="26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4" i="26"/>
  <c r="E30" i="26"/>
  <c r="K72" i="9" s="1"/>
  <c r="F26" i="26"/>
  <c r="F5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4" i="26"/>
  <c r="C30" i="26"/>
  <c r="K71" i="9" s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4" i="26"/>
  <c r="A30" i="26"/>
  <c r="F95" i="9" l="1"/>
  <c r="AU97" i="9"/>
  <c r="F97" i="9"/>
  <c r="AU95" i="9"/>
  <c r="C93" i="9"/>
  <c r="G93" i="9" s="1"/>
  <c r="AT93" i="9"/>
  <c r="AU94" i="9" s="1"/>
  <c r="S94" i="9"/>
  <c r="G94" i="9"/>
  <c r="F94" i="9"/>
  <c r="C92" i="9"/>
  <c r="G92" i="9" s="1"/>
  <c r="AU92" i="9"/>
  <c r="S93" i="9"/>
  <c r="AE84" i="9"/>
  <c r="Y84" i="9"/>
  <c r="S92" i="9"/>
  <c r="C91" i="9"/>
  <c r="F91" i="9" s="1"/>
  <c r="C90" i="9"/>
  <c r="AT90" i="9"/>
  <c r="S91" i="9"/>
  <c r="S90" i="9"/>
  <c r="AT89" i="9"/>
  <c r="B87" i="9"/>
  <c r="AT87" i="9"/>
  <c r="A65" i="27"/>
  <c r="P88" i="9"/>
  <c r="R86" i="9"/>
  <c r="Q87" i="9"/>
  <c r="AT85" i="9"/>
  <c r="B86" i="9"/>
  <c r="Q86" i="9"/>
  <c r="G85" i="9"/>
  <c r="F85" i="9"/>
  <c r="S85" i="9"/>
  <c r="AT84" i="9"/>
  <c r="Q84" i="9"/>
  <c r="S84" i="9"/>
  <c r="B83" i="9"/>
  <c r="L83" i="9"/>
  <c r="AT83" i="9"/>
  <c r="AO82" i="9"/>
  <c r="AI82" i="9"/>
  <c r="BE82" i="9"/>
  <c r="BE80" i="9"/>
  <c r="AC82" i="9"/>
  <c r="X82" i="9"/>
  <c r="AD82" i="9"/>
  <c r="L82" i="9"/>
  <c r="AJ82" i="9"/>
  <c r="AP82" i="9"/>
  <c r="B31" i="27"/>
  <c r="W82" i="9"/>
  <c r="BE81" i="9"/>
  <c r="L30" i="27"/>
  <c r="K28" i="27"/>
  <c r="B68" i="27"/>
  <c r="D69" i="27" s="1"/>
  <c r="C65" i="27"/>
  <c r="D30" i="27"/>
  <c r="E28" i="27"/>
  <c r="F30" i="27"/>
  <c r="H68" i="27"/>
  <c r="G28" i="27"/>
  <c r="H30" i="27"/>
  <c r="J30" i="27"/>
  <c r="I28" i="27"/>
  <c r="X81" i="9"/>
  <c r="L65" i="26"/>
  <c r="A28" i="27" s="1"/>
  <c r="W81" i="9"/>
  <c r="AD81" i="9"/>
  <c r="AJ81" i="9"/>
  <c r="AO81" i="9"/>
  <c r="AP81" i="9"/>
  <c r="AC81" i="9"/>
  <c r="L81" i="9"/>
  <c r="AI81" i="9"/>
  <c r="AP80" i="9"/>
  <c r="X80" i="9"/>
  <c r="AI80" i="9"/>
  <c r="AD80" i="9"/>
  <c r="L80" i="9"/>
  <c r="AJ80" i="9"/>
  <c r="W80" i="9"/>
  <c r="AO80" i="9"/>
  <c r="AC80" i="9"/>
  <c r="AC79" i="9"/>
  <c r="BE79" i="9"/>
  <c r="AD79" i="9"/>
  <c r="L79" i="9"/>
  <c r="X79" i="9"/>
  <c r="AJ79" i="9"/>
  <c r="AP79" i="9"/>
  <c r="AI79" i="9"/>
  <c r="W79" i="9"/>
  <c r="AO79" i="9"/>
  <c r="L78" i="9"/>
  <c r="AC78" i="9"/>
  <c r="W78" i="9"/>
  <c r="X78" i="9"/>
  <c r="AD78" i="9"/>
  <c r="AI78" i="9"/>
  <c r="AO78" i="9"/>
  <c r="BE78" i="9"/>
  <c r="AJ78" i="9"/>
  <c r="AP78" i="9"/>
  <c r="BE77" i="9"/>
  <c r="W77" i="9"/>
  <c r="D65" i="26"/>
  <c r="P77" i="9" s="1"/>
  <c r="R77" i="9" s="1"/>
  <c r="AI77" i="9"/>
  <c r="AP77" i="9"/>
  <c r="L77" i="9"/>
  <c r="AJ77" i="9"/>
  <c r="X77" i="9"/>
  <c r="AD77" i="9"/>
  <c r="AC77" i="9"/>
  <c r="AO77" i="9"/>
  <c r="BE76" i="9"/>
  <c r="W76" i="9"/>
  <c r="AC76" i="9"/>
  <c r="X76" i="9"/>
  <c r="AJ76" i="9"/>
  <c r="AO76" i="9"/>
  <c r="AD76" i="9"/>
  <c r="AP76" i="9"/>
  <c r="AI76" i="9"/>
  <c r="AD75" i="9"/>
  <c r="L76" i="9"/>
  <c r="H28" i="26"/>
  <c r="J28" i="26"/>
  <c r="P74" i="9" s="1"/>
  <c r="W75" i="9"/>
  <c r="AC75" i="9"/>
  <c r="D28" i="26"/>
  <c r="L28" i="26"/>
  <c r="P75" i="9" s="1"/>
  <c r="B75" i="9" s="1"/>
  <c r="AJ75" i="9"/>
  <c r="F28" i="26"/>
  <c r="P72" i="9" s="1"/>
  <c r="AO75" i="9"/>
  <c r="BE75" i="9"/>
  <c r="AI75" i="9"/>
  <c r="AP75" i="9"/>
  <c r="L75" i="9"/>
  <c r="X75" i="9"/>
  <c r="W74" i="9"/>
  <c r="AC74" i="9"/>
  <c r="AI74" i="9"/>
  <c r="AO74" i="9"/>
  <c r="BE74" i="9"/>
  <c r="AP74" i="9"/>
  <c r="L74" i="9"/>
  <c r="AJ74" i="9"/>
  <c r="X74" i="9"/>
  <c r="AD74" i="9"/>
  <c r="BE73" i="9"/>
  <c r="L73" i="9"/>
  <c r="AI73" i="9"/>
  <c r="X73" i="9"/>
  <c r="AD73" i="9"/>
  <c r="AC73" i="9"/>
  <c r="AP73" i="9"/>
  <c r="W73" i="9"/>
  <c r="AJ73" i="9"/>
  <c r="AO73" i="9"/>
  <c r="X72" i="9"/>
  <c r="BE72" i="9"/>
  <c r="AO72" i="9"/>
  <c r="L72" i="9"/>
  <c r="AD72" i="9"/>
  <c r="AJ72" i="9"/>
  <c r="AP72" i="9"/>
  <c r="W72" i="9"/>
  <c r="AC72" i="9"/>
  <c r="AI72" i="9"/>
  <c r="BE71" i="9"/>
  <c r="AC71" i="9"/>
  <c r="AI71" i="9"/>
  <c r="AO71" i="9"/>
  <c r="W71" i="9"/>
  <c r="AJ71" i="9"/>
  <c r="AD71" i="9"/>
  <c r="X71" i="9"/>
  <c r="AP71" i="9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7" i="26"/>
  <c r="K70" i="9"/>
  <c r="B6" i="26"/>
  <c r="B5" i="26"/>
  <c r="B4" i="26"/>
  <c r="T65" i="26"/>
  <c r="S65" i="26"/>
  <c r="R65" i="26"/>
  <c r="Q65" i="26"/>
  <c r="P65" i="26"/>
  <c r="O65" i="26"/>
  <c r="J65" i="26"/>
  <c r="P80" i="9" s="1"/>
  <c r="H65" i="26"/>
  <c r="F65" i="26"/>
  <c r="P78" i="9" s="1"/>
  <c r="B65" i="26"/>
  <c r="T64" i="26"/>
  <c r="S64" i="26"/>
  <c r="R64" i="26"/>
  <c r="Q64" i="26"/>
  <c r="P64" i="26"/>
  <c r="O64" i="26"/>
  <c r="T63" i="26"/>
  <c r="S63" i="26"/>
  <c r="R63" i="26"/>
  <c r="Q63" i="26"/>
  <c r="P63" i="26"/>
  <c r="O63" i="26"/>
  <c r="T62" i="26"/>
  <c r="S62" i="26"/>
  <c r="R62" i="26"/>
  <c r="Q62" i="26"/>
  <c r="P62" i="26"/>
  <c r="O62" i="26"/>
  <c r="T61" i="26"/>
  <c r="S61" i="26"/>
  <c r="R61" i="26"/>
  <c r="Q61" i="26"/>
  <c r="P61" i="26"/>
  <c r="O61" i="26"/>
  <c r="T60" i="26"/>
  <c r="S60" i="26"/>
  <c r="R60" i="26"/>
  <c r="Q60" i="26"/>
  <c r="P60" i="26"/>
  <c r="O60" i="26"/>
  <c r="T59" i="26"/>
  <c r="S59" i="26"/>
  <c r="R59" i="26"/>
  <c r="Q59" i="26"/>
  <c r="P59" i="26"/>
  <c r="O59" i="26"/>
  <c r="T58" i="26"/>
  <c r="S58" i="26"/>
  <c r="R58" i="26"/>
  <c r="Q58" i="26"/>
  <c r="P58" i="26"/>
  <c r="O58" i="26"/>
  <c r="T57" i="26"/>
  <c r="S57" i="26"/>
  <c r="R57" i="26"/>
  <c r="Q57" i="26"/>
  <c r="P57" i="26"/>
  <c r="O57" i="26"/>
  <c r="T56" i="26"/>
  <c r="S56" i="26"/>
  <c r="R56" i="26"/>
  <c r="Q56" i="26"/>
  <c r="P56" i="26"/>
  <c r="O56" i="26"/>
  <c r="T55" i="26"/>
  <c r="S55" i="26"/>
  <c r="R55" i="26"/>
  <c r="Q55" i="26"/>
  <c r="P55" i="26"/>
  <c r="O55" i="26"/>
  <c r="T54" i="26"/>
  <c r="S54" i="26"/>
  <c r="R54" i="26"/>
  <c r="Q54" i="26"/>
  <c r="P54" i="26"/>
  <c r="O54" i="26"/>
  <c r="T53" i="26"/>
  <c r="S53" i="26"/>
  <c r="R53" i="26"/>
  <c r="Q53" i="26"/>
  <c r="P53" i="26"/>
  <c r="O53" i="26"/>
  <c r="T52" i="26"/>
  <c r="S52" i="26"/>
  <c r="R52" i="26"/>
  <c r="Q52" i="26"/>
  <c r="P52" i="26"/>
  <c r="O52" i="26"/>
  <c r="T51" i="26"/>
  <c r="S51" i="26"/>
  <c r="R51" i="26"/>
  <c r="Q51" i="26"/>
  <c r="P51" i="26"/>
  <c r="O51" i="26"/>
  <c r="T50" i="26"/>
  <c r="S50" i="26"/>
  <c r="R50" i="26"/>
  <c r="Q50" i="26"/>
  <c r="P50" i="26"/>
  <c r="O50" i="26"/>
  <c r="T49" i="26"/>
  <c r="S49" i="26"/>
  <c r="R49" i="26"/>
  <c r="Q49" i="26"/>
  <c r="P49" i="26"/>
  <c r="O49" i="26"/>
  <c r="T48" i="26"/>
  <c r="S48" i="26"/>
  <c r="R48" i="26"/>
  <c r="Q48" i="26"/>
  <c r="P48" i="26"/>
  <c r="O48" i="26"/>
  <c r="T47" i="26"/>
  <c r="S47" i="26"/>
  <c r="R47" i="26"/>
  <c r="Q47" i="26"/>
  <c r="P47" i="26"/>
  <c r="O47" i="26"/>
  <c r="T46" i="26"/>
  <c r="S46" i="26"/>
  <c r="R46" i="26"/>
  <c r="Q46" i="26"/>
  <c r="P46" i="26"/>
  <c r="O46" i="26"/>
  <c r="T45" i="26"/>
  <c r="S45" i="26"/>
  <c r="R45" i="26"/>
  <c r="Q45" i="26"/>
  <c r="P45" i="26"/>
  <c r="O45" i="26"/>
  <c r="T44" i="26"/>
  <c r="S44" i="26"/>
  <c r="R44" i="26"/>
  <c r="Q44" i="26"/>
  <c r="P44" i="26"/>
  <c r="O44" i="26"/>
  <c r="T43" i="26"/>
  <c r="S43" i="26"/>
  <c r="R43" i="26"/>
  <c r="Q43" i="26"/>
  <c r="P43" i="26"/>
  <c r="O43" i="26"/>
  <c r="T42" i="26"/>
  <c r="S42" i="26"/>
  <c r="R42" i="26"/>
  <c r="Q42" i="26"/>
  <c r="P42" i="26"/>
  <c r="O42" i="26"/>
  <c r="T41" i="26"/>
  <c r="S41" i="26"/>
  <c r="R41" i="26"/>
  <c r="Q41" i="26"/>
  <c r="P41" i="26"/>
  <c r="O41" i="26"/>
  <c r="BD69" i="9"/>
  <c r="AN69" i="9"/>
  <c r="AH69" i="9"/>
  <c r="AB69" i="9"/>
  <c r="V69" i="9"/>
  <c r="K69" i="9"/>
  <c r="BD68" i="9"/>
  <c r="AN68" i="9"/>
  <c r="AH68" i="9"/>
  <c r="AB68" i="9"/>
  <c r="V68" i="9"/>
  <c r="I68" i="24"/>
  <c r="C84" i="9" l="1"/>
  <c r="G84" i="9" s="1"/>
  <c r="F93" i="9"/>
  <c r="F92" i="9"/>
  <c r="H69" i="27"/>
  <c r="J69" i="27"/>
  <c r="AU91" i="9"/>
  <c r="G90" i="9"/>
  <c r="G91" i="9"/>
  <c r="F90" i="9"/>
  <c r="AU90" i="9"/>
  <c r="Q89" i="9"/>
  <c r="R88" i="9"/>
  <c r="Q88" i="9"/>
  <c r="B88" i="9"/>
  <c r="AT86" i="9"/>
  <c r="AU87" i="9" s="1"/>
  <c r="S87" i="9"/>
  <c r="C86" i="9"/>
  <c r="G86" i="9" s="1"/>
  <c r="C87" i="9"/>
  <c r="L31" i="27"/>
  <c r="AU85" i="9"/>
  <c r="S86" i="9"/>
  <c r="AU84" i="9"/>
  <c r="AQ83" i="9"/>
  <c r="Y83" i="9"/>
  <c r="AK83" i="9"/>
  <c r="AE83" i="9"/>
  <c r="Y82" i="9"/>
  <c r="AK82" i="9"/>
  <c r="AK81" i="9"/>
  <c r="AE82" i="9"/>
  <c r="AQ82" i="9"/>
  <c r="C28" i="27"/>
  <c r="P82" i="9"/>
  <c r="B30" i="27"/>
  <c r="D31" i="27" s="1"/>
  <c r="Y81" i="9"/>
  <c r="H31" i="27"/>
  <c r="F31" i="27"/>
  <c r="J31" i="27"/>
  <c r="B69" i="27"/>
  <c r="AE81" i="9"/>
  <c r="AQ81" i="9"/>
  <c r="L67" i="26"/>
  <c r="P81" i="9"/>
  <c r="Y80" i="9"/>
  <c r="AE80" i="9"/>
  <c r="AQ80" i="9"/>
  <c r="B80" i="9"/>
  <c r="R80" i="9"/>
  <c r="AK80" i="9"/>
  <c r="Y79" i="9"/>
  <c r="AK79" i="9"/>
  <c r="H67" i="26"/>
  <c r="P79" i="9"/>
  <c r="R79" i="9" s="1"/>
  <c r="AT79" i="9" s="1"/>
  <c r="AE79" i="9"/>
  <c r="AQ79" i="9"/>
  <c r="Y78" i="9"/>
  <c r="AE78" i="9"/>
  <c r="F67" i="26"/>
  <c r="AQ78" i="9"/>
  <c r="AK78" i="9"/>
  <c r="B77" i="9"/>
  <c r="AQ77" i="9"/>
  <c r="AK77" i="9"/>
  <c r="AE77" i="9"/>
  <c r="AT77" i="9"/>
  <c r="Y77" i="9"/>
  <c r="AK76" i="9"/>
  <c r="AE76" i="9"/>
  <c r="Y76" i="9"/>
  <c r="AE75" i="9"/>
  <c r="AQ76" i="9"/>
  <c r="B67" i="26"/>
  <c r="P76" i="9"/>
  <c r="Q77" i="9" s="1"/>
  <c r="AK75" i="9"/>
  <c r="R75" i="9"/>
  <c r="AT75" i="9" s="1"/>
  <c r="Q75" i="9"/>
  <c r="Y75" i="9"/>
  <c r="AQ75" i="9"/>
  <c r="B28" i="26"/>
  <c r="P70" i="9" s="1"/>
  <c r="AQ74" i="9"/>
  <c r="AK73" i="9"/>
  <c r="AE74" i="9"/>
  <c r="Y74" i="9"/>
  <c r="AK74" i="9"/>
  <c r="B74" i="9"/>
  <c r="C75" i="9" s="1"/>
  <c r="R74" i="9"/>
  <c r="AQ73" i="9"/>
  <c r="AE73" i="9"/>
  <c r="Y73" i="9"/>
  <c r="H29" i="26"/>
  <c r="P73" i="9"/>
  <c r="B73" i="9" s="1"/>
  <c r="Y72" i="9"/>
  <c r="AQ72" i="9"/>
  <c r="B72" i="9"/>
  <c r="R72" i="9"/>
  <c r="AK72" i="9"/>
  <c r="AE72" i="9"/>
  <c r="L71" i="9"/>
  <c r="D29" i="26"/>
  <c r="P71" i="9"/>
  <c r="Q72" i="9" s="1"/>
  <c r="L70" i="9"/>
  <c r="J67" i="26"/>
  <c r="AO70" i="9"/>
  <c r="BE70" i="9"/>
  <c r="X70" i="9"/>
  <c r="AD70" i="9"/>
  <c r="AI70" i="9"/>
  <c r="B30" i="26"/>
  <c r="AP70" i="9"/>
  <c r="AJ70" i="9"/>
  <c r="AC70" i="9"/>
  <c r="W70" i="9"/>
  <c r="K64" i="26"/>
  <c r="I64" i="26"/>
  <c r="E64" i="26"/>
  <c r="K27" i="26"/>
  <c r="G27" i="26"/>
  <c r="I27" i="26"/>
  <c r="F29" i="26"/>
  <c r="J29" i="26"/>
  <c r="L29" i="26"/>
  <c r="A64" i="26"/>
  <c r="E27" i="26"/>
  <c r="C64" i="26"/>
  <c r="D67" i="26"/>
  <c r="G64" i="26"/>
  <c r="AC69" i="9"/>
  <c r="BE69" i="9"/>
  <c r="AJ69" i="9"/>
  <c r="AP69" i="9"/>
  <c r="X69" i="9"/>
  <c r="AO69" i="9"/>
  <c r="AI69" i="9"/>
  <c r="AD69" i="9"/>
  <c r="W69" i="9"/>
  <c r="K68" i="9"/>
  <c r="AP68" i="9" s="1"/>
  <c r="BE68" i="9"/>
  <c r="AO68" i="9"/>
  <c r="AI68" i="9"/>
  <c r="AC68" i="9"/>
  <c r="W68" i="9"/>
  <c r="BE67" i="9"/>
  <c r="AO67" i="9"/>
  <c r="AI67" i="9"/>
  <c r="AC67" i="9"/>
  <c r="W67" i="9"/>
  <c r="K67" i="9"/>
  <c r="BE66" i="9"/>
  <c r="AO66" i="9"/>
  <c r="AI66" i="9"/>
  <c r="AC66" i="9"/>
  <c r="W66" i="9"/>
  <c r="K66" i="9"/>
  <c r="D65" i="24"/>
  <c r="F84" i="9" l="1"/>
  <c r="C88" i="9"/>
  <c r="C89" i="9"/>
  <c r="S89" i="9"/>
  <c r="AT88" i="9"/>
  <c r="S88" i="9"/>
  <c r="AU86" i="9"/>
  <c r="G87" i="9"/>
  <c r="F87" i="9"/>
  <c r="F86" i="9"/>
  <c r="Q83" i="9"/>
  <c r="R82" i="9"/>
  <c r="AU93" i="9" s="1"/>
  <c r="Q82" i="9"/>
  <c r="B82" i="9"/>
  <c r="R81" i="9"/>
  <c r="B81" i="9"/>
  <c r="C81" i="9" s="1"/>
  <c r="Q81" i="9"/>
  <c r="AT80" i="9"/>
  <c r="AU80" i="9" s="1"/>
  <c r="S80" i="9"/>
  <c r="Q80" i="9"/>
  <c r="B79" i="9"/>
  <c r="C80" i="9" s="1"/>
  <c r="Q79" i="9"/>
  <c r="H68" i="26"/>
  <c r="J68" i="26"/>
  <c r="R78" i="9"/>
  <c r="S79" i="9" s="1"/>
  <c r="B78" i="9"/>
  <c r="Q78" i="9"/>
  <c r="D68" i="26"/>
  <c r="B76" i="9"/>
  <c r="R76" i="9"/>
  <c r="Q76" i="9"/>
  <c r="S75" i="9"/>
  <c r="G75" i="9"/>
  <c r="F75" i="9"/>
  <c r="Q74" i="9"/>
  <c r="C74" i="9"/>
  <c r="F74" i="9" s="1"/>
  <c r="Y71" i="9"/>
  <c r="L30" i="26"/>
  <c r="AT74" i="9"/>
  <c r="AU75" i="9" s="1"/>
  <c r="J30" i="26"/>
  <c r="AT72" i="9"/>
  <c r="C73" i="9"/>
  <c r="G73" i="9" s="1"/>
  <c r="H30" i="26"/>
  <c r="R73" i="9"/>
  <c r="Q73" i="9"/>
  <c r="AK71" i="9"/>
  <c r="AQ71" i="9"/>
  <c r="AE71" i="9"/>
  <c r="Q71" i="9"/>
  <c r="R71" i="9"/>
  <c r="B71" i="9"/>
  <c r="C72" i="9" s="1"/>
  <c r="L67" i="9"/>
  <c r="L68" i="26"/>
  <c r="A27" i="26"/>
  <c r="R70" i="9"/>
  <c r="B29" i="26"/>
  <c r="D30" i="26" s="1"/>
  <c r="B70" i="9"/>
  <c r="C27" i="26"/>
  <c r="AK70" i="9"/>
  <c r="AQ70" i="9"/>
  <c r="AE70" i="9"/>
  <c r="Y70" i="9"/>
  <c r="F30" i="26"/>
  <c r="F68" i="26"/>
  <c r="B68" i="26"/>
  <c r="AQ69" i="9"/>
  <c r="L69" i="9"/>
  <c r="C23" i="25"/>
  <c r="C30" i="25"/>
  <c r="C16" i="25"/>
  <c r="C9" i="25"/>
  <c r="F18" i="25"/>
  <c r="F11" i="25"/>
  <c r="F32" i="25"/>
  <c r="F25" i="25"/>
  <c r="B24" i="25"/>
  <c r="B10" i="25"/>
  <c r="B31" i="25"/>
  <c r="B17" i="25"/>
  <c r="D5" i="25"/>
  <c r="B11" i="25"/>
  <c r="B32" i="25"/>
  <c r="B18" i="25"/>
  <c r="B25" i="25"/>
  <c r="F17" i="25"/>
  <c r="F10" i="25"/>
  <c r="F31" i="25"/>
  <c r="F24" i="25"/>
  <c r="AJ68" i="9"/>
  <c r="AK69" i="9" s="1"/>
  <c r="AD68" i="9"/>
  <c r="AE69" i="9" s="1"/>
  <c r="X68" i="9"/>
  <c r="Y69" i="9" s="1"/>
  <c r="D4" i="25"/>
  <c r="L68" i="9"/>
  <c r="AJ67" i="9"/>
  <c r="AP67" i="9"/>
  <c r="AQ68" i="9" s="1"/>
  <c r="AD67" i="9"/>
  <c r="X67" i="9"/>
  <c r="AJ66" i="9"/>
  <c r="X66" i="9"/>
  <c r="AP66" i="9"/>
  <c r="AD66" i="9"/>
  <c r="K65" i="9"/>
  <c r="L66" i="9" s="1"/>
  <c r="F88" i="9" l="1"/>
  <c r="G88" i="9"/>
  <c r="AU88" i="9"/>
  <c r="AU89" i="9"/>
  <c r="F89" i="9"/>
  <c r="G89" i="9"/>
  <c r="C83" i="9"/>
  <c r="S83" i="9"/>
  <c r="S82" i="9"/>
  <c r="AT82" i="9"/>
  <c r="C82" i="9"/>
  <c r="S81" i="9"/>
  <c r="AT81" i="9"/>
  <c r="AU81" i="9" s="1"/>
  <c r="G81" i="9"/>
  <c r="F81" i="9"/>
  <c r="G80" i="9"/>
  <c r="F80" i="9"/>
  <c r="C78" i="9"/>
  <c r="F78" i="9" s="1"/>
  <c r="C79" i="9"/>
  <c r="D31" i="25"/>
  <c r="AT78" i="9"/>
  <c r="S78" i="9"/>
  <c r="S77" i="9"/>
  <c r="C76" i="9"/>
  <c r="F76" i="9" s="1"/>
  <c r="C77" i="9"/>
  <c r="AT76" i="9"/>
  <c r="S76" i="9"/>
  <c r="AT73" i="9"/>
  <c r="AU74" i="9" s="1"/>
  <c r="G74" i="9"/>
  <c r="S74" i="9"/>
  <c r="S72" i="9"/>
  <c r="AT71" i="9"/>
  <c r="F73" i="9"/>
  <c r="S73" i="9"/>
  <c r="G72" i="9"/>
  <c r="F72" i="9"/>
  <c r="D32" i="25"/>
  <c r="D11" i="25"/>
  <c r="C71" i="9"/>
  <c r="G71" i="9" s="1"/>
  <c r="AT70" i="9"/>
  <c r="S71" i="9"/>
  <c r="D17" i="25"/>
  <c r="D10" i="25"/>
  <c r="D25" i="25"/>
  <c r="D24" i="25"/>
  <c r="AK68" i="9"/>
  <c r="Y68" i="9"/>
  <c r="AE68" i="9"/>
  <c r="D18" i="25"/>
  <c r="G23" i="25"/>
  <c r="G30" i="25"/>
  <c r="G16" i="25"/>
  <c r="G9" i="25"/>
  <c r="H31" i="25" s="1"/>
  <c r="H5" i="25"/>
  <c r="J5" i="25" s="1"/>
  <c r="H4" i="25"/>
  <c r="J4" i="25" s="1"/>
  <c r="AK67" i="9"/>
  <c r="AE67" i="9"/>
  <c r="AQ67" i="9"/>
  <c r="Y67" i="9"/>
  <c r="BE65" i="9"/>
  <c r="AP65" i="9"/>
  <c r="AQ66" i="9" s="1"/>
  <c r="AO65" i="9"/>
  <c r="AJ65" i="9"/>
  <c r="AK66" i="9" s="1"/>
  <c r="AI65" i="9"/>
  <c r="AD65" i="9"/>
  <c r="AE66" i="9" s="1"/>
  <c r="AC65" i="9"/>
  <c r="X65" i="9"/>
  <c r="Y66" i="9" s="1"/>
  <c r="W65" i="9"/>
  <c r="BE64" i="9"/>
  <c r="BE63" i="9"/>
  <c r="AO64" i="9"/>
  <c r="AI64" i="9"/>
  <c r="AC64" i="9"/>
  <c r="W64" i="9"/>
  <c r="K64" i="9"/>
  <c r="AO63" i="9"/>
  <c r="AI63" i="9"/>
  <c r="AC63" i="9"/>
  <c r="W63" i="9"/>
  <c r="P63" i="9"/>
  <c r="K63" i="9"/>
  <c r="AP63" i="9" s="1"/>
  <c r="AU83" i="9" l="1"/>
  <c r="G83" i="9"/>
  <c r="F83" i="9"/>
  <c r="AU82" i="9"/>
  <c r="G82" i="9"/>
  <c r="F82" i="9"/>
  <c r="G78" i="9"/>
  <c r="G79" i="9"/>
  <c r="F79" i="9"/>
  <c r="J31" i="25"/>
  <c r="AU78" i="9"/>
  <c r="AU79" i="9"/>
  <c r="G76" i="9"/>
  <c r="AU76" i="9"/>
  <c r="AU77" i="9"/>
  <c r="G77" i="9"/>
  <c r="F77" i="9"/>
  <c r="AU73" i="9"/>
  <c r="AU71" i="9"/>
  <c r="AU72" i="9"/>
  <c r="H17" i="25"/>
  <c r="J17" i="25" s="1"/>
  <c r="F71" i="9"/>
  <c r="H18" i="25"/>
  <c r="J18" i="25" s="1"/>
  <c r="H11" i="25"/>
  <c r="J11" i="25" s="1"/>
  <c r="H32" i="25"/>
  <c r="J32" i="25" s="1"/>
  <c r="H24" i="25"/>
  <c r="J24" i="25" s="1"/>
  <c r="B63" i="9"/>
  <c r="H25" i="25"/>
  <c r="J25" i="25" s="1"/>
  <c r="H10" i="25"/>
  <c r="J10" i="25" s="1"/>
  <c r="X63" i="9"/>
  <c r="L64" i="9"/>
  <c r="L65" i="9"/>
  <c r="AD63" i="9"/>
  <c r="AJ63" i="9"/>
  <c r="R63" i="9"/>
  <c r="AT63" i="9" s="1"/>
  <c r="X64" i="9"/>
  <c r="Y65" i="9" s="1"/>
  <c r="AD64" i="9"/>
  <c r="AE65" i="9" s="1"/>
  <c r="J28" i="24"/>
  <c r="Y64" i="9" l="1"/>
  <c r="AE64" i="9"/>
  <c r="AJ64" i="9"/>
  <c r="AP64" i="9"/>
  <c r="BE62" i="9"/>
  <c r="AO62" i="9"/>
  <c r="AI62" i="9"/>
  <c r="AC62" i="9"/>
  <c r="W62" i="9"/>
  <c r="K62" i="9"/>
  <c r="AO61" i="9"/>
  <c r="W61" i="9"/>
  <c r="AO60" i="9"/>
  <c r="H28" i="24"/>
  <c r="BE61" i="9"/>
  <c r="AI61" i="9"/>
  <c r="AC61" i="9"/>
  <c r="K61" i="9"/>
  <c r="F28" i="24"/>
  <c r="AC60" i="9"/>
  <c r="AO59" i="9"/>
  <c r="K60" i="9"/>
  <c r="AP60" i="9" s="1"/>
  <c r="BE60" i="9"/>
  <c r="AI60" i="9"/>
  <c r="W60" i="9"/>
  <c r="BE57" i="9"/>
  <c r="BE58" i="9"/>
  <c r="BE59" i="9"/>
  <c r="AI59" i="9"/>
  <c r="AC59" i="9"/>
  <c r="W59" i="9"/>
  <c r="K59" i="9"/>
  <c r="AD59" i="9" s="1"/>
  <c r="AK64" i="9" l="1"/>
  <c r="AK65" i="9"/>
  <c r="AQ64" i="9"/>
  <c r="AQ65" i="9"/>
  <c r="AP62" i="9"/>
  <c r="L62" i="9"/>
  <c r="L63" i="9"/>
  <c r="X62" i="9"/>
  <c r="AD62" i="9"/>
  <c r="AJ62" i="9"/>
  <c r="L61" i="9"/>
  <c r="AP61" i="9"/>
  <c r="AJ61" i="9"/>
  <c r="AK63" i="9" s="1"/>
  <c r="AD61" i="9"/>
  <c r="AE63" i="9" s="1"/>
  <c r="X61" i="9"/>
  <c r="Y63" i="9" s="1"/>
  <c r="X60" i="9"/>
  <c r="AD60" i="9"/>
  <c r="AJ60" i="9"/>
  <c r="L60" i="9"/>
  <c r="AP59" i="9"/>
  <c r="AQ60" i="9" s="1"/>
  <c r="X59" i="9"/>
  <c r="AJ59" i="9"/>
  <c r="K58" i="9"/>
  <c r="L59" i="9" l="1"/>
  <c r="AQ62" i="9"/>
  <c r="AQ63" i="9"/>
  <c r="AK62" i="9"/>
  <c r="AE62" i="9"/>
  <c r="Y62" i="9"/>
  <c r="AQ61" i="9"/>
  <c r="AK61" i="9"/>
  <c r="Y61" i="9"/>
  <c r="AE61" i="9"/>
  <c r="AK60" i="9"/>
  <c r="AE60" i="9"/>
  <c r="Y60" i="9"/>
  <c r="AO58" i="9"/>
  <c r="AO57" i="9"/>
  <c r="AI58" i="9"/>
  <c r="AC58" i="9"/>
  <c r="W58" i="9"/>
  <c r="T65" i="24"/>
  <c r="S65" i="24"/>
  <c r="R65" i="24"/>
  <c r="Q65" i="24"/>
  <c r="P65" i="24"/>
  <c r="O65" i="24"/>
  <c r="L65" i="24"/>
  <c r="J65" i="24"/>
  <c r="H65" i="24"/>
  <c r="F65" i="24"/>
  <c r="P66" i="9" s="1"/>
  <c r="B65" i="24"/>
  <c r="T64" i="24"/>
  <c r="S64" i="24"/>
  <c r="R64" i="24"/>
  <c r="Q64" i="24"/>
  <c r="P64" i="24"/>
  <c r="O64" i="24"/>
  <c r="T63" i="24"/>
  <c r="S63" i="24"/>
  <c r="R63" i="24"/>
  <c r="Q63" i="24"/>
  <c r="P63" i="24"/>
  <c r="O63" i="24"/>
  <c r="T62" i="24"/>
  <c r="S62" i="24"/>
  <c r="R62" i="24"/>
  <c r="Q62" i="24"/>
  <c r="P62" i="24"/>
  <c r="O62" i="24"/>
  <c r="T61" i="24"/>
  <c r="S61" i="24"/>
  <c r="R61" i="24"/>
  <c r="Q61" i="24"/>
  <c r="P61" i="24"/>
  <c r="O61" i="24"/>
  <c r="T60" i="24"/>
  <c r="S60" i="24"/>
  <c r="R60" i="24"/>
  <c r="Q60" i="24"/>
  <c r="P60" i="24"/>
  <c r="O60" i="24"/>
  <c r="T59" i="24"/>
  <c r="S59" i="24"/>
  <c r="R59" i="24"/>
  <c r="Q59" i="24"/>
  <c r="P59" i="24"/>
  <c r="O59" i="24"/>
  <c r="T58" i="24"/>
  <c r="S58" i="24"/>
  <c r="R58" i="24"/>
  <c r="Q58" i="24"/>
  <c r="P58" i="24"/>
  <c r="O58" i="24"/>
  <c r="T57" i="24"/>
  <c r="S57" i="24"/>
  <c r="R57" i="24"/>
  <c r="Q57" i="24"/>
  <c r="P57" i="24"/>
  <c r="O57" i="24"/>
  <c r="T56" i="24"/>
  <c r="S56" i="24"/>
  <c r="R56" i="24"/>
  <c r="Q56" i="24"/>
  <c r="P56" i="24"/>
  <c r="O56" i="24"/>
  <c r="T55" i="24"/>
  <c r="S55" i="24"/>
  <c r="R55" i="24"/>
  <c r="Q55" i="24"/>
  <c r="P55" i="24"/>
  <c r="O55" i="24"/>
  <c r="T54" i="24"/>
  <c r="S54" i="24"/>
  <c r="R54" i="24"/>
  <c r="Q54" i="24"/>
  <c r="P54" i="24"/>
  <c r="O54" i="24"/>
  <c r="T53" i="24"/>
  <c r="S53" i="24"/>
  <c r="R53" i="24"/>
  <c r="Q53" i="24"/>
  <c r="P53" i="24"/>
  <c r="O53" i="24"/>
  <c r="T52" i="24"/>
  <c r="S52" i="24"/>
  <c r="R52" i="24"/>
  <c r="Q52" i="24"/>
  <c r="P52" i="24"/>
  <c r="O52" i="24"/>
  <c r="T51" i="24"/>
  <c r="S51" i="24"/>
  <c r="R51" i="24"/>
  <c r="Q51" i="24"/>
  <c r="P51" i="24"/>
  <c r="O51" i="24"/>
  <c r="T50" i="24"/>
  <c r="S50" i="24"/>
  <c r="R50" i="24"/>
  <c r="Q50" i="24"/>
  <c r="P50" i="24"/>
  <c r="O50" i="24"/>
  <c r="T49" i="24"/>
  <c r="S49" i="24"/>
  <c r="R49" i="24"/>
  <c r="Q49" i="24"/>
  <c r="P49" i="24"/>
  <c r="O49" i="24"/>
  <c r="T48" i="24"/>
  <c r="S48" i="24"/>
  <c r="R48" i="24"/>
  <c r="Q48" i="24"/>
  <c r="P48" i="24"/>
  <c r="O48" i="24"/>
  <c r="T47" i="24"/>
  <c r="S47" i="24"/>
  <c r="R47" i="24"/>
  <c r="Q47" i="24"/>
  <c r="P47" i="24"/>
  <c r="O47" i="24"/>
  <c r="T46" i="24"/>
  <c r="S46" i="24"/>
  <c r="R46" i="24"/>
  <c r="Q46" i="24"/>
  <c r="P46" i="24"/>
  <c r="O46" i="24"/>
  <c r="T45" i="24"/>
  <c r="S45" i="24"/>
  <c r="R45" i="24"/>
  <c r="Q45" i="24"/>
  <c r="P45" i="24"/>
  <c r="O45" i="24"/>
  <c r="T44" i="24"/>
  <c r="S44" i="24"/>
  <c r="R44" i="24"/>
  <c r="Q44" i="24"/>
  <c r="P44" i="24"/>
  <c r="O44" i="24"/>
  <c r="T43" i="24"/>
  <c r="S43" i="24"/>
  <c r="R43" i="24"/>
  <c r="Q43" i="24"/>
  <c r="P43" i="24"/>
  <c r="O43" i="24"/>
  <c r="T42" i="24"/>
  <c r="S42" i="24"/>
  <c r="R42" i="24"/>
  <c r="Q42" i="24"/>
  <c r="P42" i="24"/>
  <c r="O42" i="24"/>
  <c r="T41" i="24"/>
  <c r="S41" i="24"/>
  <c r="R41" i="24"/>
  <c r="Q41" i="24"/>
  <c r="P41" i="24"/>
  <c r="O41" i="24"/>
  <c r="L28" i="24"/>
  <c r="D28" i="24"/>
  <c r="P59" i="9" s="1"/>
  <c r="B28" i="24"/>
  <c r="B29" i="24" s="1"/>
  <c r="B30" i="24" s="1"/>
  <c r="L65" i="23"/>
  <c r="K57" i="9"/>
  <c r="L57" i="9" s="1"/>
  <c r="AI57" i="9"/>
  <c r="AC57" i="9"/>
  <c r="W57" i="9"/>
  <c r="L67" i="24" l="1"/>
  <c r="P69" i="9"/>
  <c r="Q70" i="9" s="1"/>
  <c r="B30" i="25"/>
  <c r="B23" i="25"/>
  <c r="B16" i="25"/>
  <c r="J67" i="24"/>
  <c r="P68" i="9"/>
  <c r="H67" i="24"/>
  <c r="P67" i="9"/>
  <c r="R66" i="9"/>
  <c r="B66" i="9"/>
  <c r="D67" i="24"/>
  <c r="P65" i="9"/>
  <c r="Q66" i="9" s="1"/>
  <c r="B67" i="24"/>
  <c r="P64" i="9"/>
  <c r="L29" i="24"/>
  <c r="P62" i="9"/>
  <c r="H29" i="24"/>
  <c r="P61" i="9"/>
  <c r="F29" i="24"/>
  <c r="P60" i="9"/>
  <c r="B60" i="9" s="1"/>
  <c r="D29" i="24"/>
  <c r="D30" i="24" s="1"/>
  <c r="AP57" i="9"/>
  <c r="AP58" i="9"/>
  <c r="X58" i="9"/>
  <c r="L58" i="9"/>
  <c r="AJ58" i="9"/>
  <c r="AD58" i="9"/>
  <c r="A27" i="24"/>
  <c r="P58" i="9"/>
  <c r="B58" i="9" s="1"/>
  <c r="K64" i="24"/>
  <c r="I64" i="24"/>
  <c r="G64" i="24"/>
  <c r="K27" i="24"/>
  <c r="J29" i="24"/>
  <c r="I27" i="24"/>
  <c r="G27" i="24"/>
  <c r="E27" i="24"/>
  <c r="C27" i="24"/>
  <c r="C64" i="24"/>
  <c r="A64" i="24"/>
  <c r="E64" i="24"/>
  <c r="F67" i="24"/>
  <c r="X57" i="9"/>
  <c r="AD57" i="9"/>
  <c r="AJ57" i="9"/>
  <c r="L68" i="24" l="1"/>
  <c r="Q69" i="9"/>
  <c r="R69" i="9"/>
  <c r="B69" i="9"/>
  <c r="C70" i="9" s="1"/>
  <c r="B12" i="25"/>
  <c r="D9" i="25"/>
  <c r="D12" i="25" s="1"/>
  <c r="D23" i="25"/>
  <c r="D26" i="25" s="1"/>
  <c r="B26" i="25"/>
  <c r="D16" i="25"/>
  <c r="D19" i="25" s="1"/>
  <c r="B19" i="25"/>
  <c r="D30" i="25"/>
  <c r="D33" i="25" s="1"/>
  <c r="B33" i="25"/>
  <c r="F16" i="25"/>
  <c r="F23" i="25"/>
  <c r="F9" i="25"/>
  <c r="F30" i="25"/>
  <c r="H3" i="25"/>
  <c r="J3" i="25" s="1"/>
  <c r="J68" i="24"/>
  <c r="R68" i="9"/>
  <c r="B68" i="9"/>
  <c r="Q68" i="9"/>
  <c r="H68" i="24"/>
  <c r="R67" i="9"/>
  <c r="Q67" i="9"/>
  <c r="B67" i="9"/>
  <c r="C67" i="9" s="1"/>
  <c r="F67" i="9" s="1"/>
  <c r="AT66" i="9"/>
  <c r="F68" i="24"/>
  <c r="D68" i="24"/>
  <c r="Q65" i="9"/>
  <c r="R65" i="9"/>
  <c r="B65" i="9"/>
  <c r="B62" i="9"/>
  <c r="Q63" i="9"/>
  <c r="B64" i="9"/>
  <c r="Q64" i="9"/>
  <c r="B68" i="24"/>
  <c r="L30" i="24"/>
  <c r="R64" i="9"/>
  <c r="Q62" i="9"/>
  <c r="R62" i="9"/>
  <c r="H30" i="24"/>
  <c r="Q61" i="9"/>
  <c r="B61" i="9"/>
  <c r="C61" i="9" s="1"/>
  <c r="R61" i="9"/>
  <c r="AT61" i="9" s="1"/>
  <c r="AE59" i="9"/>
  <c r="AQ59" i="9"/>
  <c r="AK59" i="9"/>
  <c r="R60" i="9"/>
  <c r="AT60" i="9" s="1"/>
  <c r="Q60" i="9"/>
  <c r="AQ58" i="9"/>
  <c r="Y59" i="9"/>
  <c r="F30" i="24"/>
  <c r="Q59" i="9"/>
  <c r="B59" i="9"/>
  <c r="C59" i="9" s="1"/>
  <c r="R59" i="9"/>
  <c r="AT59" i="9" s="1"/>
  <c r="Y58" i="9"/>
  <c r="AE58" i="9"/>
  <c r="AK58" i="9"/>
  <c r="R58" i="9"/>
  <c r="J30" i="24"/>
  <c r="BE55" i="9"/>
  <c r="BE56" i="9"/>
  <c r="BE54" i="9"/>
  <c r="AT65" i="9" l="1"/>
  <c r="AT69" i="9"/>
  <c r="AU70" i="9" s="1"/>
  <c r="S70" i="9"/>
  <c r="F70" i="9"/>
  <c r="G70" i="9"/>
  <c r="C69" i="9"/>
  <c r="G69" i="9" s="1"/>
  <c r="S69" i="9"/>
  <c r="C68" i="9"/>
  <c r="F68" i="9" s="1"/>
  <c r="H30" i="25"/>
  <c r="F33" i="25"/>
  <c r="AT67" i="9"/>
  <c r="AU67" i="9" s="1"/>
  <c r="F12" i="25"/>
  <c r="H9" i="25"/>
  <c r="J9" i="25" s="1"/>
  <c r="H23" i="25"/>
  <c r="F26" i="25"/>
  <c r="H16" i="25"/>
  <c r="F19" i="25"/>
  <c r="S68" i="9"/>
  <c r="AT68" i="9"/>
  <c r="S67" i="9"/>
  <c r="AT64" i="9"/>
  <c r="AU64" i="9" s="1"/>
  <c r="G67" i="9"/>
  <c r="S66" i="9"/>
  <c r="AT58" i="9"/>
  <c r="AU60" i="9"/>
  <c r="C64" i="9"/>
  <c r="F64" i="9" s="1"/>
  <c r="C65" i="9"/>
  <c r="S63" i="9"/>
  <c r="AT62" i="9"/>
  <c r="AU63" i="9" s="1"/>
  <c r="C62" i="9"/>
  <c r="F62" i="9" s="1"/>
  <c r="C63" i="9"/>
  <c r="C66" i="9"/>
  <c r="C60" i="9"/>
  <c r="F60" i="9" s="1"/>
  <c r="S64" i="9"/>
  <c r="S65" i="9"/>
  <c r="S62" i="9"/>
  <c r="S61" i="9"/>
  <c r="S60" i="9"/>
  <c r="S59" i="9"/>
  <c r="G59" i="9"/>
  <c r="F59" i="9"/>
  <c r="AO56" i="9"/>
  <c r="AU68" i="9" l="1"/>
  <c r="F69" i="9"/>
  <c r="G68" i="9"/>
  <c r="AU69" i="9"/>
  <c r="H26" i="25"/>
  <c r="J26" i="25" s="1"/>
  <c r="K26" i="25" s="1"/>
  <c r="J23" i="25"/>
  <c r="H12" i="25"/>
  <c r="J12" i="25" s="1"/>
  <c r="K12" i="25" s="1"/>
  <c r="H19" i="25"/>
  <c r="J19" i="25" s="1"/>
  <c r="K19" i="25" s="1"/>
  <c r="J16" i="25"/>
  <c r="H33" i="25"/>
  <c r="J33" i="25" s="1"/>
  <c r="K33" i="25" s="1"/>
  <c r="J30" i="25"/>
  <c r="G64" i="9"/>
  <c r="AU65" i="9"/>
  <c r="F66" i="9"/>
  <c r="G66" i="9"/>
  <c r="AU66" i="9"/>
  <c r="G62" i="9"/>
  <c r="G65" i="9"/>
  <c r="F65" i="9"/>
  <c r="G63" i="9"/>
  <c r="F63" i="9"/>
  <c r="AU62" i="9"/>
  <c r="F61" i="9"/>
  <c r="G61" i="9"/>
  <c r="AU61" i="9"/>
  <c r="G60" i="9"/>
  <c r="AU59" i="9"/>
  <c r="AI56" i="9"/>
  <c r="AC56" i="9"/>
  <c r="W56" i="9"/>
  <c r="AP56" i="9" l="1"/>
  <c r="AQ57" i="9" s="1"/>
  <c r="AJ56" i="9"/>
  <c r="AK57" i="9" s="1"/>
  <c r="X56" i="9"/>
  <c r="Y57" i="9" s="1"/>
  <c r="AD56" i="9"/>
  <c r="AE57" i="9" s="1"/>
  <c r="W55" i="9"/>
  <c r="H65" i="23"/>
  <c r="AO55" i="9" l="1"/>
  <c r="AI55" i="9"/>
  <c r="X54" i="9" l="1"/>
  <c r="K55" i="9"/>
  <c r="L56" i="9" s="1"/>
  <c r="P55" i="9"/>
  <c r="X55" i="9" l="1"/>
  <c r="Y56" i="9" s="1"/>
  <c r="B55" i="9"/>
  <c r="AP55" i="9"/>
  <c r="AQ56" i="9" s="1"/>
  <c r="AJ55" i="9"/>
  <c r="AK56" i="9" s="1"/>
  <c r="AC55" i="9"/>
  <c r="AD55" i="9"/>
  <c r="AE56" i="9" s="1"/>
  <c r="Y55" i="9" l="1"/>
  <c r="L55" i="9" l="1"/>
  <c r="R55" i="9"/>
  <c r="AT55" i="9" l="1"/>
  <c r="AU56" i="9" s="1"/>
  <c r="F65" i="23"/>
  <c r="AV55" i="9" l="1"/>
  <c r="AD54" i="9" l="1"/>
  <c r="AO54" i="9"/>
  <c r="AI54" i="9"/>
  <c r="AC54" i="9"/>
  <c r="W54" i="9"/>
  <c r="AE55" i="9" l="1"/>
  <c r="AP54" i="9"/>
  <c r="AQ55" i="9" s="1"/>
  <c r="AJ54" i="9"/>
  <c r="AK55" i="9" s="1"/>
  <c r="BE53" i="9"/>
  <c r="W53" i="9" l="1"/>
  <c r="W52" i="9"/>
  <c r="W51" i="9"/>
  <c r="W50" i="9"/>
  <c r="W49" i="9"/>
  <c r="W48" i="9"/>
  <c r="W47" i="9"/>
  <c r="D65" i="23" l="1"/>
  <c r="B65" i="23"/>
  <c r="O41" i="23"/>
  <c r="P41" i="23"/>
  <c r="Q41" i="23"/>
  <c r="R41" i="23"/>
  <c r="S41" i="23"/>
  <c r="T41" i="23"/>
  <c r="O42" i="23"/>
  <c r="P42" i="23"/>
  <c r="Q42" i="23"/>
  <c r="R42" i="23"/>
  <c r="S42" i="23"/>
  <c r="T42" i="23"/>
  <c r="O43" i="23"/>
  <c r="P43" i="23"/>
  <c r="Q43" i="23"/>
  <c r="R43" i="23"/>
  <c r="S43" i="23"/>
  <c r="T43" i="23"/>
  <c r="O44" i="23"/>
  <c r="P44" i="23"/>
  <c r="Q44" i="23"/>
  <c r="R44" i="23"/>
  <c r="S44" i="23"/>
  <c r="T44" i="23"/>
  <c r="O45" i="23"/>
  <c r="P45" i="23"/>
  <c r="Q45" i="23"/>
  <c r="R45" i="23"/>
  <c r="S45" i="23"/>
  <c r="T45" i="23"/>
  <c r="O46" i="23"/>
  <c r="P46" i="23"/>
  <c r="Q46" i="23"/>
  <c r="R46" i="23"/>
  <c r="S46" i="23"/>
  <c r="T46" i="23"/>
  <c r="O47" i="23"/>
  <c r="P47" i="23"/>
  <c r="Q47" i="23"/>
  <c r="R47" i="23"/>
  <c r="S47" i="23"/>
  <c r="T47" i="23"/>
  <c r="O48" i="23"/>
  <c r="P48" i="23"/>
  <c r="Q48" i="23"/>
  <c r="R48" i="23"/>
  <c r="S48" i="23"/>
  <c r="T48" i="23"/>
  <c r="O49" i="23"/>
  <c r="P49" i="23"/>
  <c r="Q49" i="23"/>
  <c r="R49" i="23"/>
  <c r="S49" i="23"/>
  <c r="T49" i="23"/>
  <c r="O50" i="23"/>
  <c r="P50" i="23"/>
  <c r="Q50" i="23"/>
  <c r="R50" i="23"/>
  <c r="S50" i="23"/>
  <c r="T50" i="23"/>
  <c r="O51" i="23"/>
  <c r="P51" i="23"/>
  <c r="Q51" i="23"/>
  <c r="R51" i="23"/>
  <c r="S51" i="23"/>
  <c r="T51" i="23"/>
  <c r="O52" i="23"/>
  <c r="P52" i="23"/>
  <c r="Q52" i="23"/>
  <c r="R52" i="23"/>
  <c r="S52" i="23"/>
  <c r="T52" i="23"/>
  <c r="O53" i="23"/>
  <c r="P53" i="23"/>
  <c r="Q53" i="23"/>
  <c r="R53" i="23"/>
  <c r="S53" i="23"/>
  <c r="T53" i="23"/>
  <c r="O54" i="23"/>
  <c r="P54" i="23"/>
  <c r="Q54" i="23"/>
  <c r="R54" i="23"/>
  <c r="S54" i="23"/>
  <c r="T54" i="23"/>
  <c r="O55" i="23"/>
  <c r="P55" i="23"/>
  <c r="Q55" i="23"/>
  <c r="R55" i="23"/>
  <c r="S55" i="23"/>
  <c r="T55" i="23"/>
  <c r="O56" i="23"/>
  <c r="P56" i="23"/>
  <c r="Q56" i="23"/>
  <c r="R56" i="23"/>
  <c r="S56" i="23"/>
  <c r="T56" i="23"/>
  <c r="O57" i="23"/>
  <c r="P57" i="23"/>
  <c r="Q57" i="23"/>
  <c r="R57" i="23"/>
  <c r="S57" i="23"/>
  <c r="T57" i="23"/>
  <c r="O58" i="23"/>
  <c r="P58" i="23"/>
  <c r="Q58" i="23"/>
  <c r="R58" i="23"/>
  <c r="S58" i="23"/>
  <c r="T58" i="23"/>
  <c r="O59" i="23"/>
  <c r="P59" i="23"/>
  <c r="Q59" i="23"/>
  <c r="R59" i="23"/>
  <c r="S59" i="23"/>
  <c r="T59" i="23"/>
  <c r="O60" i="23"/>
  <c r="P60" i="23"/>
  <c r="Q60" i="23"/>
  <c r="R60" i="23"/>
  <c r="S60" i="23"/>
  <c r="T60" i="23"/>
  <c r="O61" i="23"/>
  <c r="P61" i="23"/>
  <c r="Q61" i="23"/>
  <c r="R61" i="23"/>
  <c r="S61" i="23"/>
  <c r="T61" i="23"/>
  <c r="O62" i="23"/>
  <c r="P62" i="23"/>
  <c r="Q62" i="23"/>
  <c r="R62" i="23"/>
  <c r="S62" i="23"/>
  <c r="T62" i="23"/>
  <c r="O63" i="23"/>
  <c r="P63" i="23"/>
  <c r="Q63" i="23"/>
  <c r="R63" i="23"/>
  <c r="S63" i="23"/>
  <c r="T63" i="23"/>
  <c r="O64" i="23"/>
  <c r="P64" i="23"/>
  <c r="Q64" i="23"/>
  <c r="R64" i="23"/>
  <c r="S64" i="23"/>
  <c r="T64" i="23"/>
  <c r="O65" i="23"/>
  <c r="P65" i="23"/>
  <c r="Q65" i="23"/>
  <c r="R65" i="23"/>
  <c r="S65" i="23"/>
  <c r="T65" i="23"/>
  <c r="BE50" i="9" l="1"/>
  <c r="BE51" i="9"/>
  <c r="BE52" i="9"/>
  <c r="K53" i="9" l="1"/>
  <c r="X53" i="9" s="1"/>
  <c r="Y54" i="9" s="1"/>
  <c r="AC53" i="9"/>
  <c r="AI53" i="9"/>
  <c r="AO53" i="9"/>
  <c r="AZ53" i="9"/>
  <c r="AD53" i="9" l="1"/>
  <c r="AE54" i="9" s="1"/>
  <c r="L54" i="9"/>
  <c r="AJ53" i="9"/>
  <c r="AK54" i="9" s="1"/>
  <c r="AP53" i="9"/>
  <c r="AQ54" i="9" s="1"/>
  <c r="K52" i="9" l="1"/>
  <c r="X52" i="9" s="1"/>
  <c r="AC52" i="9"/>
  <c r="AI52" i="9"/>
  <c r="AO52" i="9"/>
  <c r="AZ52" i="9"/>
  <c r="AP52" i="9" l="1"/>
  <c r="AQ53" i="9" s="1"/>
  <c r="L53" i="9"/>
  <c r="AJ52" i="9"/>
  <c r="AK53" i="9" s="1"/>
  <c r="AD52" i="9"/>
  <c r="AE53" i="9" s="1"/>
  <c r="Y53" i="9"/>
  <c r="L28" i="23" l="1"/>
  <c r="W46" i="9" l="1"/>
  <c r="K50" i="9" l="1"/>
  <c r="AZ44" i="9" l="1"/>
  <c r="AZ45" i="9"/>
  <c r="AZ46" i="9"/>
  <c r="AZ47" i="9"/>
  <c r="AZ48" i="9"/>
  <c r="AZ49" i="9"/>
  <c r="AU46" i="9"/>
  <c r="AU47" i="9"/>
  <c r="AU48" i="9"/>
  <c r="AU49" i="9"/>
  <c r="K51" i="9"/>
  <c r="AD51" i="9" s="1"/>
  <c r="AC51" i="9"/>
  <c r="AI51" i="9"/>
  <c r="AO51" i="9"/>
  <c r="L52" i="9" l="1"/>
  <c r="L29" i="23"/>
  <c r="P51" i="9"/>
  <c r="B51" i="9" s="1"/>
  <c r="X51" i="9"/>
  <c r="Y52" i="9" s="1"/>
  <c r="AJ51" i="9"/>
  <c r="AK52" i="9" s="1"/>
  <c r="AP51" i="9"/>
  <c r="AQ52" i="9" s="1"/>
  <c r="AE52" i="9"/>
  <c r="X3" i="9"/>
  <c r="W4" i="9"/>
  <c r="R3" i="9"/>
  <c r="R51" i="9" l="1"/>
  <c r="AT51" i="9" s="1"/>
  <c r="J28" i="23"/>
  <c r="K27" i="23" s="1"/>
  <c r="AV51" i="9" l="1"/>
  <c r="AO50" i="9"/>
  <c r="AI50" i="9"/>
  <c r="AC50" i="9"/>
  <c r="L51" i="9" l="1"/>
  <c r="AJ50" i="9"/>
  <c r="AP50" i="9"/>
  <c r="AD50" i="9"/>
  <c r="X50" i="9"/>
  <c r="X48" i="9"/>
  <c r="AI49" i="9"/>
  <c r="AC49" i="9"/>
  <c r="K49" i="9"/>
  <c r="L50" i="9" s="1"/>
  <c r="AO49" i="9"/>
  <c r="BE49" i="9"/>
  <c r="Y51" i="9" l="1"/>
  <c r="AE51" i="9"/>
  <c r="AQ51" i="9"/>
  <c r="AK51" i="9"/>
  <c r="L49" i="9"/>
  <c r="X49" i="9"/>
  <c r="AD49" i="9"/>
  <c r="AE50" i="9" s="1"/>
  <c r="AJ49" i="9"/>
  <c r="AK50" i="9" s="1"/>
  <c r="AP49" i="9"/>
  <c r="AQ50" i="9" s="1"/>
  <c r="BE48" i="9"/>
  <c r="AO48" i="9"/>
  <c r="AI48" i="9"/>
  <c r="AC48" i="9"/>
  <c r="Y49" i="9" l="1"/>
  <c r="Y50" i="9"/>
  <c r="AP48" i="9"/>
  <c r="AQ49" i="9" s="1"/>
  <c r="AJ48" i="9"/>
  <c r="AK49" i="9" s="1"/>
  <c r="AD48" i="9"/>
  <c r="AE49" i="9" s="1"/>
  <c r="M47" i="9"/>
  <c r="M46" i="9"/>
  <c r="K47" i="9" l="1"/>
  <c r="X47" i="9" s="1"/>
  <c r="BE47" i="9"/>
  <c r="AO47" i="9"/>
  <c r="AI47" i="9"/>
  <c r="AC47" i="9"/>
  <c r="AD47" i="9" l="1"/>
  <c r="L48" i="9"/>
  <c r="AJ47" i="9"/>
  <c r="AK48" i="9" s="1"/>
  <c r="AP47" i="9"/>
  <c r="AQ48" i="9" s="1"/>
  <c r="Y48" i="9"/>
  <c r="AO45" i="9"/>
  <c r="AO46" i="9"/>
  <c r="AE48" i="9" l="1"/>
  <c r="AU45" i="9"/>
  <c r="K46" i="9" l="1"/>
  <c r="BE46" i="9"/>
  <c r="AI46" i="9"/>
  <c r="AC46" i="9"/>
  <c r="B30" i="23"/>
  <c r="J65" i="23"/>
  <c r="P56" i="9" s="1"/>
  <c r="B56" i="9" s="1"/>
  <c r="H67" i="23"/>
  <c r="P54" i="9"/>
  <c r="Q55" i="9" s="1"/>
  <c r="P52" i="9"/>
  <c r="H28" i="23"/>
  <c r="F28" i="23"/>
  <c r="P48" i="9" s="1"/>
  <c r="D28" i="23"/>
  <c r="B28" i="23"/>
  <c r="L67" i="23" l="1"/>
  <c r="P57" i="9"/>
  <c r="Q58" i="9" s="1"/>
  <c r="Q56" i="9"/>
  <c r="R56" i="9"/>
  <c r="AV56" i="9" s="1"/>
  <c r="R54" i="9"/>
  <c r="B54" i="9"/>
  <c r="D67" i="23"/>
  <c r="P53" i="9"/>
  <c r="B53" i="9" s="1"/>
  <c r="Q52" i="9"/>
  <c r="R52" i="9"/>
  <c r="B52" i="9"/>
  <c r="L47" i="9"/>
  <c r="P50" i="9"/>
  <c r="H29" i="23"/>
  <c r="P49" i="9"/>
  <c r="D29" i="23"/>
  <c r="P47" i="9"/>
  <c r="C64" i="23"/>
  <c r="AJ46" i="9"/>
  <c r="AP46" i="9"/>
  <c r="AD46" i="9"/>
  <c r="X46" i="9"/>
  <c r="I64" i="23"/>
  <c r="P46" i="9"/>
  <c r="B67" i="23"/>
  <c r="K64" i="23"/>
  <c r="J67" i="23"/>
  <c r="A64" i="23"/>
  <c r="I27" i="23"/>
  <c r="J29" i="23"/>
  <c r="L30" i="23" s="1"/>
  <c r="C27" i="23"/>
  <c r="B29" i="23"/>
  <c r="E27" i="23"/>
  <c r="F29" i="23"/>
  <c r="E64" i="23"/>
  <c r="F67" i="23"/>
  <c r="G27" i="23"/>
  <c r="G64" i="23"/>
  <c r="D22" i="22"/>
  <c r="L65" i="21"/>
  <c r="Q57" i="9" l="1"/>
  <c r="R57" i="9"/>
  <c r="AT57" i="9" s="1"/>
  <c r="B57" i="9"/>
  <c r="C58" i="9" s="1"/>
  <c r="C56" i="9"/>
  <c r="F56" i="9" s="1"/>
  <c r="S56" i="9"/>
  <c r="S55" i="9"/>
  <c r="AY54" i="9"/>
  <c r="AZ54" i="9" s="1"/>
  <c r="C54" i="9"/>
  <c r="F54" i="9" s="1"/>
  <c r="C55" i="9"/>
  <c r="Q54" i="9"/>
  <c r="AT54" i="9"/>
  <c r="AU55" i="9" s="1"/>
  <c r="AT52" i="9"/>
  <c r="AV52" i="9" s="1"/>
  <c r="B46" i="9"/>
  <c r="C53" i="9"/>
  <c r="R53" i="9"/>
  <c r="Q53" i="9"/>
  <c r="C52" i="9"/>
  <c r="G52" i="9" s="1"/>
  <c r="S52" i="9"/>
  <c r="R50" i="9"/>
  <c r="AK47" i="9"/>
  <c r="AE47" i="9"/>
  <c r="AQ47" i="9"/>
  <c r="Q51" i="9"/>
  <c r="Y47" i="9"/>
  <c r="Q50" i="9"/>
  <c r="B50" i="9"/>
  <c r="B49" i="9"/>
  <c r="R49" i="9"/>
  <c r="H30" i="23"/>
  <c r="J30" i="23"/>
  <c r="Q49" i="9"/>
  <c r="R48" i="9"/>
  <c r="B48" i="9"/>
  <c r="Q48" i="9"/>
  <c r="D30" i="23"/>
  <c r="Q47" i="9"/>
  <c r="D68" i="23"/>
  <c r="R47" i="9"/>
  <c r="AV47" i="9" s="1"/>
  <c r="B47" i="9"/>
  <c r="B68" i="23"/>
  <c r="L68" i="23"/>
  <c r="J68" i="23"/>
  <c r="R46" i="9"/>
  <c r="F68" i="23"/>
  <c r="H68" i="23"/>
  <c r="F30" i="23"/>
  <c r="K45" i="9"/>
  <c r="L46" i="9" s="1"/>
  <c r="G54" i="9" l="1"/>
  <c r="AU57" i="9"/>
  <c r="AU58" i="9"/>
  <c r="S58" i="9"/>
  <c r="F58" i="9"/>
  <c r="G58" i="9"/>
  <c r="C57" i="9"/>
  <c r="S57" i="9"/>
  <c r="G56" i="9"/>
  <c r="AT50" i="9"/>
  <c r="AY50" i="9"/>
  <c r="F55" i="9"/>
  <c r="G55" i="9"/>
  <c r="S54" i="9"/>
  <c r="AV54" i="9"/>
  <c r="AU52" i="9"/>
  <c r="F52" i="9"/>
  <c r="AT53" i="9"/>
  <c r="AV53" i="9" s="1"/>
  <c r="S53" i="9"/>
  <c r="G53" i="9"/>
  <c r="F53" i="9"/>
  <c r="C51" i="9"/>
  <c r="F51" i="9" s="1"/>
  <c r="S51" i="9"/>
  <c r="AV46" i="9"/>
  <c r="S50" i="9"/>
  <c r="C50" i="9"/>
  <c r="F50" i="9" s="1"/>
  <c r="C49" i="9"/>
  <c r="BA49" i="9"/>
  <c r="AV49" i="9"/>
  <c r="S49" i="9"/>
  <c r="C48" i="9"/>
  <c r="G48" i="9" s="1"/>
  <c r="AV48" i="9"/>
  <c r="S48" i="9"/>
  <c r="BA48" i="9"/>
  <c r="S47" i="9"/>
  <c r="C47" i="9"/>
  <c r="AP45" i="9"/>
  <c r="X45" i="9"/>
  <c r="Y46" i="9" s="1"/>
  <c r="AV50" i="9" l="1"/>
  <c r="AU51" i="9"/>
  <c r="AU50" i="9"/>
  <c r="G57" i="9"/>
  <c r="F57" i="9"/>
  <c r="AZ50" i="9"/>
  <c r="AZ51" i="9"/>
  <c r="AU54" i="9"/>
  <c r="AU53" i="9"/>
  <c r="G51" i="9"/>
  <c r="G50" i="9"/>
  <c r="F49" i="9"/>
  <c r="G49" i="9"/>
  <c r="F48" i="9"/>
  <c r="G47" i="9"/>
  <c r="F47" i="9"/>
  <c r="AQ46" i="9"/>
  <c r="AO44" i="9"/>
  <c r="AU44" i="9" l="1"/>
  <c r="BE45" i="9" l="1"/>
  <c r="AI45" i="9"/>
  <c r="AC45" i="9"/>
  <c r="W45" i="9"/>
  <c r="AJ45" i="9" l="1"/>
  <c r="AK46" i="9" s="1"/>
  <c r="AD45" i="9"/>
  <c r="AE46" i="9" s="1"/>
  <c r="AI44" i="9" l="1"/>
  <c r="BE44" i="9"/>
  <c r="K44" i="9" l="1"/>
  <c r="L45" i="9" l="1"/>
  <c r="AP44" i="9"/>
  <c r="AQ45" i="9" s="1"/>
  <c r="AJ44" i="9"/>
  <c r="AD44" i="9"/>
  <c r="AE45" i="9" s="1"/>
  <c r="AC44" i="9"/>
  <c r="L44" i="9"/>
  <c r="W44" i="9"/>
  <c r="X44" i="9"/>
  <c r="Y45" i="9" s="1"/>
  <c r="AK45" i="9" l="1"/>
  <c r="AJ43" i="9"/>
  <c r="AK44" i="9" s="1"/>
  <c r="BE43" i="9"/>
  <c r="AZ43" i="9"/>
  <c r="AU43" i="9"/>
  <c r="AO43" i="9"/>
  <c r="AI43" i="9"/>
  <c r="AC43" i="9"/>
  <c r="W43" i="9"/>
  <c r="X43" i="9" l="1"/>
  <c r="Y44" i="9" s="1"/>
  <c r="AD43" i="9"/>
  <c r="AE44" i="9" s="1"/>
  <c r="AP43" i="9"/>
  <c r="AQ44" i="9" s="1"/>
  <c r="K42" i="9" l="1"/>
  <c r="L43" i="9" s="1"/>
  <c r="AZ41" i="9" l="1"/>
  <c r="AZ35" i="9"/>
  <c r="AZ42" i="9"/>
  <c r="AZ40" i="9"/>
  <c r="AZ39" i="9"/>
  <c r="AZ38" i="9"/>
  <c r="AZ37" i="9"/>
  <c r="AZ36" i="9"/>
  <c r="BE42" i="9" l="1"/>
  <c r="AU42" i="9"/>
  <c r="AO42" i="9"/>
  <c r="AI42" i="9"/>
  <c r="AC42" i="9"/>
  <c r="AD42" i="9"/>
  <c r="W42" i="9"/>
  <c r="BE41" i="9"/>
  <c r="AU41" i="9"/>
  <c r="AO41" i="9"/>
  <c r="AI41" i="9"/>
  <c r="AE43" i="9" l="1"/>
  <c r="AP42" i="9"/>
  <c r="AQ43" i="9" s="1"/>
  <c r="X42" i="9"/>
  <c r="Y43" i="9" s="1"/>
  <c r="AJ42" i="9"/>
  <c r="AK43" i="9" s="1"/>
  <c r="K41" i="9" l="1"/>
  <c r="AC41" i="9"/>
  <c r="W41" i="9"/>
  <c r="AD41" i="9" l="1"/>
  <c r="AE42" i="9" s="1"/>
  <c r="AJ41" i="9"/>
  <c r="AP41" i="9"/>
  <c r="L42" i="9"/>
  <c r="X41" i="9"/>
  <c r="Y42" i="9" s="1"/>
  <c r="AQ42" i="9" l="1"/>
  <c r="AK42" i="9"/>
  <c r="BE40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8" i="9"/>
  <c r="BE19" i="9"/>
  <c r="BE20" i="9"/>
  <c r="BE21" i="9"/>
  <c r="BE22" i="9"/>
  <c r="BE23" i="9"/>
  <c r="BE24" i="9"/>
  <c r="BE25" i="9"/>
  <c r="BE26" i="9"/>
  <c r="BE27" i="9"/>
  <c r="BE28" i="9"/>
  <c r="BE29" i="9"/>
  <c r="BE30" i="9"/>
  <c r="BE31" i="9"/>
  <c r="BE32" i="9"/>
  <c r="BE36" i="9"/>
  <c r="BE5" i="9"/>
  <c r="BE39" i="9"/>
  <c r="BE38" i="9"/>
  <c r="BE37" i="9"/>
  <c r="BE35" i="9"/>
  <c r="BE34" i="9"/>
  <c r="BE33" i="9"/>
  <c r="AU40" i="9" l="1"/>
  <c r="K40" i="9"/>
  <c r="W40" i="9"/>
  <c r="AC40" i="9"/>
  <c r="AI40" i="9"/>
  <c r="AO40" i="9"/>
  <c r="X40" i="9" l="1"/>
  <c r="Y41" i="9" s="1"/>
  <c r="L41" i="9"/>
  <c r="AJ40" i="9"/>
  <c r="AK41" i="9" s="1"/>
  <c r="AP40" i="9"/>
  <c r="AQ41" i="9" s="1"/>
  <c r="AD40" i="9"/>
  <c r="AE41" i="9" s="1"/>
  <c r="AU39" i="9" l="1"/>
  <c r="AU38" i="9"/>
  <c r="AU37" i="9"/>
  <c r="AU36" i="9"/>
  <c r="AU35" i="9"/>
  <c r="AO22" i="9" l="1"/>
  <c r="AP21" i="9"/>
  <c r="AO39" i="9"/>
  <c r="AO38" i="9"/>
  <c r="AO37" i="9"/>
  <c r="AO36" i="9"/>
  <c r="AO35" i="9"/>
  <c r="AO34" i="9"/>
  <c r="AO33" i="9"/>
  <c r="AO32" i="9"/>
  <c r="AO31" i="9"/>
  <c r="AO30" i="9"/>
  <c r="AO29" i="9"/>
  <c r="AO28" i="9"/>
  <c r="AO27" i="9"/>
  <c r="AO26" i="9"/>
  <c r="AO25" i="9"/>
  <c r="AO24" i="9"/>
  <c r="AO23" i="9"/>
  <c r="AJ21" i="9" l="1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22" i="9"/>
  <c r="K39" i="9" l="1"/>
  <c r="AC39" i="9"/>
  <c r="W39" i="9"/>
  <c r="L28" i="21"/>
  <c r="P39" i="9" s="1"/>
  <c r="AD39" i="9" l="1"/>
  <c r="AE40" i="9" s="1"/>
  <c r="L40" i="9"/>
  <c r="X39" i="9"/>
  <c r="Y40" i="9" s="1"/>
  <c r="AP39" i="9"/>
  <c r="AQ40" i="9" s="1"/>
  <c r="AJ39" i="9"/>
  <c r="AK40" i="9" s="1"/>
  <c r="R39" i="9"/>
  <c r="B39" i="9"/>
  <c r="AC38" i="9"/>
  <c r="AC37" i="9"/>
  <c r="AC36" i="9"/>
  <c r="AC35" i="9"/>
  <c r="AC34" i="9"/>
  <c r="AC33" i="9"/>
  <c r="BA33" i="9" s="1"/>
  <c r="AC32" i="9"/>
  <c r="AC31" i="9"/>
  <c r="AC30" i="9"/>
  <c r="AC29" i="9"/>
  <c r="AC28" i="9"/>
  <c r="AC27" i="9"/>
  <c r="AC26" i="9"/>
  <c r="AC25" i="9"/>
  <c r="AC24" i="9"/>
  <c r="AC23" i="9"/>
  <c r="AV39" i="9" l="1"/>
  <c r="BA39" i="9"/>
  <c r="K38" i="9"/>
  <c r="W38" i="9"/>
  <c r="AP38" i="9" l="1"/>
  <c r="AJ38" i="9"/>
  <c r="L39" i="9"/>
  <c r="AD38" i="9"/>
  <c r="X38" i="9"/>
  <c r="K37" i="9"/>
  <c r="W37" i="9"/>
  <c r="AK39" i="9" l="1"/>
  <c r="AE39" i="9"/>
  <c r="X37" i="9"/>
  <c r="Y38" i="9" s="1"/>
  <c r="AP37" i="9"/>
  <c r="AJ37" i="9"/>
  <c r="AD37" i="9"/>
  <c r="AE38" i="9" s="1"/>
  <c r="AQ39" i="9"/>
  <c r="Y39" i="9"/>
  <c r="L38" i="9"/>
  <c r="K36" i="9"/>
  <c r="W36" i="9"/>
  <c r="AP36" i="9" l="1"/>
  <c r="AQ37" i="9" s="1"/>
  <c r="AJ36" i="9"/>
  <c r="AD36" i="9"/>
  <c r="AE37" i="9" s="1"/>
  <c r="AQ38" i="9"/>
  <c r="AK38" i="9"/>
  <c r="L37" i="9"/>
  <c r="X36" i="9"/>
  <c r="K35" i="9"/>
  <c r="W35" i="9"/>
  <c r="AP35" i="9" l="1"/>
  <c r="AJ35" i="9"/>
  <c r="AK36" i="9" s="1"/>
  <c r="AD35" i="9"/>
  <c r="AK37" i="9"/>
  <c r="Y37" i="9"/>
  <c r="L36" i="9"/>
  <c r="X35" i="9"/>
  <c r="Y36" i="9" s="1"/>
  <c r="K34" i="9"/>
  <c r="W34" i="9"/>
  <c r="B30" i="21"/>
  <c r="J65" i="21"/>
  <c r="H65" i="21"/>
  <c r="F65" i="21"/>
  <c r="D65" i="21"/>
  <c r="B65" i="21"/>
  <c r="B67" i="21" s="1"/>
  <c r="T46" i="21"/>
  <c r="S46" i="21"/>
  <c r="S45" i="21"/>
  <c r="S44" i="21"/>
  <c r="S43" i="21"/>
  <c r="S42" i="21"/>
  <c r="S41" i="21"/>
  <c r="L29" i="21"/>
  <c r="J28" i="21"/>
  <c r="H28" i="21"/>
  <c r="F28" i="21"/>
  <c r="D28" i="21"/>
  <c r="B28" i="21"/>
  <c r="P47" i="21" s="1"/>
  <c r="Q47" i="21" s="1"/>
  <c r="L67" i="21" l="1"/>
  <c r="P45" i="9"/>
  <c r="Q46" i="9" s="1"/>
  <c r="P57" i="21"/>
  <c r="P44" i="9"/>
  <c r="H67" i="21"/>
  <c r="R56" i="21" s="1"/>
  <c r="P43" i="9"/>
  <c r="P55" i="21"/>
  <c r="P42" i="9"/>
  <c r="D67" i="21"/>
  <c r="R54" i="21" s="1"/>
  <c r="P41" i="9"/>
  <c r="P53" i="21"/>
  <c r="P40" i="9"/>
  <c r="AP34" i="9"/>
  <c r="AJ34" i="9"/>
  <c r="AD34" i="9"/>
  <c r="AE35" i="9" s="1"/>
  <c r="AQ36" i="9"/>
  <c r="AE36" i="9"/>
  <c r="P51" i="21"/>
  <c r="P38" i="9"/>
  <c r="Q39" i="9" s="1"/>
  <c r="L35" i="9"/>
  <c r="H29" i="21"/>
  <c r="R50" i="21" s="1"/>
  <c r="P37" i="9"/>
  <c r="B37" i="9" s="1"/>
  <c r="P56" i="21"/>
  <c r="Q57" i="21" s="1"/>
  <c r="P50" i="21"/>
  <c r="G64" i="21"/>
  <c r="P49" i="21"/>
  <c r="P36" i="9"/>
  <c r="B36" i="9" s="1"/>
  <c r="D29" i="21"/>
  <c r="P35" i="9"/>
  <c r="X34" i="9"/>
  <c r="P34" i="9"/>
  <c r="F67" i="21"/>
  <c r="R55" i="21" s="1"/>
  <c r="T55" i="21" s="1"/>
  <c r="E64" i="21"/>
  <c r="P54" i="21"/>
  <c r="F29" i="21"/>
  <c r="R49" i="21" s="1"/>
  <c r="T49" i="21" s="1"/>
  <c r="G27" i="21"/>
  <c r="E27" i="21"/>
  <c r="P58" i="21"/>
  <c r="R52" i="21"/>
  <c r="I27" i="21"/>
  <c r="B29" i="21"/>
  <c r="J29" i="21"/>
  <c r="L30" i="21" s="1"/>
  <c r="P48" i="21"/>
  <c r="Q48" i="21" s="1"/>
  <c r="P52" i="21"/>
  <c r="A64" i="21"/>
  <c r="I64" i="21"/>
  <c r="J67" i="21"/>
  <c r="C27" i="21"/>
  <c r="K27" i="21"/>
  <c r="C64" i="21"/>
  <c r="K64" i="21"/>
  <c r="K33" i="9"/>
  <c r="W33" i="9"/>
  <c r="R45" i="9" l="1"/>
  <c r="S46" i="9" s="1"/>
  <c r="B45" i="9"/>
  <c r="Q45" i="9"/>
  <c r="R44" i="9"/>
  <c r="AV44" i="9" s="1"/>
  <c r="B44" i="9"/>
  <c r="Q52" i="21"/>
  <c r="B43" i="9"/>
  <c r="Q44" i="9"/>
  <c r="R43" i="9"/>
  <c r="Q43" i="9"/>
  <c r="Q56" i="21"/>
  <c r="Q55" i="21"/>
  <c r="B42" i="9"/>
  <c r="R42" i="9"/>
  <c r="R41" i="9"/>
  <c r="Q42" i="9"/>
  <c r="Q41" i="9"/>
  <c r="B41" i="9"/>
  <c r="Q54" i="21"/>
  <c r="B40" i="9"/>
  <c r="C40" i="9" s="1"/>
  <c r="Q40" i="9"/>
  <c r="R40" i="9"/>
  <c r="BA40" i="9" s="1"/>
  <c r="AP33" i="9"/>
  <c r="AJ33" i="9"/>
  <c r="AD33" i="9"/>
  <c r="AK35" i="9"/>
  <c r="AQ35" i="9"/>
  <c r="Q38" i="9"/>
  <c r="R38" i="9"/>
  <c r="BA38" i="9" s="1"/>
  <c r="B38" i="9"/>
  <c r="Q51" i="21"/>
  <c r="Y35" i="9"/>
  <c r="L34" i="9"/>
  <c r="X33" i="9"/>
  <c r="Q37" i="9"/>
  <c r="R37" i="9"/>
  <c r="R36" i="9"/>
  <c r="Q50" i="21"/>
  <c r="F68" i="21"/>
  <c r="Q36" i="9"/>
  <c r="H30" i="21"/>
  <c r="F30" i="21"/>
  <c r="R48" i="21"/>
  <c r="S49" i="21" s="1"/>
  <c r="R35" i="9"/>
  <c r="Q35" i="9"/>
  <c r="B35" i="9"/>
  <c r="B34" i="9"/>
  <c r="R34" i="9"/>
  <c r="H68" i="21"/>
  <c r="T54" i="21"/>
  <c r="S56" i="21"/>
  <c r="T56" i="21"/>
  <c r="R57" i="21"/>
  <c r="J68" i="21"/>
  <c r="R47" i="21"/>
  <c r="Q49" i="21"/>
  <c r="T52" i="21"/>
  <c r="Q53" i="21"/>
  <c r="S50" i="21"/>
  <c r="T50" i="21"/>
  <c r="R53" i="21"/>
  <c r="B68" i="21"/>
  <c r="L68" i="21"/>
  <c r="J30" i="21"/>
  <c r="R51" i="21"/>
  <c r="S52" i="21" s="1"/>
  <c r="S55" i="21"/>
  <c r="D68" i="21"/>
  <c r="D30" i="21"/>
  <c r="J65" i="16"/>
  <c r="J67" i="16" s="1"/>
  <c r="K32" i="9"/>
  <c r="H65" i="16"/>
  <c r="K31" i="9"/>
  <c r="W32" i="9"/>
  <c r="H65" i="14"/>
  <c r="K19" i="9"/>
  <c r="X19" i="9" s="1"/>
  <c r="F65" i="14"/>
  <c r="P55" i="14" s="1"/>
  <c r="K18" i="9"/>
  <c r="X18" i="9" s="1"/>
  <c r="W18" i="9"/>
  <c r="K17" i="9"/>
  <c r="X17" i="9" s="1"/>
  <c r="D65" i="14"/>
  <c r="P17" i="9" s="1"/>
  <c r="F65" i="16"/>
  <c r="K30" i="9"/>
  <c r="C2" i="20"/>
  <c r="E2" i="20" s="1"/>
  <c r="G2" i="20" s="1"/>
  <c r="H2" i="20" s="1"/>
  <c r="I2" i="20" s="1"/>
  <c r="C1" i="20"/>
  <c r="E1" i="20" s="1"/>
  <c r="G1" i="20" s="1"/>
  <c r="H1" i="20" s="1"/>
  <c r="W31" i="9"/>
  <c r="X8" i="9"/>
  <c r="W30" i="9"/>
  <c r="K29" i="9"/>
  <c r="W29" i="9"/>
  <c r="K28" i="9"/>
  <c r="W28" i="9"/>
  <c r="K27" i="9"/>
  <c r="B65" i="16"/>
  <c r="P53" i="16" s="1"/>
  <c r="W27" i="9"/>
  <c r="L28" i="16"/>
  <c r="P27" i="9" s="1"/>
  <c r="N9" i="16"/>
  <c r="K26" i="9"/>
  <c r="K25" i="9"/>
  <c r="W26" i="9"/>
  <c r="X21" i="9"/>
  <c r="X20" i="9"/>
  <c r="W25" i="9"/>
  <c r="K24" i="9"/>
  <c r="W24" i="9"/>
  <c r="K23" i="9"/>
  <c r="W23" i="9"/>
  <c r="K22" i="9"/>
  <c r="K10" i="9"/>
  <c r="K11" i="9"/>
  <c r="X11" i="9" s="1"/>
  <c r="K12" i="9"/>
  <c r="K13" i="9"/>
  <c r="X13" i="9" s="1"/>
  <c r="K14" i="9"/>
  <c r="K15" i="9"/>
  <c r="K16" i="9"/>
  <c r="X16" i="9" s="1"/>
  <c r="W22" i="9"/>
  <c r="L65" i="16"/>
  <c r="D65" i="16"/>
  <c r="P54" i="16" s="1"/>
  <c r="J28" i="16"/>
  <c r="P26" i="9" s="1"/>
  <c r="H28" i="16"/>
  <c r="F28" i="16"/>
  <c r="D28" i="16"/>
  <c r="P23" i="9" s="1"/>
  <c r="B28" i="16"/>
  <c r="T46" i="16"/>
  <c r="S46" i="16"/>
  <c r="S45" i="16"/>
  <c r="S44" i="16"/>
  <c r="S43" i="16"/>
  <c r="S42" i="16"/>
  <c r="S41" i="16"/>
  <c r="L21" i="9"/>
  <c r="W21" i="9"/>
  <c r="W20" i="9"/>
  <c r="W19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K4" i="9"/>
  <c r="K5" i="9"/>
  <c r="X5" i="9" s="1"/>
  <c r="K6" i="9"/>
  <c r="X6" i="9" s="1"/>
  <c r="K7" i="9"/>
  <c r="X7" i="9" s="1"/>
  <c r="H80" i="8"/>
  <c r="K9" i="9"/>
  <c r="X9" i="9" s="1"/>
  <c r="H28" i="14"/>
  <c r="L28" i="14"/>
  <c r="P15" i="9" s="1"/>
  <c r="J28" i="14"/>
  <c r="P14" i="9" s="1"/>
  <c r="B65" i="14"/>
  <c r="P53" i="14" s="1"/>
  <c r="F28" i="14"/>
  <c r="B28" i="14"/>
  <c r="L65" i="14"/>
  <c r="P21" i="9" s="1"/>
  <c r="R21" i="9" s="1"/>
  <c r="J65" i="14"/>
  <c r="T46" i="14"/>
  <c r="S46" i="14"/>
  <c r="S45" i="14"/>
  <c r="S44" i="14"/>
  <c r="S43" i="14"/>
  <c r="S42" i="14"/>
  <c r="S41" i="14"/>
  <c r="D28" i="14"/>
  <c r="J6" i="11"/>
  <c r="J7" i="11"/>
  <c r="J5" i="11"/>
  <c r="G8" i="11"/>
  <c r="H8" i="11"/>
  <c r="F7" i="11"/>
  <c r="F6" i="11"/>
  <c r="C6" i="11"/>
  <c r="K6" i="11" s="1"/>
  <c r="E6" i="11"/>
  <c r="D6" i="11"/>
  <c r="J80" i="8"/>
  <c r="C49" i="3" s="1"/>
  <c r="D49" i="3" s="1"/>
  <c r="E12" i="5"/>
  <c r="B90" i="7"/>
  <c r="B73" i="7"/>
  <c r="E11" i="5"/>
  <c r="B49" i="7"/>
  <c r="E10" i="5"/>
  <c r="D80" i="8"/>
  <c r="P5" i="9" s="1"/>
  <c r="B25" i="7"/>
  <c r="S56" i="8"/>
  <c r="S57" i="8"/>
  <c r="S58" i="8"/>
  <c r="S59" i="8"/>
  <c r="S60" i="8"/>
  <c r="S61" i="8"/>
  <c r="L27" i="8"/>
  <c r="C44" i="3" s="1"/>
  <c r="E7" i="5"/>
  <c r="J27" i="8"/>
  <c r="E5" i="5"/>
  <c r="E4" i="5"/>
  <c r="E3" i="5"/>
  <c r="D27" i="8"/>
  <c r="T61" i="8"/>
  <c r="E2" i="5"/>
  <c r="D13" i="5"/>
  <c r="B27" i="8"/>
  <c r="B28" i="8" s="1"/>
  <c r="L80" i="8"/>
  <c r="L82" i="8" s="1"/>
  <c r="F80" i="8"/>
  <c r="B80" i="8"/>
  <c r="B82" i="8" s="1"/>
  <c r="H27" i="8"/>
  <c r="F27" i="8"/>
  <c r="J82" i="4"/>
  <c r="D12" i="5"/>
  <c r="D11" i="5"/>
  <c r="D10" i="5"/>
  <c r="B82" i="4"/>
  <c r="B84" i="4" s="1"/>
  <c r="E25" i="3"/>
  <c r="E24" i="3"/>
  <c r="E23" i="3"/>
  <c r="E22" i="3"/>
  <c r="E21" i="3"/>
  <c r="E20" i="3"/>
  <c r="E19" i="3"/>
  <c r="D3" i="3"/>
  <c r="D4" i="3"/>
  <c r="D5" i="3"/>
  <c r="D6" i="3"/>
  <c r="D7" i="3"/>
  <c r="D8" i="3"/>
  <c r="D9" i="3"/>
  <c r="D10" i="3"/>
  <c r="D11" i="3"/>
  <c r="D12" i="3"/>
  <c r="D13" i="3"/>
  <c r="D14" i="3"/>
  <c r="C25" i="3"/>
  <c r="C24" i="3"/>
  <c r="C23" i="3"/>
  <c r="C22" i="3"/>
  <c r="C21" i="3"/>
  <c r="C20" i="3"/>
  <c r="C19" i="3"/>
  <c r="D9" i="5"/>
  <c r="D8" i="5"/>
  <c r="D7" i="5"/>
  <c r="D6" i="5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L28" i="4"/>
  <c r="J28" i="4"/>
  <c r="D5" i="5"/>
  <c r="D4" i="5"/>
  <c r="D3" i="5"/>
  <c r="T17" i="4"/>
  <c r="T18" i="4"/>
  <c r="T19" i="4"/>
  <c r="T20" i="4"/>
  <c r="T21" i="4"/>
  <c r="T22" i="4"/>
  <c r="T23" i="4"/>
  <c r="T24" i="4"/>
  <c r="T25" i="4"/>
  <c r="T16" i="4"/>
  <c r="S19" i="4"/>
  <c r="S14" i="2"/>
  <c r="S16" i="4"/>
  <c r="S22" i="4"/>
  <c r="S21" i="4"/>
  <c r="S20" i="4"/>
  <c r="S18" i="4"/>
  <c r="S17" i="4"/>
  <c r="S15" i="4"/>
  <c r="T15" i="4"/>
  <c r="S23" i="4"/>
  <c r="S24" i="4"/>
  <c r="S25" i="4"/>
  <c r="S13" i="4"/>
  <c r="S12" i="4"/>
  <c r="D2" i="5"/>
  <c r="K83" i="2"/>
  <c r="C13" i="5"/>
  <c r="C12" i="5"/>
  <c r="C11" i="5"/>
  <c r="C10" i="5"/>
  <c r="C9" i="5"/>
  <c r="C8" i="5"/>
  <c r="C7" i="5"/>
  <c r="C6" i="5"/>
  <c r="C5" i="5"/>
  <c r="C4" i="5"/>
  <c r="C3" i="5"/>
  <c r="C2" i="5"/>
  <c r="B13" i="5"/>
  <c r="B12" i="5"/>
  <c r="B11" i="5"/>
  <c r="B10" i="5"/>
  <c r="B9" i="5"/>
  <c r="B8" i="5"/>
  <c r="B7" i="5"/>
  <c r="B6" i="5"/>
  <c r="B5" i="5"/>
  <c r="B4" i="5"/>
  <c r="B3" i="5"/>
  <c r="B2" i="5"/>
  <c r="Q3" i="4"/>
  <c r="S3" i="4"/>
  <c r="Q4" i="4"/>
  <c r="S4" i="4"/>
  <c r="Q5" i="4"/>
  <c r="S5" i="4"/>
  <c r="Q6" i="4"/>
  <c r="S6" i="4"/>
  <c r="Q7" i="4"/>
  <c r="S7" i="4"/>
  <c r="Q8" i="4"/>
  <c r="S8" i="4"/>
  <c r="Q9" i="4"/>
  <c r="S9" i="4"/>
  <c r="Q10" i="4"/>
  <c r="S10" i="4"/>
  <c r="Q11" i="4"/>
  <c r="S11" i="4"/>
  <c r="Q12" i="4"/>
  <c r="Q13" i="4"/>
  <c r="Q14" i="4"/>
  <c r="S14" i="4"/>
  <c r="L82" i="4"/>
  <c r="H82" i="4"/>
  <c r="P59" i="4" s="1"/>
  <c r="C36" i="3" s="1"/>
  <c r="F82" i="4"/>
  <c r="P58" i="4" s="1"/>
  <c r="D82" i="4"/>
  <c r="P57" i="4" s="1"/>
  <c r="H28" i="4"/>
  <c r="H30" i="4" s="1"/>
  <c r="F28" i="4"/>
  <c r="D28" i="4"/>
  <c r="D30" i="4" s="1"/>
  <c r="B28" i="4"/>
  <c r="I83" i="2"/>
  <c r="J82" i="2"/>
  <c r="H82" i="2"/>
  <c r="G83" i="2"/>
  <c r="E83" i="2"/>
  <c r="F82" i="2"/>
  <c r="P23" i="2" s="1"/>
  <c r="C83" i="2"/>
  <c r="D82" i="2"/>
  <c r="D84" i="2" s="1"/>
  <c r="A83" i="2"/>
  <c r="B82" i="2"/>
  <c r="L82" i="2"/>
  <c r="K29" i="2"/>
  <c r="L28" i="2"/>
  <c r="I29" i="2"/>
  <c r="J28" i="2"/>
  <c r="G29" i="2"/>
  <c r="H28" i="2"/>
  <c r="H30" i="2" s="1"/>
  <c r="E29" i="2"/>
  <c r="F28" i="2"/>
  <c r="C29" i="2"/>
  <c r="F14" i="3"/>
  <c r="F13" i="3"/>
  <c r="F12" i="3"/>
  <c r="F11" i="3"/>
  <c r="F10" i="3"/>
  <c r="F9" i="3"/>
  <c r="F8" i="3"/>
  <c r="F7" i="3"/>
  <c r="F6" i="3"/>
  <c r="F5" i="3"/>
  <c r="F4" i="3"/>
  <c r="F3" i="3"/>
  <c r="Q3" i="2"/>
  <c r="S3" i="2"/>
  <c r="S5" i="2"/>
  <c r="S6" i="2"/>
  <c r="S7" i="2"/>
  <c r="S8" i="2"/>
  <c r="S9" i="2"/>
  <c r="S10" i="2"/>
  <c r="S11" i="2"/>
  <c r="S12" i="2"/>
  <c r="S13" i="2"/>
  <c r="S4" i="2"/>
  <c r="Q5" i="2"/>
  <c r="Q6" i="2"/>
  <c r="Q7" i="2"/>
  <c r="Q8" i="2"/>
  <c r="Q9" i="2"/>
  <c r="Q10" i="2"/>
  <c r="Q11" i="2"/>
  <c r="Q12" i="2"/>
  <c r="Q13" i="2"/>
  <c r="Q14" i="2"/>
  <c r="Q4" i="2"/>
  <c r="D28" i="2"/>
  <c r="A29" i="2"/>
  <c r="B28" i="2"/>
  <c r="C15" i="3" s="1"/>
  <c r="D15" i="3" s="1"/>
  <c r="K60" i="1"/>
  <c r="I60" i="1"/>
  <c r="G60" i="1"/>
  <c r="E60" i="1"/>
  <c r="C60" i="1"/>
  <c r="A60" i="1"/>
  <c r="L59" i="1"/>
  <c r="J59" i="1"/>
  <c r="H59" i="1"/>
  <c r="H61" i="1" s="1"/>
  <c r="F59" i="1"/>
  <c r="F61" i="1" s="1"/>
  <c r="D59" i="1"/>
  <c r="D61" i="1" s="1"/>
  <c r="B59" i="1"/>
  <c r="K29" i="1"/>
  <c r="I29" i="1"/>
  <c r="G29" i="1"/>
  <c r="E29" i="1"/>
  <c r="C29" i="1"/>
  <c r="L28" i="1"/>
  <c r="J28" i="1"/>
  <c r="J30" i="1" s="1"/>
  <c r="H28" i="1"/>
  <c r="F28" i="1"/>
  <c r="D28" i="1"/>
  <c r="B28" i="1"/>
  <c r="C14" i="5" l="1"/>
  <c r="X4" i="9"/>
  <c r="Y4" i="9" s="1"/>
  <c r="L4" i="9"/>
  <c r="C46" i="9"/>
  <c r="AE34" i="9"/>
  <c r="AV45" i="9"/>
  <c r="A27" i="21"/>
  <c r="A27" i="23"/>
  <c r="C44" i="9"/>
  <c r="G44" i="9" s="1"/>
  <c r="L29" i="16"/>
  <c r="P50" i="14"/>
  <c r="C45" i="9"/>
  <c r="B61" i="1"/>
  <c r="S45" i="9"/>
  <c r="S44" i="9"/>
  <c r="AV43" i="9"/>
  <c r="P30" i="4"/>
  <c r="C30" i="3" s="1"/>
  <c r="S48" i="21"/>
  <c r="J84" i="2"/>
  <c r="R25" i="2" s="1"/>
  <c r="D67" i="14"/>
  <c r="R54" i="14" s="1"/>
  <c r="T54" i="14" s="1"/>
  <c r="BA42" i="9"/>
  <c r="AV42" i="9"/>
  <c r="BA43" i="9"/>
  <c r="S43" i="9"/>
  <c r="R28" i="4"/>
  <c r="E28" i="3" s="1"/>
  <c r="G27" i="4"/>
  <c r="C43" i="9"/>
  <c r="G43" i="9" s="1"/>
  <c r="C41" i="9"/>
  <c r="B67" i="14"/>
  <c r="C42" i="9"/>
  <c r="G40" i="9"/>
  <c r="F40" i="9"/>
  <c r="E14" i="5"/>
  <c r="AV36" i="9"/>
  <c r="BA36" i="9"/>
  <c r="P57" i="14"/>
  <c r="P58" i="14" s="1"/>
  <c r="AV35" i="9"/>
  <c r="BA35" i="9"/>
  <c r="AV37" i="9"/>
  <c r="BA37" i="9"/>
  <c r="P49" i="14"/>
  <c r="Q50" i="14" s="1"/>
  <c r="AV34" i="9"/>
  <c r="BA34" i="9"/>
  <c r="P56" i="4"/>
  <c r="C33" i="3" s="1"/>
  <c r="A26" i="8"/>
  <c r="D28" i="8"/>
  <c r="I64" i="14"/>
  <c r="F29" i="14"/>
  <c r="P12" i="9"/>
  <c r="B12" i="9" s="1"/>
  <c r="BA41" i="9"/>
  <c r="S40" i="9"/>
  <c r="AV40" i="9"/>
  <c r="S39" i="9"/>
  <c r="AV38" i="9"/>
  <c r="S42" i="9"/>
  <c r="AV41" i="9"/>
  <c r="A27" i="2"/>
  <c r="P63" i="8"/>
  <c r="J8" i="11"/>
  <c r="G27" i="16"/>
  <c r="S41" i="9"/>
  <c r="P69" i="8"/>
  <c r="J29" i="16"/>
  <c r="R51" i="16" s="1"/>
  <c r="T51" i="16" s="1"/>
  <c r="I27" i="16"/>
  <c r="N5" i="5"/>
  <c r="P51" i="16"/>
  <c r="C27" i="16"/>
  <c r="L61" i="1"/>
  <c r="I27" i="4"/>
  <c r="F30" i="4"/>
  <c r="R29" i="4" s="1"/>
  <c r="D22" i="3"/>
  <c r="P49" i="16"/>
  <c r="P24" i="9"/>
  <c r="B24" i="9" s="1"/>
  <c r="P31" i="4"/>
  <c r="C31" i="3" s="1"/>
  <c r="D30" i="1"/>
  <c r="P25" i="2"/>
  <c r="J30" i="4"/>
  <c r="F21" i="3"/>
  <c r="K27" i="14"/>
  <c r="X23" i="9"/>
  <c r="AP23" i="9"/>
  <c r="AJ23" i="9"/>
  <c r="AD23" i="9"/>
  <c r="X26" i="9"/>
  <c r="AP26" i="9"/>
  <c r="AJ26" i="9"/>
  <c r="AD26" i="9"/>
  <c r="AP27" i="9"/>
  <c r="AJ27" i="9"/>
  <c r="AD27" i="9"/>
  <c r="X31" i="9"/>
  <c r="AP31" i="9"/>
  <c r="AJ31" i="9"/>
  <c r="AD31" i="9"/>
  <c r="AP25" i="9"/>
  <c r="AJ25" i="9"/>
  <c r="AD25" i="9"/>
  <c r="AP28" i="9"/>
  <c r="AJ28" i="9"/>
  <c r="AD28" i="9"/>
  <c r="X30" i="9"/>
  <c r="AP30" i="9"/>
  <c r="AJ30" i="9"/>
  <c r="AD30" i="9"/>
  <c r="AP32" i="9"/>
  <c r="AQ33" i="9" s="1"/>
  <c r="AJ32" i="9"/>
  <c r="AD32" i="9"/>
  <c r="AE33" i="9" s="1"/>
  <c r="X29" i="9"/>
  <c r="AP29" i="9"/>
  <c r="AJ29" i="9"/>
  <c r="AD29" i="9"/>
  <c r="L22" i="9"/>
  <c r="AP22" i="9"/>
  <c r="AQ22" i="9" s="1"/>
  <c r="AJ22" i="9"/>
  <c r="AK22" i="9" s="1"/>
  <c r="AD22" i="9"/>
  <c r="X24" i="9"/>
  <c r="AP24" i="9"/>
  <c r="AJ24" i="9"/>
  <c r="AD24" i="9"/>
  <c r="AQ34" i="9"/>
  <c r="AK34" i="9"/>
  <c r="C38" i="9"/>
  <c r="C39" i="9"/>
  <c r="L8" i="9"/>
  <c r="R5" i="9"/>
  <c r="X22" i="9"/>
  <c r="S38" i="9"/>
  <c r="D58" i="1"/>
  <c r="F62" i="1"/>
  <c r="P27" i="4"/>
  <c r="C27" i="3" s="1"/>
  <c r="P62" i="8"/>
  <c r="C64" i="14"/>
  <c r="P15" i="2"/>
  <c r="Q15" i="2" s="1"/>
  <c r="E7" i="11"/>
  <c r="B30" i="2"/>
  <c r="E15" i="3" s="1"/>
  <c r="F15" i="3" s="1"/>
  <c r="B30" i="4"/>
  <c r="D31" i="4" s="1"/>
  <c r="K27" i="4"/>
  <c r="D20" i="3"/>
  <c r="K79" i="8"/>
  <c r="P9" i="9"/>
  <c r="R9" i="9" s="1"/>
  <c r="C42" i="3"/>
  <c r="D42" i="3" s="1"/>
  <c r="N7" i="5"/>
  <c r="P10" i="9"/>
  <c r="R10" i="9" s="1"/>
  <c r="I79" i="8"/>
  <c r="D29" i="16"/>
  <c r="R48" i="16" s="1"/>
  <c r="P48" i="16"/>
  <c r="F28" i="8"/>
  <c r="A27" i="14"/>
  <c r="C46" i="3"/>
  <c r="P47" i="16"/>
  <c r="P28" i="4"/>
  <c r="C28" i="3" s="1"/>
  <c r="F24" i="3"/>
  <c r="L28" i="8"/>
  <c r="B83" i="8" s="1"/>
  <c r="D82" i="8"/>
  <c r="P64" i="8"/>
  <c r="C39" i="3"/>
  <c r="D14" i="5"/>
  <c r="P54" i="14"/>
  <c r="Q54" i="14" s="1"/>
  <c r="P20" i="9"/>
  <c r="B20" i="9" s="1"/>
  <c r="S37" i="9"/>
  <c r="X28" i="9"/>
  <c r="C37" i="9"/>
  <c r="L10" i="9"/>
  <c r="S36" i="9"/>
  <c r="L23" i="9"/>
  <c r="R22" i="2"/>
  <c r="L87" i="2"/>
  <c r="P26" i="2"/>
  <c r="I26" i="8"/>
  <c r="P48" i="14"/>
  <c r="P11" i="9"/>
  <c r="R11" i="9" s="1"/>
  <c r="E27" i="14"/>
  <c r="D29" i="14"/>
  <c r="P30" i="9"/>
  <c r="B30" i="9" s="1"/>
  <c r="P55" i="16"/>
  <c r="Q55" i="16" s="1"/>
  <c r="F67" i="16"/>
  <c r="R55" i="16" s="1"/>
  <c r="T55" i="16" s="1"/>
  <c r="C16" i="3"/>
  <c r="D16" i="3" s="1"/>
  <c r="B30" i="1"/>
  <c r="A27" i="1"/>
  <c r="P19" i="2"/>
  <c r="C45" i="3"/>
  <c r="D45" i="3" s="1"/>
  <c r="P68" i="8"/>
  <c r="P50" i="16"/>
  <c r="H29" i="16"/>
  <c r="P25" i="9"/>
  <c r="B25" i="9" s="1"/>
  <c r="P18" i="2"/>
  <c r="C18" i="3" s="1"/>
  <c r="D19" i="3" s="1"/>
  <c r="J30" i="2"/>
  <c r="A81" i="2"/>
  <c r="K27" i="2"/>
  <c r="L84" i="2"/>
  <c r="R26" i="2" s="1"/>
  <c r="B84" i="2"/>
  <c r="E81" i="2"/>
  <c r="C27" i="4"/>
  <c r="L84" i="4"/>
  <c r="R61" i="4" s="1"/>
  <c r="F20" i="3"/>
  <c r="F25" i="3"/>
  <c r="J28" i="8"/>
  <c r="R66" i="8" s="1"/>
  <c r="P66" i="8"/>
  <c r="P67" i="8"/>
  <c r="B29" i="14"/>
  <c r="B30" i="14" s="1"/>
  <c r="A64" i="14"/>
  <c r="P16" i="9"/>
  <c r="L20" i="9"/>
  <c r="X25" i="9"/>
  <c r="L26" i="9"/>
  <c r="P28" i="9"/>
  <c r="B67" i="16"/>
  <c r="R53" i="16" s="1"/>
  <c r="T53" i="16" s="1"/>
  <c r="H30" i="1"/>
  <c r="P26" i="4"/>
  <c r="R56" i="4"/>
  <c r="E33" i="3" s="1"/>
  <c r="R68" i="8"/>
  <c r="T68" i="8" s="1"/>
  <c r="E27" i="16"/>
  <c r="F29" i="16"/>
  <c r="R49" i="16" s="1"/>
  <c r="T49" i="16" s="1"/>
  <c r="E27" i="2"/>
  <c r="R18" i="2"/>
  <c r="E18" i="3" s="1"/>
  <c r="F19" i="3" s="1"/>
  <c r="I27" i="2"/>
  <c r="C79" i="8"/>
  <c r="P19" i="9"/>
  <c r="H67" i="14"/>
  <c r="R56" i="14" s="1"/>
  <c r="P56" i="14"/>
  <c r="I27" i="1"/>
  <c r="H58" i="1"/>
  <c r="C27" i="1"/>
  <c r="G27" i="1"/>
  <c r="K81" i="2"/>
  <c r="A27" i="4"/>
  <c r="T34" i="4"/>
  <c r="R30" i="4"/>
  <c r="D21" i="3"/>
  <c r="F22" i="3"/>
  <c r="E45" i="3"/>
  <c r="K26" i="8"/>
  <c r="A64" i="16"/>
  <c r="R14" i="9"/>
  <c r="E81" i="4"/>
  <c r="J67" i="14"/>
  <c r="J29" i="14"/>
  <c r="R51" i="14" s="1"/>
  <c r="Y9" i="9"/>
  <c r="P52" i="16"/>
  <c r="K27" i="16"/>
  <c r="L13" i="9"/>
  <c r="B58" i="1"/>
  <c r="K27" i="1"/>
  <c r="L30" i="1"/>
  <c r="H84" i="2"/>
  <c r="P24" i="2"/>
  <c r="Q24" i="2" s="1"/>
  <c r="G81" i="2"/>
  <c r="C34" i="3"/>
  <c r="C35" i="3"/>
  <c r="Q59" i="4"/>
  <c r="E79" i="8"/>
  <c r="F82" i="8"/>
  <c r="P6" i="9"/>
  <c r="R6" i="9" s="1"/>
  <c r="C47" i="3"/>
  <c r="P70" i="8"/>
  <c r="P56" i="16"/>
  <c r="P31" i="9"/>
  <c r="R31" i="9" s="1"/>
  <c r="G64" i="16"/>
  <c r="H67" i="16"/>
  <c r="I64" i="16"/>
  <c r="H62" i="1"/>
  <c r="I81" i="2"/>
  <c r="P29" i="4"/>
  <c r="E27" i="4"/>
  <c r="F23" i="3"/>
  <c r="I81" i="4"/>
  <c r="P60" i="4"/>
  <c r="R57" i="16"/>
  <c r="J58" i="1"/>
  <c r="L58" i="1"/>
  <c r="J61" i="1"/>
  <c r="P16" i="2"/>
  <c r="D30" i="2"/>
  <c r="C27" i="2"/>
  <c r="P17" i="2"/>
  <c r="G27" i="2"/>
  <c r="F30" i="2"/>
  <c r="H31" i="2" s="1"/>
  <c r="P20" i="2"/>
  <c r="L30" i="2"/>
  <c r="J84" i="4"/>
  <c r="F30" i="1"/>
  <c r="D25" i="3"/>
  <c r="C5" i="11"/>
  <c r="K5" i="11" s="1"/>
  <c r="E27" i="1"/>
  <c r="Q58" i="4"/>
  <c r="D84" i="4"/>
  <c r="C81" i="4"/>
  <c r="G79" i="8"/>
  <c r="P7" i="9"/>
  <c r="R7" i="9" s="1"/>
  <c r="P71" i="8"/>
  <c r="H82" i="8"/>
  <c r="F58" i="1"/>
  <c r="C81" i="2"/>
  <c r="P22" i="2"/>
  <c r="Q23" i="2" s="1"/>
  <c r="K81" i="4"/>
  <c r="F84" i="4"/>
  <c r="G81" i="4"/>
  <c r="A27" i="16"/>
  <c r="P22" i="9"/>
  <c r="R22" i="9" s="1"/>
  <c r="B29" i="16"/>
  <c r="B26" i="9"/>
  <c r="R26" i="9"/>
  <c r="C38" i="3"/>
  <c r="P61" i="4"/>
  <c r="P32" i="4"/>
  <c r="A81" i="4"/>
  <c r="D23" i="3"/>
  <c r="D24" i="3"/>
  <c r="P65" i="8"/>
  <c r="Q54" i="16"/>
  <c r="F84" i="2"/>
  <c r="P21" i="2"/>
  <c r="H84" i="4"/>
  <c r="L30" i="4"/>
  <c r="H28" i="8"/>
  <c r="G26" i="8"/>
  <c r="E39" i="3"/>
  <c r="R62" i="8"/>
  <c r="L67" i="14"/>
  <c r="K64" i="14"/>
  <c r="H29" i="14"/>
  <c r="G27" i="14"/>
  <c r="I27" i="14"/>
  <c r="P13" i="9"/>
  <c r="B13" i="9" s="1"/>
  <c r="P18" i="9"/>
  <c r="R18" i="9" s="1"/>
  <c r="G64" i="14"/>
  <c r="F67" i="14"/>
  <c r="E64" i="14"/>
  <c r="P72" i="8"/>
  <c r="P8" i="9"/>
  <c r="R8" i="9" s="1"/>
  <c r="R52" i="16"/>
  <c r="R23" i="9"/>
  <c r="L27" i="9"/>
  <c r="X27" i="9"/>
  <c r="J82" i="8"/>
  <c r="A79" i="8"/>
  <c r="P4" i="9"/>
  <c r="C40" i="3"/>
  <c r="E26" i="8"/>
  <c r="C26" i="8"/>
  <c r="L29" i="14"/>
  <c r="P52" i="14"/>
  <c r="P29" i="9"/>
  <c r="R29" i="9" s="1"/>
  <c r="D67" i="16"/>
  <c r="C64" i="16"/>
  <c r="E64" i="16"/>
  <c r="L14" i="9"/>
  <c r="X14" i="9"/>
  <c r="Y14" i="9" s="1"/>
  <c r="L25" i="9"/>
  <c r="L18" i="9"/>
  <c r="L17" i="9"/>
  <c r="P57" i="16"/>
  <c r="P32" i="9"/>
  <c r="C27" i="14"/>
  <c r="P51" i="14"/>
  <c r="P47" i="14"/>
  <c r="Q47" i="14" s="1"/>
  <c r="C36" i="9"/>
  <c r="Y8" i="9"/>
  <c r="S35" i="9"/>
  <c r="Y21" i="9"/>
  <c r="Y20" i="9"/>
  <c r="C35" i="9"/>
  <c r="T48" i="21"/>
  <c r="X12" i="9"/>
  <c r="Y13" i="9" s="1"/>
  <c r="B23" i="9"/>
  <c r="L19" i="9"/>
  <c r="L11" i="9"/>
  <c r="B27" i="9"/>
  <c r="L28" i="9"/>
  <c r="L29" i="9"/>
  <c r="R17" i="9"/>
  <c r="L24" i="9"/>
  <c r="I6" i="11"/>
  <c r="B21" i="9"/>
  <c r="L9" i="9"/>
  <c r="R27" i="9"/>
  <c r="L15" i="9"/>
  <c r="L30" i="9"/>
  <c r="Y6" i="9"/>
  <c r="Y17" i="9"/>
  <c r="L7" i="9"/>
  <c r="L6" i="9"/>
  <c r="B15" i="9"/>
  <c r="L16" i="9"/>
  <c r="L5" i="9"/>
  <c r="C7" i="11"/>
  <c r="B17" i="9"/>
  <c r="X10" i="9"/>
  <c r="Y11" i="9" s="1"/>
  <c r="X15" i="9"/>
  <c r="R15" i="9"/>
  <c r="Q27" i="9"/>
  <c r="L31" i="9"/>
  <c r="L32" i="9"/>
  <c r="X32" i="9"/>
  <c r="L33" i="9"/>
  <c r="L12" i="9"/>
  <c r="B5" i="9"/>
  <c r="D7" i="11"/>
  <c r="B14" i="9"/>
  <c r="Q15" i="9"/>
  <c r="Y18" i="9"/>
  <c r="Y19" i="9"/>
  <c r="Y34" i="9"/>
  <c r="T47" i="21"/>
  <c r="S47" i="21"/>
  <c r="T53" i="21"/>
  <c r="S53" i="21"/>
  <c r="T51" i="21"/>
  <c r="S51" i="21"/>
  <c r="S58" i="21"/>
  <c r="T57" i="21"/>
  <c r="S57" i="21"/>
  <c r="S54" i="21"/>
  <c r="L67" i="16"/>
  <c r="L68" i="16" s="1"/>
  <c r="P33" i="9"/>
  <c r="K64" i="16"/>
  <c r="Y7" i="9"/>
  <c r="F46" i="9" l="1"/>
  <c r="R31" i="4"/>
  <c r="E31" i="3" s="1"/>
  <c r="Y5" i="9"/>
  <c r="Q5" i="9"/>
  <c r="R4" i="9"/>
  <c r="S4" i="9" s="1"/>
  <c r="Q4" i="9"/>
  <c r="G46" i="9"/>
  <c r="F44" i="9"/>
  <c r="D62" i="1"/>
  <c r="Q34" i="9"/>
  <c r="B29" i="8"/>
  <c r="L85" i="4"/>
  <c r="R53" i="14"/>
  <c r="T53" i="14" s="1"/>
  <c r="Q51" i="14"/>
  <c r="Q56" i="16"/>
  <c r="J31" i="4"/>
  <c r="D31" i="3"/>
  <c r="F45" i="9"/>
  <c r="G45" i="9"/>
  <c r="R49" i="14"/>
  <c r="T49" i="14" s="1"/>
  <c r="E38" i="3"/>
  <c r="F39" i="3" s="1"/>
  <c r="T37" i="4"/>
  <c r="Q31" i="4"/>
  <c r="Q49" i="14"/>
  <c r="Q64" i="8"/>
  <c r="R12" i="9"/>
  <c r="S12" i="9" s="1"/>
  <c r="Q65" i="8"/>
  <c r="B68" i="16"/>
  <c r="L30" i="16"/>
  <c r="Q70" i="8"/>
  <c r="D29" i="8"/>
  <c r="D30" i="14"/>
  <c r="R63" i="8"/>
  <c r="T63" i="8" s="1"/>
  <c r="J30" i="16"/>
  <c r="E40" i="3"/>
  <c r="F40" i="3" s="1"/>
  <c r="Q69" i="8"/>
  <c r="F29" i="8"/>
  <c r="Q55" i="14"/>
  <c r="F43" i="9"/>
  <c r="F37" i="9"/>
  <c r="G37" i="9"/>
  <c r="G38" i="9"/>
  <c r="F38" i="9"/>
  <c r="F42" i="9"/>
  <c r="G42" i="9"/>
  <c r="G35" i="9"/>
  <c r="F35" i="9"/>
  <c r="G36" i="9"/>
  <c r="F36" i="9"/>
  <c r="D46" i="3"/>
  <c r="G39" i="9"/>
  <c r="F39" i="9"/>
  <c r="F41" i="9"/>
  <c r="G41" i="9"/>
  <c r="D34" i="3"/>
  <c r="F30" i="16"/>
  <c r="Q57" i="4"/>
  <c r="Q57" i="14"/>
  <c r="Y24" i="9"/>
  <c r="Q49" i="16"/>
  <c r="Y31" i="9"/>
  <c r="AQ29" i="9"/>
  <c r="AE27" i="9"/>
  <c r="Y32" i="9"/>
  <c r="AE24" i="9"/>
  <c r="J29" i="8"/>
  <c r="L29" i="8"/>
  <c r="L85" i="2"/>
  <c r="Q52" i="16"/>
  <c r="B31" i="4"/>
  <c r="Q50" i="16"/>
  <c r="F30" i="14"/>
  <c r="R57" i="14"/>
  <c r="S57" i="14" s="1"/>
  <c r="R67" i="8"/>
  <c r="T67" i="8" s="1"/>
  <c r="R48" i="14"/>
  <c r="T48" i="14" s="1"/>
  <c r="Q56" i="14"/>
  <c r="AK26" i="9"/>
  <c r="Y26" i="9"/>
  <c r="Y23" i="9"/>
  <c r="AK29" i="9"/>
  <c r="AE29" i="9"/>
  <c r="AQ31" i="9"/>
  <c r="AQ24" i="9"/>
  <c r="Y30" i="9"/>
  <c r="D39" i="3"/>
  <c r="R15" i="2"/>
  <c r="S15" i="2" s="1"/>
  <c r="H31" i="4"/>
  <c r="D28" i="3"/>
  <c r="AK24" i="9"/>
  <c r="AE28" i="9"/>
  <c r="AE25" i="9"/>
  <c r="AK31" i="9"/>
  <c r="AQ26" i="9"/>
  <c r="Q24" i="9"/>
  <c r="F31" i="4"/>
  <c r="B31" i="2"/>
  <c r="Y29" i="9"/>
  <c r="AE32" i="9"/>
  <c r="R24" i="9"/>
  <c r="S24" i="9" s="1"/>
  <c r="Q28" i="4"/>
  <c r="Q71" i="8"/>
  <c r="Q16" i="2"/>
  <c r="AE30" i="9"/>
  <c r="AK27" i="9"/>
  <c r="AK23" i="9"/>
  <c r="AK30" i="9"/>
  <c r="AK28" i="9"/>
  <c r="AK25" i="9"/>
  <c r="AQ27" i="9"/>
  <c r="AQ23" i="9"/>
  <c r="AQ32" i="9"/>
  <c r="AE31" i="9"/>
  <c r="AE26" i="9"/>
  <c r="AE23" i="9"/>
  <c r="AK32" i="9"/>
  <c r="AQ30" i="9"/>
  <c r="AQ28" i="9"/>
  <c r="AQ25" i="9"/>
  <c r="AK33" i="9"/>
  <c r="Y22" i="9"/>
  <c r="Q21" i="9"/>
  <c r="Q22" i="9"/>
  <c r="C13" i="9"/>
  <c r="G13" i="9" s="1"/>
  <c r="B10" i="9"/>
  <c r="Q25" i="9"/>
  <c r="Q10" i="9"/>
  <c r="B9" i="9"/>
  <c r="R20" i="9"/>
  <c r="S21" i="9" s="1"/>
  <c r="Q20" i="9"/>
  <c r="Q20" i="2"/>
  <c r="E44" i="3"/>
  <c r="F45" i="3" s="1"/>
  <c r="Q51" i="16"/>
  <c r="J31" i="1"/>
  <c r="R27" i="4"/>
  <c r="Q62" i="8"/>
  <c r="Q63" i="8"/>
  <c r="R69" i="8"/>
  <c r="T69" i="8" s="1"/>
  <c r="D83" i="8"/>
  <c r="E46" i="3"/>
  <c r="F46" i="3" s="1"/>
  <c r="Q48" i="16"/>
  <c r="Q47" i="16"/>
  <c r="R64" i="8"/>
  <c r="T64" i="8" s="1"/>
  <c r="Q12" i="9"/>
  <c r="Q26" i="9"/>
  <c r="Q7" i="9"/>
  <c r="Q23" i="9"/>
  <c r="Q13" i="9"/>
  <c r="B28" i="9"/>
  <c r="C28" i="9" s="1"/>
  <c r="R25" i="9"/>
  <c r="S26" i="9" s="1"/>
  <c r="R30" i="9"/>
  <c r="Y28" i="9"/>
  <c r="C26" i="9"/>
  <c r="F26" i="9" s="1"/>
  <c r="Y27" i="9"/>
  <c r="C14" i="9"/>
  <c r="G14" i="9" s="1"/>
  <c r="B19" i="9"/>
  <c r="C20" i="9" s="1"/>
  <c r="G20" i="9" s="1"/>
  <c r="R13" i="9"/>
  <c r="R19" i="9"/>
  <c r="S19" i="9" s="1"/>
  <c r="Q28" i="9"/>
  <c r="Q14" i="9"/>
  <c r="B18" i="9"/>
  <c r="C18" i="9" s="1"/>
  <c r="G18" i="9" s="1"/>
  <c r="R28" i="9"/>
  <c r="Q29" i="9"/>
  <c r="Q18" i="9"/>
  <c r="Y15" i="9"/>
  <c r="S27" i="9"/>
  <c r="S6" i="9"/>
  <c r="S9" i="9"/>
  <c r="S11" i="9"/>
  <c r="T36" i="4"/>
  <c r="E30" i="3"/>
  <c r="F31" i="3" s="1"/>
  <c r="S31" i="4"/>
  <c r="R16" i="9"/>
  <c r="Q16" i="9"/>
  <c r="Q26" i="2"/>
  <c r="Q27" i="2"/>
  <c r="B11" i="9"/>
  <c r="C12" i="9" s="1"/>
  <c r="F12" i="9" s="1"/>
  <c r="Y25" i="9"/>
  <c r="J68" i="14"/>
  <c r="Q68" i="8"/>
  <c r="Q19" i="2"/>
  <c r="Q53" i="16"/>
  <c r="Q11" i="9"/>
  <c r="B16" i="9"/>
  <c r="C16" i="9" s="1"/>
  <c r="Q66" i="8"/>
  <c r="C26" i="3"/>
  <c r="Q26" i="4"/>
  <c r="Q27" i="4"/>
  <c r="Q67" i="8"/>
  <c r="C43" i="3"/>
  <c r="R21" i="2"/>
  <c r="S22" i="2" s="1"/>
  <c r="R50" i="16"/>
  <c r="H30" i="16"/>
  <c r="Q19" i="9"/>
  <c r="Q17" i="9"/>
  <c r="Q8" i="9"/>
  <c r="Q48" i="14"/>
  <c r="R47" i="14"/>
  <c r="R26" i="4"/>
  <c r="T30" i="4" s="1"/>
  <c r="L88" i="2"/>
  <c r="R19" i="2"/>
  <c r="S19" i="2" s="1"/>
  <c r="J31" i="2"/>
  <c r="D31" i="1"/>
  <c r="D85" i="2"/>
  <c r="Q32" i="9"/>
  <c r="B32" i="9"/>
  <c r="Q52" i="14"/>
  <c r="Q53" i="14"/>
  <c r="L68" i="14"/>
  <c r="T66" i="8"/>
  <c r="E43" i="3"/>
  <c r="S58" i="16"/>
  <c r="T57" i="16"/>
  <c r="D5" i="11"/>
  <c r="D8" i="11" s="1"/>
  <c r="B6" i="9"/>
  <c r="C6" i="9" s="1"/>
  <c r="G6" i="9" s="1"/>
  <c r="Q6" i="9"/>
  <c r="D35" i="3"/>
  <c r="D36" i="3"/>
  <c r="S8" i="9"/>
  <c r="R52" i="14"/>
  <c r="B68" i="14"/>
  <c r="L30" i="14"/>
  <c r="D68" i="14"/>
  <c r="J83" i="8"/>
  <c r="R72" i="8"/>
  <c r="E49" i="3"/>
  <c r="F49" i="3" s="1"/>
  <c r="R32" i="4"/>
  <c r="B85" i="4"/>
  <c r="L31" i="4"/>
  <c r="F85" i="4"/>
  <c r="R58" i="4"/>
  <c r="B7" i="9"/>
  <c r="E5" i="11"/>
  <c r="E8" i="11" s="1"/>
  <c r="F31" i="1"/>
  <c r="H31" i="1"/>
  <c r="F31" i="2"/>
  <c r="R17" i="2"/>
  <c r="J62" i="1"/>
  <c r="F83" i="8"/>
  <c r="R70" i="8"/>
  <c r="E47" i="3"/>
  <c r="H85" i="2"/>
  <c r="R24" i="2"/>
  <c r="S25" i="2" s="1"/>
  <c r="B8" i="9"/>
  <c r="B29" i="9"/>
  <c r="C30" i="9" s="1"/>
  <c r="F30" i="9" s="1"/>
  <c r="Q30" i="9"/>
  <c r="L83" i="8"/>
  <c r="F85" i="2"/>
  <c r="R23" i="2"/>
  <c r="S23" i="2" s="1"/>
  <c r="Q32" i="4"/>
  <c r="C32" i="3"/>
  <c r="Q56" i="4"/>
  <c r="B22" i="9"/>
  <c r="C23" i="9" s="1"/>
  <c r="R71" i="8"/>
  <c r="H83" i="8"/>
  <c r="L31" i="2"/>
  <c r="B85" i="2"/>
  <c r="R20" i="2"/>
  <c r="C17" i="3"/>
  <c r="Q17" i="2"/>
  <c r="Q18" i="2"/>
  <c r="E16" i="3"/>
  <c r="F16" i="3" s="1"/>
  <c r="D31" i="2"/>
  <c r="R16" i="2"/>
  <c r="L62" i="1"/>
  <c r="Q31" i="9"/>
  <c r="B31" i="9"/>
  <c r="D47" i="3"/>
  <c r="D48" i="3"/>
  <c r="J85" i="2"/>
  <c r="R55" i="14"/>
  <c r="S56" i="14" s="1"/>
  <c r="F68" i="14"/>
  <c r="E29" i="3"/>
  <c r="S29" i="4"/>
  <c r="S30" i="4"/>
  <c r="T35" i="4"/>
  <c r="J85" i="4"/>
  <c r="R60" i="4"/>
  <c r="S27" i="2"/>
  <c r="S26" i="2"/>
  <c r="C37" i="3"/>
  <c r="D37" i="3" s="1"/>
  <c r="Q60" i="4"/>
  <c r="T51" i="14"/>
  <c r="Q57" i="16"/>
  <c r="P58" i="16"/>
  <c r="Q72" i="8"/>
  <c r="P73" i="8"/>
  <c r="T48" i="16"/>
  <c r="H30" i="14"/>
  <c r="R50" i="14"/>
  <c r="S51" i="14" s="1"/>
  <c r="J30" i="14"/>
  <c r="Q61" i="4"/>
  <c r="Q62" i="4"/>
  <c r="Q25" i="2"/>
  <c r="H68" i="16"/>
  <c r="R56" i="16"/>
  <c r="H68" i="14"/>
  <c r="L31" i="1"/>
  <c r="B62" i="1"/>
  <c r="Q9" i="9"/>
  <c r="F5" i="11"/>
  <c r="F8" i="11" s="1"/>
  <c r="R32" i="9"/>
  <c r="R54" i="16"/>
  <c r="D68" i="16"/>
  <c r="D41" i="3"/>
  <c r="D40" i="3"/>
  <c r="S53" i="16"/>
  <c r="S52" i="16"/>
  <c r="T52" i="16"/>
  <c r="T62" i="8"/>
  <c r="S62" i="8"/>
  <c r="R65" i="8"/>
  <c r="E42" i="3"/>
  <c r="F42" i="3" s="1"/>
  <c r="H29" i="8"/>
  <c r="H85" i="4"/>
  <c r="R59" i="4"/>
  <c r="Q21" i="2"/>
  <c r="F68" i="16"/>
  <c r="D30" i="16"/>
  <c r="B30" i="16"/>
  <c r="R47" i="16"/>
  <c r="Q22" i="2"/>
  <c r="D85" i="4"/>
  <c r="R57" i="4"/>
  <c r="S49" i="16"/>
  <c r="Q30" i="4"/>
  <c r="Q29" i="4"/>
  <c r="C29" i="3"/>
  <c r="T56" i="14"/>
  <c r="J68" i="16"/>
  <c r="Y12" i="9"/>
  <c r="S10" i="9"/>
  <c r="S7" i="9"/>
  <c r="S18" i="9"/>
  <c r="Y10" i="9"/>
  <c r="Y33" i="9"/>
  <c r="C21" i="9"/>
  <c r="G21" i="9" s="1"/>
  <c r="S15" i="9"/>
  <c r="C24" i="9"/>
  <c r="C25" i="9"/>
  <c r="C27" i="9"/>
  <c r="K7" i="11"/>
  <c r="C8" i="11"/>
  <c r="K8" i="11" s="1"/>
  <c r="I7" i="11"/>
  <c r="Y16" i="9"/>
  <c r="C15" i="9"/>
  <c r="B33" i="9"/>
  <c r="R33" i="9"/>
  <c r="Q33" i="9"/>
  <c r="S5" i="9" l="1"/>
  <c r="S54" i="14"/>
  <c r="AV33" i="9"/>
  <c r="S49" i="14"/>
  <c r="S63" i="8"/>
  <c r="F41" i="3"/>
  <c r="S58" i="14"/>
  <c r="T57" i="14"/>
  <c r="T29" i="4"/>
  <c r="D38" i="3"/>
  <c r="T61" i="4"/>
  <c r="S48" i="14"/>
  <c r="S16" i="2"/>
  <c r="S68" i="8"/>
  <c r="S64" i="8"/>
  <c r="S67" i="8"/>
  <c r="S69" i="8"/>
  <c r="G26" i="9"/>
  <c r="F13" i="9"/>
  <c r="F14" i="9"/>
  <c r="C11" i="9"/>
  <c r="F11" i="9" s="1"/>
  <c r="C10" i="9"/>
  <c r="F10" i="9" s="1"/>
  <c r="C9" i="9"/>
  <c r="F9" i="9" s="1"/>
  <c r="T33" i="4"/>
  <c r="E27" i="3"/>
  <c r="F28" i="3" s="1"/>
  <c r="S28" i="4"/>
  <c r="S31" i="9"/>
  <c r="S30" i="9"/>
  <c r="S32" i="9"/>
  <c r="S13" i="9"/>
  <c r="S29" i="9"/>
  <c r="S25" i="9"/>
  <c r="S17" i="9"/>
  <c r="S20" i="9"/>
  <c r="S28" i="9"/>
  <c r="F20" i="9"/>
  <c r="C19" i="9"/>
  <c r="F19" i="9" s="1"/>
  <c r="S14" i="9"/>
  <c r="C22" i="9"/>
  <c r="F22" i="9" s="1"/>
  <c r="G12" i="9"/>
  <c r="F18" i="9"/>
  <c r="C7" i="9"/>
  <c r="F7" i="9" s="1"/>
  <c r="C17" i="9"/>
  <c r="G17" i="9" s="1"/>
  <c r="S16" i="9"/>
  <c r="T50" i="16"/>
  <c r="S50" i="16"/>
  <c r="S51" i="16"/>
  <c r="D44" i="3"/>
  <c r="D43" i="3"/>
  <c r="D27" i="3"/>
  <c r="D26" i="3"/>
  <c r="G30" i="9"/>
  <c r="T26" i="4"/>
  <c r="T27" i="4"/>
  <c r="S27" i="4"/>
  <c r="S26" i="4"/>
  <c r="T31" i="4"/>
  <c r="T28" i="4"/>
  <c r="E26" i="3"/>
  <c r="T56" i="4"/>
  <c r="I5" i="11"/>
  <c r="S62" i="4"/>
  <c r="T47" i="14"/>
  <c r="S47" i="14"/>
  <c r="F23" i="9"/>
  <c r="G23" i="9"/>
  <c r="D29" i="3"/>
  <c r="D30" i="3"/>
  <c r="E34" i="3"/>
  <c r="F34" i="3" s="1"/>
  <c r="S57" i="4"/>
  <c r="T57" i="4"/>
  <c r="T47" i="16"/>
  <c r="S47" i="16"/>
  <c r="E36" i="3"/>
  <c r="S59" i="4"/>
  <c r="T59" i="4"/>
  <c r="S60" i="4"/>
  <c r="E37" i="3"/>
  <c r="T60" i="4"/>
  <c r="D18" i="3"/>
  <c r="D17" i="3"/>
  <c r="S70" i="8"/>
  <c r="T70" i="8"/>
  <c r="S73" i="8"/>
  <c r="S72" i="8"/>
  <c r="T72" i="8"/>
  <c r="F43" i="3"/>
  <c r="F44" i="3"/>
  <c r="S61" i="4"/>
  <c r="C29" i="9"/>
  <c r="G29" i="9" s="1"/>
  <c r="F6" i="9"/>
  <c r="S65" i="8"/>
  <c r="T65" i="8"/>
  <c r="T55" i="14"/>
  <c r="S55" i="14"/>
  <c r="S20" i="2"/>
  <c r="S21" i="2"/>
  <c r="D33" i="3"/>
  <c r="D32" i="3"/>
  <c r="S24" i="2"/>
  <c r="E17" i="3"/>
  <c r="S17" i="2"/>
  <c r="S18" i="2"/>
  <c r="E32" i="3"/>
  <c r="T32" i="4"/>
  <c r="T38" i="4"/>
  <c r="S56" i="4"/>
  <c r="S32" i="4"/>
  <c r="S66" i="8"/>
  <c r="S48" i="16"/>
  <c r="F29" i="3"/>
  <c r="F30" i="3"/>
  <c r="C32" i="9"/>
  <c r="C31" i="9"/>
  <c r="E35" i="3"/>
  <c r="T58" i="4"/>
  <c r="S58" i="4"/>
  <c r="S52" i="14"/>
  <c r="T52" i="14"/>
  <c r="S53" i="14"/>
  <c r="S54" i="16"/>
  <c r="T54" i="16"/>
  <c r="S55" i="16"/>
  <c r="T56" i="16"/>
  <c r="S56" i="16"/>
  <c r="S50" i="14"/>
  <c r="T50" i="14"/>
  <c r="S71" i="8"/>
  <c r="T71" i="8"/>
  <c r="S22" i="9"/>
  <c r="S23" i="9"/>
  <c r="C8" i="9"/>
  <c r="F48" i="3"/>
  <c r="F47" i="3"/>
  <c r="S57" i="16"/>
  <c r="F21" i="9"/>
  <c r="G25" i="9"/>
  <c r="F25" i="9"/>
  <c r="I8" i="11"/>
  <c r="G27" i="9"/>
  <c r="F27" i="9"/>
  <c r="G24" i="9"/>
  <c r="F24" i="9"/>
  <c r="F16" i="9"/>
  <c r="G16" i="9"/>
  <c r="F15" i="9"/>
  <c r="G15" i="9"/>
  <c r="G28" i="9"/>
  <c r="F28" i="9"/>
  <c r="C33" i="9"/>
  <c r="F33" i="9" s="1"/>
  <c r="C34" i="9"/>
  <c r="S33" i="9"/>
  <c r="S34" i="9"/>
  <c r="G34" i="9" l="1"/>
  <c r="F34" i="9"/>
  <c r="F35" i="3"/>
  <c r="F17" i="9"/>
  <c r="G9" i="9"/>
  <c r="G10" i="9"/>
  <c r="G11" i="9"/>
  <c r="G19" i="9"/>
  <c r="F29" i="9"/>
  <c r="G22" i="9"/>
  <c r="G7" i="9"/>
  <c r="F26" i="3"/>
  <c r="F27" i="3"/>
  <c r="F32" i="3"/>
  <c r="F33" i="3"/>
  <c r="F32" i="9"/>
  <c r="G32" i="9"/>
  <c r="F17" i="3"/>
  <c r="F18" i="3"/>
  <c r="F37" i="3"/>
  <c r="F38" i="3"/>
  <c r="F36" i="3"/>
  <c r="G8" i="9"/>
  <c r="F8" i="9"/>
  <c r="G31" i="9"/>
  <c r="F31" i="9"/>
  <c r="G3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Isis Gonçalves de Toledo</author>
  </authors>
  <commentList>
    <comment ref="K5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Dado cfme média dia Shock Metais
http://www.shockmetais.com.br/lme/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Média cfme EMS CD0129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8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8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6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6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6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Mayara Sombrio Mafra</author>
  </authors>
  <commentList>
    <comment ref="E68" authorId="0" shapeId="0" xr:uid="{A4059E60-D28B-4B13-AD55-081D3EC52F2F}">
      <text>
        <r>
          <rPr>
            <b/>
            <sz val="9"/>
            <color indexed="81"/>
            <rFont val="Tahoma"/>
            <family val="2"/>
          </rPr>
          <t>Taxa Media - BC</t>
        </r>
      </text>
    </comment>
  </commentList>
</comments>
</file>

<file path=xl/sharedStrings.xml><?xml version="1.0" encoding="utf-8"?>
<sst xmlns="http://schemas.openxmlformats.org/spreadsheetml/2006/main" count="1486" uniqueCount="351">
  <si>
    <t xml:space="preserve">Cobre LME Prices 2013 US$/Ton </t>
  </si>
  <si>
    <t>   Janeiro 2013</t>
  </si>
  <si>
    <t>   Fevereiro 2013</t>
  </si>
  <si>
    <t>   Março 2013</t>
  </si>
  <si>
    <t>   Abril  2013</t>
  </si>
  <si>
    <t>   Maio  2013</t>
  </si>
  <si>
    <t>   Junho 2013</t>
  </si>
  <si>
    <r>
      <t> </t>
    </r>
    <r>
      <rPr>
        <b/>
        <sz val="9"/>
        <rFont val="Arial"/>
        <family val="2"/>
      </rPr>
      <t>Cash</t>
    </r>
    <r>
      <rPr>
        <sz val="9"/>
        <rFont val="Arial"/>
        <family val="2"/>
      </rPr>
      <t> </t>
    </r>
  </si>
  <si>
    <r>
      <t>Cash</t>
    </r>
    <r>
      <rPr>
        <sz val="9"/>
        <rFont val="Arial"/>
        <family val="2"/>
      </rPr>
      <t> </t>
    </r>
  </si>
  <si>
    <t>Feriado</t>
  </si>
  <si>
    <t>MM</t>
  </si>
  <si>
    <t>MM R$</t>
  </si>
  <si>
    <t>   Julho 2013</t>
  </si>
  <si>
    <t>   Agosto 2013</t>
  </si>
  <si>
    <t>   Setembro 2013</t>
  </si>
  <si>
    <t>Outubro 2013</t>
  </si>
  <si>
    <t>   Novembro 2013</t>
  </si>
  <si>
    <t>   Dezembro 2013</t>
  </si>
  <si>
    <t>Cash </t>
  </si>
  <si>
    <t>Média</t>
  </si>
  <si>
    <t xml:space="preserve">Cobre LME Prices 2014 US$/Ton </t>
  </si>
  <si>
    <t>   Janeiro 2014</t>
  </si>
  <si>
    <t>   Fevereiro 2014</t>
  </si>
  <si>
    <t>   Março 2014</t>
  </si>
  <si>
    <t>   Abril  2014</t>
  </si>
  <si>
    <t>   Maio  2014</t>
  </si>
  <si>
    <t>   Junho 2014</t>
  </si>
  <si>
    <t>   Julho 2014</t>
  </si>
  <si>
    <t>   Agosto 2014</t>
  </si>
  <si>
    <t>   Setembro 2014</t>
  </si>
  <si>
    <t>Outubro 2014</t>
  </si>
  <si>
    <t>   Novembro 2014</t>
  </si>
  <si>
    <t>   Dezembro 2014</t>
  </si>
  <si>
    <t>MM Dolar</t>
  </si>
  <si>
    <t>MM Reais</t>
  </si>
  <si>
    <t>US$</t>
  </si>
  <si>
    <t>Var (%)</t>
  </si>
  <si>
    <t xml:space="preserve">R$ </t>
  </si>
  <si>
    <t>MÉDIAS</t>
  </si>
  <si>
    <t>   Julho 2014</t>
  </si>
  <si>
    <t>Agosto 2014</t>
  </si>
  <si>
    <t>  Setembro 2014</t>
  </si>
  <si>
    <t>   Outubro 2014</t>
  </si>
  <si>
    <t>   Novembro  2014</t>
  </si>
  <si>
    <t>Acumulado 2014</t>
  </si>
  <si>
    <t>4.</t>
  </si>
  <si>
    <t xml:space="preserve">Cobre LME Prices 2015 US$/Ton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</si>
  <si>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</si>
  <si>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</si>
  <si>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</si>
  <si>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</si>
  <si>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</si>
  <si>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</si>
  <si>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</si>
  <si>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</si>
  <si>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</si>
  <si>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</si>
  <si>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</si>
  <si>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</si>
  <si>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Ano 2013</t>
  </si>
  <si>
    <t>Ano 2014</t>
  </si>
  <si>
    <t>Ano 2015</t>
  </si>
  <si>
    <t>Acumulado 2015</t>
  </si>
  <si>
    <t>Var Mês (%)</t>
  </si>
  <si>
    <t>Acumulado/Ano</t>
  </si>
  <si>
    <t>feriado</t>
  </si>
  <si>
    <t>VARIAÇÃO COBRE LME - REAIS</t>
  </si>
  <si>
    <t>Mês</t>
  </si>
  <si>
    <t>Valor</t>
  </si>
  <si>
    <t>Agosto 2015</t>
  </si>
  <si>
    <t>   Julho 2015</t>
  </si>
  <si>
    <t>  Setembro 2015</t>
  </si>
  <si>
    <t>   Outubro 2015</t>
  </si>
  <si>
    <t>   Novembro  2015</t>
  </si>
  <si>
    <t>   Dezembro 2015</t>
  </si>
  <si>
    <t>   Junho 2015</t>
  </si>
  <si>
    <t>   Maio  2015</t>
  </si>
  <si>
    <t>   Abril  2015</t>
  </si>
  <si>
    <t>   Março 2015</t>
  </si>
  <si>
    <t>   Fevereiro 2015</t>
  </si>
  <si>
    <t>   Janeiro 2015</t>
  </si>
  <si>
    <t xml:space="preserve">Cobre LME Prices 2016 US$/Ton </t>
  </si>
  <si>
    <t>Ano 2016</t>
  </si>
  <si>
    <t>Acumulado 2016</t>
  </si>
  <si>
    <t>   Maio  2016</t>
  </si>
  <si>
    <t>   Abril  2016</t>
  </si>
  <si>
    <t>   Janeiro 2016</t>
  </si>
  <si>
    <t>   Fevereiro 2016</t>
  </si>
  <si>
    <t>   Março 2016</t>
  </si>
  <si>
    <t>   Junho 2016</t>
  </si>
  <si>
    <t>   Julho 2016</t>
  </si>
  <si>
    <t>Agosto 2016</t>
  </si>
  <si>
    <t>  Setembro 2016</t>
  </si>
  <si>
    <t>   Outubro 2016</t>
  </si>
  <si>
    <t>   Novembro  2016</t>
  </si>
  <si>
    <t>   Dezembro 2016</t>
  </si>
  <si>
    <t>Data</t>
  </si>
  <si>
    <t>Média Mensal</t>
  </si>
  <si>
    <t>Outubro 2016</t>
  </si>
  <si>
    <t>   Setembro 2016</t>
  </si>
  <si>
    <t>   Agosto 2016</t>
  </si>
  <si>
    <t>   Julho 2016</t>
  </si>
  <si>
    <t>   Novembro 2016</t>
  </si>
  <si>
    <t>Dolar</t>
  </si>
  <si>
    <t>Reais</t>
  </si>
  <si>
    <t>Set x Ago/16</t>
  </si>
  <si>
    <t>Nov x Out/16</t>
  </si>
  <si>
    <t>Out x Set/16</t>
  </si>
  <si>
    <t>Liga em R$</t>
  </si>
  <si>
    <t>Periodo</t>
  </si>
  <si>
    <t>Descrição</t>
  </si>
  <si>
    <t>Cobre</t>
  </si>
  <si>
    <t>Zinco</t>
  </si>
  <si>
    <t>Dólar</t>
  </si>
  <si>
    <t>Liga latão (60% cobre / 40% zinco)</t>
  </si>
  <si>
    <t>Variação Nov/16 x Ago/16</t>
  </si>
  <si>
    <t>Cotações LME Cobre, Zinco e Dólar</t>
  </si>
  <si>
    <t xml:space="preserve">Impacto custo do materiais </t>
  </si>
  <si>
    <t xml:space="preserve">Família Barras de latão </t>
  </si>
  <si>
    <t>Lingote de latão</t>
  </si>
  <si>
    <t>Lingote de Bronze</t>
  </si>
  <si>
    <t>Variação Proj. 2017 x Ago/16</t>
  </si>
  <si>
    <t>Tubos de latão</t>
  </si>
  <si>
    <t>Orç. base Original</t>
  </si>
  <si>
    <t xml:space="preserve">Orç. base Revisada </t>
  </si>
  <si>
    <t xml:space="preserve">ComponenteS Importados </t>
  </si>
  <si>
    <t>Repres. No CPV total</t>
  </si>
  <si>
    <t>Componentes Nacionais</t>
  </si>
  <si>
    <t>Variação Proj. 2017 x  Proj. Orig. 2017</t>
  </si>
  <si>
    <t>Impacto Total no orçamento</t>
  </si>
  <si>
    <t>% impacto</t>
  </si>
  <si>
    <t>Agosto (mês base)</t>
  </si>
  <si>
    <t>Orçamento projetado 2017</t>
  </si>
  <si>
    <t>Original (Base agosto)</t>
  </si>
  <si>
    <t>Revisado (Base novembro)</t>
  </si>
  <si>
    <t>Dez x Nov/16</t>
  </si>
  <si>
    <t xml:space="preserve">Cobre LME Prices 2017 US$/Ton </t>
  </si>
  <si>
    <t>Jan/17 x dez/16</t>
  </si>
  <si>
    <t>   Janeiro 2017</t>
  </si>
  <si>
    <t>   Fevereiro 2017</t>
  </si>
  <si>
    <t>   Março 2017</t>
  </si>
  <si>
    <t>   Abril  2017</t>
  </si>
  <si>
    <t>   Maio  2017</t>
  </si>
  <si>
    <t>   Junho 2017</t>
  </si>
  <si>
    <t>Fev/17 x Jan/17</t>
  </si>
  <si>
    <t>Mar/17 x Fev/17</t>
  </si>
  <si>
    <t>Abr/17 x Mar7</t>
  </si>
  <si>
    <t>Mai/17 x Abri7</t>
  </si>
  <si>
    <t>% variação</t>
  </si>
  <si>
    <t>jun/17 x mai7</t>
  </si>
  <si>
    <t>jul/17 x jun7</t>
  </si>
  <si>
    <t>Ago/17 x jul7</t>
  </si>
  <si>
    <t>Set/17 x Ago7</t>
  </si>
  <si>
    <t>Out/17 x Set17</t>
  </si>
  <si>
    <t>   Julho 2017</t>
  </si>
  <si>
    <t>   Agosto 2017</t>
  </si>
  <si>
    <t>   Setembro 2017</t>
  </si>
  <si>
    <t>Outubro 2017</t>
  </si>
  <si>
    <t>   Novembro 2017</t>
  </si>
  <si>
    <t>   Dezembro 2017</t>
  </si>
  <si>
    <t>Nov/17 x Out17</t>
  </si>
  <si>
    <t>Dez/17 x Nov/17</t>
  </si>
  <si>
    <t xml:space="preserve">Cobre LME Prices 2018 US$/Ton </t>
  </si>
  <si>
    <t>   Janeiro 2018</t>
  </si>
  <si>
    <t>   Fevereiro 2018</t>
  </si>
  <si>
    <t>   Março 2018</t>
  </si>
  <si>
    <t>   Abril  2018</t>
  </si>
  <si>
    <t>   Maio  2018</t>
  </si>
  <si>
    <t>   Junho 2018</t>
  </si>
  <si>
    <t>   Julho 2018</t>
  </si>
  <si>
    <t>   Agosto 2018</t>
  </si>
  <si>
    <t>   Setembro 2018</t>
  </si>
  <si>
    <t>Outubro 2018</t>
  </si>
  <si>
    <t>   Novembro 2018</t>
  </si>
  <si>
    <t>   Dezembro 2018</t>
  </si>
  <si>
    <t xml:space="preserve">                                          </t>
  </si>
  <si>
    <t>Fev/18 x Jan/18</t>
  </si>
  <si>
    <t>Jan/18 x Dez/17</t>
  </si>
  <si>
    <t>Mar/18 x Fev/18</t>
  </si>
  <si>
    <t>Abr/18 x Mar/18</t>
  </si>
  <si>
    <t>Mai/18 x Abr/18</t>
  </si>
  <si>
    <t>Jun/18 x Mai/18</t>
  </si>
  <si>
    <t>Jul-18 x Jun/18</t>
  </si>
  <si>
    <t>DÓLAR</t>
  </si>
  <si>
    <t>Ago-18 x Jul/18</t>
  </si>
  <si>
    <t>Set-18 x Ago/18</t>
  </si>
  <si>
    <t>dólar medio banco central out/18</t>
  </si>
  <si>
    <t>Out-18 x Set-18</t>
  </si>
  <si>
    <t>Nov-18 x Out-18</t>
  </si>
  <si>
    <t xml:space="preserve">Cobre LME Prices 2019 US$/Ton </t>
  </si>
  <si>
    <t>   Janeiro 2019</t>
  </si>
  <si>
    <t>   Fevereiro 2019</t>
  </si>
  <si>
    <t>   Março 2019</t>
  </si>
  <si>
    <t>   Abril  2019</t>
  </si>
  <si>
    <t>   Maio  2019</t>
  </si>
  <si>
    <t>   Junho 2019</t>
  </si>
  <si>
    <t>   Julho 2019</t>
  </si>
  <si>
    <t>   Agosto 2019</t>
  </si>
  <si>
    <t>   Setembro 2019</t>
  </si>
  <si>
    <t>Outubro 2019</t>
  </si>
  <si>
    <t>   Novembro 2019</t>
  </si>
  <si>
    <t>   Dezembro 2019</t>
  </si>
  <si>
    <t>Jan-19 x Dez-18</t>
  </si>
  <si>
    <t>Mar-19 x Fev-19</t>
  </si>
  <si>
    <t>Abr-19 x Mar-19</t>
  </si>
  <si>
    <t>Fev-19 x Jan-19</t>
  </si>
  <si>
    <t>Mai-19 x Abr-19</t>
  </si>
  <si>
    <t>COTAÇÃO ZINCO LME</t>
  </si>
  <si>
    <t>COTAÇÃO COBRE LME</t>
  </si>
  <si>
    <t xml:space="preserve"> US$/ton</t>
  </si>
  <si>
    <t>R$/Ton</t>
  </si>
  <si>
    <t>COTAÇÃO NÍQUEL LME</t>
  </si>
  <si>
    <t>Jun-19 x Mai-19</t>
  </si>
  <si>
    <t>COTAÇÃO CHUMBO LME</t>
  </si>
  <si>
    <t>COTAÇÃO PALÁDIO LME</t>
  </si>
  <si>
    <t>COTAÇÃO SUCATA DE LATÃO</t>
  </si>
  <si>
    <t xml:space="preserve"> R$/ton</t>
  </si>
  <si>
    <t>EURO</t>
  </si>
  <si>
    <t>COTAÇÂO EURO MÉDIO</t>
  </si>
  <si>
    <t>Jul-19 x Jun-19</t>
  </si>
  <si>
    <t>Ago-19 x Jul-19</t>
  </si>
  <si>
    <t>Repres. Mercado</t>
  </si>
  <si>
    <t>COTAÇÃO SUCATA DE BRONZE - HIDROMETRO</t>
  </si>
  <si>
    <t>Barras (80% MP)</t>
  </si>
  <si>
    <t>Tubos / tiras (64% MP)</t>
  </si>
  <si>
    <t>Set-19 x Ago-19</t>
  </si>
  <si>
    <t>Out-19 x Set-19</t>
  </si>
  <si>
    <t>Nov-19 x Out-19</t>
  </si>
  <si>
    <t>Dez-19 x Nov-19</t>
  </si>
  <si>
    <t>A</t>
  </si>
  <si>
    <t>   Janeiro 2020</t>
  </si>
  <si>
    <t>   Fevereiro 2020</t>
  </si>
  <si>
    <t>   Março 2020</t>
  </si>
  <si>
    <t>   Abril  2020</t>
  </si>
  <si>
    <t>   Maio  2020</t>
  </si>
  <si>
    <t>   Junho 2020</t>
  </si>
  <si>
    <t>   Julho 2020</t>
  </si>
  <si>
    <t>   Agosto 2020</t>
  </si>
  <si>
    <t>   Setembro 2020</t>
  </si>
  <si>
    <t>Outubro 2020</t>
  </si>
  <si>
    <t>   Novembro 2020</t>
  </si>
  <si>
    <t>   Dezembro 2020</t>
  </si>
  <si>
    <t>Jan-20 x Dez-19</t>
  </si>
  <si>
    <t>Fev-20 x Jan-20</t>
  </si>
  <si>
    <t>Orç</t>
  </si>
  <si>
    <t>Mar-20 x Fev-20</t>
  </si>
  <si>
    <t>Abri-20 x Mar-20</t>
  </si>
  <si>
    <t>Mai -20 x Abri-20</t>
  </si>
  <si>
    <t>Var.</t>
  </si>
  <si>
    <t>R$/ton</t>
  </si>
  <si>
    <t>Var. R$/ton</t>
  </si>
  <si>
    <t>USD/ton</t>
  </si>
  <si>
    <t>Var.  USD/ton</t>
  </si>
  <si>
    <t>Cotação</t>
  </si>
  <si>
    <t>Jun-20 x Mai -20</t>
  </si>
  <si>
    <t>Base expo</t>
  </si>
  <si>
    <t>Sucata latão</t>
  </si>
  <si>
    <t>Hidr. Latão</t>
  </si>
  <si>
    <t>Hidr. Bronze</t>
  </si>
  <si>
    <t>Out-20 x Set-20</t>
  </si>
  <si>
    <t>Set-20 x Ago -20</t>
  </si>
  <si>
    <t>Ago-20 x Jul -20</t>
  </si>
  <si>
    <t>Jun-20 x Jul -20</t>
  </si>
  <si>
    <t>COTAÇÃO LIGA LATÃO 60% COBRE E 40% ZINCO - LME</t>
  </si>
  <si>
    <t>Impacto Tabela TM M+1</t>
  </si>
  <si>
    <t>Nov-20 x Out-20</t>
  </si>
  <si>
    <t>Dez-20 x Nov-20</t>
  </si>
  <si>
    <t>Jan-21 x Dez-20</t>
  </si>
  <si>
    <t>   Janeiro 2021</t>
  </si>
  <si>
    <t>   Fevereiro 2021</t>
  </si>
  <si>
    <t>   Março 2021</t>
  </si>
  <si>
    <t>   Abril  2021</t>
  </si>
  <si>
    <t>   Maio  2021</t>
  </si>
  <si>
    <t>   Junho 2021</t>
  </si>
  <si>
    <t>   Julho 2021</t>
  </si>
  <si>
    <t>   Agosto 2021</t>
  </si>
  <si>
    <t>   Setembro 2021</t>
  </si>
  <si>
    <t>Outubro 2021</t>
  </si>
  <si>
    <t>   Novembro 2021</t>
  </si>
  <si>
    <t>   Dezembro 2021</t>
  </si>
  <si>
    <t xml:space="preserve">Cobre LME Prices 2021 US$/Ton </t>
  </si>
  <si>
    <t>Simulador</t>
  </si>
  <si>
    <t>Fev-21 x Jan-20</t>
  </si>
  <si>
    <t>Abr-21 x Mar-20</t>
  </si>
  <si>
    <t>TABELA INOX APERAM</t>
  </si>
  <si>
    <t>% Var Inox 304 
(esp. 0,90 / 0,99 mm)</t>
  </si>
  <si>
    <t>% Var Inox 430
(esp. 0,60 / 0,69 mm)</t>
  </si>
  <si>
    <t>Metais</t>
  </si>
  <si>
    <t>Cotação (US$/tonelada)</t>
  </si>
  <si>
    <t>US$ 1,00 = R$</t>
  </si>
  <si>
    <t>Chumbo</t>
  </si>
  <si>
    <t>Liga CLA</t>
  </si>
  <si>
    <t>Cobre (61%)</t>
  </si>
  <si>
    <t>Zinco (36%)</t>
  </si>
  <si>
    <t>Chumbo (3%)</t>
  </si>
  <si>
    <t>% Var MP</t>
  </si>
  <si>
    <t>Liga forja</t>
  </si>
  <si>
    <t>Cobre (59%)</t>
  </si>
  <si>
    <t>Zinco (39%)</t>
  </si>
  <si>
    <t>Chumbo (2%)</t>
  </si>
  <si>
    <t>Liga 377 - Baixo chumbo</t>
  </si>
  <si>
    <t>Cobre (62%)</t>
  </si>
  <si>
    <t>Liga 272 (tubos e tiras) - Baixo chumbo</t>
  </si>
  <si>
    <t>Cobre (63%)</t>
  </si>
  <si>
    <t>Zinco (37%)</t>
  </si>
  <si>
    <t>Chumbo (0%)</t>
  </si>
  <si>
    <t>MO (%)</t>
  </si>
  <si>
    <t>% descontado MO</t>
  </si>
  <si>
    <t>   Janeiro 2023</t>
  </si>
  <si>
    <t>   Fevereiro 2023</t>
  </si>
  <si>
    <t>   Março 2023</t>
  </si>
  <si>
    <t>   Abril  2023</t>
  </si>
  <si>
    <t>   Maio  2023</t>
  </si>
  <si>
    <t>   Junho 2023</t>
  </si>
  <si>
    <t>   Julho 2023</t>
  </si>
  <si>
    <t>   Agosto 2023</t>
  </si>
  <si>
    <t>   Setembro 2023</t>
  </si>
  <si>
    <t>Outubro 2023</t>
  </si>
  <si>
    <t>   Novembro 2023</t>
  </si>
  <si>
    <t>   Dezembro 2023</t>
  </si>
  <si>
    <t>fbm</t>
  </si>
  <si>
    <t>Ko metal</t>
  </si>
  <si>
    <t>FERIADO</t>
  </si>
  <si>
    <t>Acum. 2023</t>
  </si>
  <si>
    <t>RMB</t>
  </si>
  <si>
    <t>COTAÇÂO RMB MÉDIO</t>
  </si>
  <si>
    <t>SMM - COBRE</t>
  </si>
  <si>
    <t>COTAÇÂO SMM COBRE MÉDIO</t>
  </si>
  <si>
    <t>COTAÇÂO SMM ZINCO MÉDIO</t>
  </si>
  <si>
    <t>SMM - ZAMAC</t>
  </si>
  <si>
    <t>   Janeiro 2024</t>
  </si>
  <si>
    <t>   Fevereiro 2024</t>
  </si>
  <si>
    <t>   Março 2024</t>
  </si>
  <si>
    <t>   Abril  2024</t>
  </si>
  <si>
    <t>   Maio  2024</t>
  </si>
  <si>
    <t>   Junho 2024</t>
  </si>
  <si>
    <t>   Julho 2024</t>
  </si>
  <si>
    <t>   Agosto 2024</t>
  </si>
  <si>
    <t>   Setembro 2024</t>
  </si>
  <si>
    <t>Outubro 2024</t>
  </si>
  <si>
    <t>   Novembro 2024</t>
  </si>
  <si>
    <t>   Dezembro 2024</t>
  </si>
  <si>
    <t>Acum. 2024</t>
  </si>
  <si>
    <t xml:space="preserve">FRETE P/ CONTAINER </t>
  </si>
  <si>
    <t>USD/CONT.</t>
  </si>
  <si>
    <t>Var.  %</t>
  </si>
  <si>
    <t>Acum. 12 Meses</t>
  </si>
  <si>
    <t xml:space="preserve">Cobre LME Prices 2025 US$/Ton </t>
  </si>
  <si>
    <t>Acum. 2025</t>
  </si>
  <si>
    <t xml:space="preserve">MÉDIA MENSAL OUT/25 </t>
  </si>
  <si>
    <t>MÉDIA MENSAL NOV/25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</si>
</sst>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R$&quot;\ #,##0;\-&quot;R$&quot;\ #,##0"/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$-409]#,##0.00"/>
    <numFmt numFmtId="165" formatCode="0.0%"/>
    <numFmt numFmtId="166" formatCode="&quot;R$&quot;\ #,##0.00"/>
    <numFmt numFmtId="167" formatCode="_(&quot;R$ &quot;* #,##0.00_);_(&quot;R$ &quot;* \(#,##0.00\);_(&quot;R$ &quot;* &quot;-&quot;??_);_(@_)"/>
    <numFmt numFmtId="168" formatCode="&quot;R$&quot;\ #,##0.0000"/>
    <numFmt numFmtId="169" formatCode="[$USD]\ #,##0.00"/>
    <numFmt numFmtId="170" formatCode="[$$-409]#,##0"/>
    <numFmt numFmtId="171" formatCode="[$-416]mmm\-yy;@"/>
    <numFmt numFmtId="172" formatCode="_-[$R$-416]\ * #,##0.00_-;\-[$R$-416]\ * #,##0.00_-;_-[$R$-416]\ * &quot;-&quot;??_-;_-@_-"/>
    <numFmt numFmtId="173" formatCode="_-[$R$-416]\ * #,##0_-;\-[$R$-416]\ * #,##0_-;_-[$R$-416]\ * &quot;-&quot;??_-;_-@_-"/>
    <numFmt numFmtId="174" formatCode="_-[$R$-416]\ * #,##0_-;\-[$R$-416]\ * #,##0_-;_-[$R$-416]\ * &quot;-&quot;_-;_-@_-"/>
    <numFmt numFmtId="175" formatCode="[$$-409]#,##0_ ;\-[$$-409]#,##0\ "/>
    <numFmt numFmtId="176" formatCode="0.0"/>
    <numFmt numFmtId="177" formatCode="_-[$R$-416]\ * #,##0.0_-;\-[$R$-416]\ * #,##0.0_-;_-[$R$-416]\ * &quot;-&quot;?_-;_-@_-"/>
    <numFmt numFmtId="178" formatCode="[$¥-804]#,##0.00"/>
    <numFmt numFmtId="179" formatCode="&quot;R$&quot;\ #,##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"/>
      <name val="Arial"/>
      <family val="2"/>
    </font>
    <font>
      <b/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rgb="FF3333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33333"/>
      <name val="Arial"/>
      <family val="2"/>
    </font>
    <font>
      <sz val="11"/>
      <color rgb="FFACB7C4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8"/>
      <color rgb="FF000000"/>
      <name val="Verdana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5ECD6"/>
        <bgColor indexed="64"/>
      </patternFill>
    </fill>
    <fill>
      <patternFill patternType="solid">
        <fgColor rgb="FFFCF8E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1">
    <xf numFmtId="0" fontId="0" fillId="0" borderId="0" xfId="0"/>
    <xf numFmtId="0" fontId="5" fillId="4" borderId="8" xfId="0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wrapText="1"/>
    </xf>
    <xf numFmtId="0" fontId="5" fillId="4" borderId="8" xfId="0" applyFont="1" applyFill="1" applyBorder="1" applyAlignment="1">
      <alignment horizontal="right" wrapText="1"/>
    </xf>
    <xf numFmtId="0" fontId="6" fillId="4" borderId="9" xfId="0" applyFont="1" applyFill="1" applyBorder="1" applyAlignment="1">
      <alignment horizontal="right" wrapText="1"/>
    </xf>
    <xf numFmtId="0" fontId="6" fillId="4" borderId="9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 wrapText="1"/>
    </xf>
    <xf numFmtId="0" fontId="6" fillId="4" borderId="11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4" fontId="5" fillId="4" borderId="9" xfId="0" applyNumberFormat="1" applyFont="1" applyFill="1" applyBorder="1" applyAlignment="1">
      <alignment horizontal="center"/>
    </xf>
    <xf numFmtId="164" fontId="5" fillId="4" borderId="9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right" wrapText="1"/>
    </xf>
    <xf numFmtId="0" fontId="6" fillId="3" borderId="8" xfId="0" applyFont="1" applyFill="1" applyBorder="1" applyAlignment="1">
      <alignment horizontal="center" wrapText="1"/>
    </xf>
    <xf numFmtId="164" fontId="6" fillId="5" borderId="9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6" fillId="3" borderId="10" xfId="0" applyFont="1" applyFill="1" applyBorder="1" applyAlignment="1">
      <alignment horizontal="right" wrapText="1"/>
    </xf>
    <xf numFmtId="0" fontId="6" fillId="3" borderId="10" xfId="0" applyFont="1" applyFill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164" fontId="6" fillId="4" borderId="19" xfId="0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166" fontId="4" fillId="6" borderId="19" xfId="1" applyNumberFormat="1" applyFont="1" applyFill="1" applyBorder="1" applyAlignment="1">
      <alignment horizontal="center"/>
    </xf>
    <xf numFmtId="10" fontId="4" fillId="6" borderId="19" xfId="1" applyNumberFormat="1" applyFont="1" applyFill="1" applyBorder="1" applyAlignment="1">
      <alignment horizontal="center"/>
    </xf>
    <xf numFmtId="0" fontId="5" fillId="4" borderId="10" xfId="0" applyFont="1" applyFill="1" applyBorder="1" applyAlignment="1">
      <alignment horizontal="right" wrapText="1"/>
    </xf>
    <xf numFmtId="0" fontId="6" fillId="4" borderId="11" xfId="0" applyFont="1" applyFill="1" applyBorder="1" applyAlignment="1">
      <alignment horizontal="right" wrapText="1"/>
    </xf>
    <xf numFmtId="4" fontId="5" fillId="4" borderId="11" xfId="0" applyNumberFormat="1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 wrapText="1"/>
    </xf>
    <xf numFmtId="4" fontId="6" fillId="3" borderId="13" xfId="0" applyNumberFormat="1" applyFont="1" applyFill="1" applyBorder="1" applyAlignment="1">
      <alignment horizontal="center"/>
    </xf>
    <xf numFmtId="0" fontId="6" fillId="0" borderId="27" xfId="0" applyFont="1" applyBorder="1" applyAlignment="1">
      <alignment horizontal="center" wrapText="1"/>
    </xf>
    <xf numFmtId="0" fontId="6" fillId="4" borderId="28" xfId="0" applyFont="1" applyFill="1" applyBorder="1" applyAlignment="1">
      <alignment horizontal="right"/>
    </xf>
    <xf numFmtId="0" fontId="6" fillId="0" borderId="29" xfId="0" applyFont="1" applyBorder="1" applyAlignment="1">
      <alignment horizontal="center" wrapText="1"/>
    </xf>
    <xf numFmtId="0" fontId="6" fillId="4" borderId="29" xfId="0" applyFont="1" applyFill="1" applyBorder="1" applyAlignment="1">
      <alignment horizontal="right"/>
    </xf>
    <xf numFmtId="0" fontId="6" fillId="0" borderId="30" xfId="0" applyFont="1" applyBorder="1" applyAlignment="1">
      <alignment horizontal="center" wrapText="1"/>
    </xf>
    <xf numFmtId="10" fontId="8" fillId="4" borderId="31" xfId="1" applyNumberFormat="1" applyFont="1" applyFill="1" applyBorder="1" applyAlignment="1">
      <alignment horizontal="right"/>
    </xf>
    <xf numFmtId="10" fontId="8" fillId="4" borderId="30" xfId="1" applyNumberFormat="1" applyFont="1" applyFill="1" applyBorder="1" applyAlignment="1">
      <alignment horizontal="right"/>
    </xf>
    <xf numFmtId="10" fontId="8" fillId="4" borderId="32" xfId="1" applyNumberFormat="1" applyFont="1" applyFill="1" applyBorder="1" applyAlignment="1">
      <alignment horizontal="right"/>
    </xf>
    <xf numFmtId="0" fontId="5" fillId="0" borderId="0" xfId="2" applyFont="1"/>
    <xf numFmtId="0" fontId="6" fillId="0" borderId="0" xfId="2" applyFont="1"/>
    <xf numFmtId="0" fontId="11" fillId="0" borderId="0" xfId="2" applyFont="1"/>
    <xf numFmtId="0" fontId="11" fillId="0" borderId="0" xfId="2" applyFont="1" applyAlignment="1">
      <alignment horizontal="center"/>
    </xf>
    <xf numFmtId="0" fontId="6" fillId="4" borderId="9" xfId="2" applyFont="1" applyFill="1" applyBorder="1" applyAlignment="1">
      <alignment horizontal="right" wrapText="1"/>
    </xf>
    <xf numFmtId="0" fontId="6" fillId="4" borderId="8" xfId="2" applyFont="1" applyFill="1" applyBorder="1" applyAlignment="1">
      <alignment horizontal="center" wrapText="1"/>
    </xf>
    <xf numFmtId="0" fontId="6" fillId="3" borderId="8" xfId="2" applyFont="1" applyFill="1" applyBorder="1" applyAlignment="1">
      <alignment horizontal="center" wrapText="1"/>
    </xf>
    <xf numFmtId="0" fontId="6" fillId="4" borderId="8" xfId="2" applyFont="1" applyFill="1" applyBorder="1" applyAlignment="1">
      <alignment horizontal="right" wrapText="1"/>
    </xf>
    <xf numFmtId="0" fontId="5" fillId="4" borderId="8" xfId="2" applyFont="1" applyFill="1" applyBorder="1" applyAlignment="1">
      <alignment horizontal="center" wrapText="1"/>
    </xf>
    <xf numFmtId="0" fontId="6" fillId="0" borderId="27" xfId="2" applyFont="1" applyBorder="1" applyAlignment="1">
      <alignment horizontal="center" wrapText="1"/>
    </xf>
    <xf numFmtId="0" fontId="6" fillId="4" borderId="28" xfId="2" applyFont="1" applyFill="1" applyBorder="1" applyAlignment="1">
      <alignment horizontal="right"/>
    </xf>
    <xf numFmtId="4" fontId="5" fillId="4" borderId="9" xfId="2" applyNumberFormat="1" applyFont="1" applyFill="1" applyBorder="1" applyAlignment="1">
      <alignment horizontal="center"/>
    </xf>
    <xf numFmtId="0" fontId="5" fillId="4" borderId="10" xfId="2" applyFont="1" applyFill="1" applyBorder="1" applyAlignment="1">
      <alignment horizontal="right" wrapText="1"/>
    </xf>
    <xf numFmtId="0" fontId="6" fillId="4" borderId="10" xfId="2" applyFont="1" applyFill="1" applyBorder="1" applyAlignment="1">
      <alignment horizontal="center" wrapText="1"/>
    </xf>
    <xf numFmtId="0" fontId="5" fillId="4" borderId="9" xfId="2" applyFont="1" applyFill="1" applyBorder="1" applyAlignment="1">
      <alignment horizontal="center" wrapText="1"/>
    </xf>
    <xf numFmtId="0" fontId="5" fillId="4" borderId="8" xfId="2" applyFont="1" applyFill="1" applyBorder="1" applyAlignment="1">
      <alignment horizontal="right" wrapText="1"/>
    </xf>
    <xf numFmtId="0" fontId="6" fillId="4" borderId="9" xfId="2" applyFont="1" applyFill="1" applyBorder="1" applyAlignment="1">
      <alignment horizontal="center" wrapText="1"/>
    </xf>
    <xf numFmtId="0" fontId="6" fillId="4" borderId="11" xfId="2" applyFont="1" applyFill="1" applyBorder="1" applyAlignment="1">
      <alignment horizontal="center" wrapText="1"/>
    </xf>
    <xf numFmtId="4" fontId="5" fillId="4" borderId="11" xfId="2" applyNumberFormat="1" applyFont="1" applyFill="1" applyBorder="1" applyAlignment="1">
      <alignment horizontal="center"/>
    </xf>
    <xf numFmtId="0" fontId="6" fillId="0" borderId="20" xfId="2" applyFont="1" applyBorder="1" applyAlignment="1">
      <alignment horizontal="center" wrapText="1"/>
    </xf>
    <xf numFmtId="0" fontId="6" fillId="0" borderId="21" xfId="2" applyFont="1" applyBorder="1" applyAlignment="1">
      <alignment horizontal="center" wrapText="1"/>
    </xf>
    <xf numFmtId="0" fontId="6" fillId="0" borderId="29" xfId="2" applyFont="1" applyBorder="1" applyAlignment="1">
      <alignment horizontal="center" wrapText="1"/>
    </xf>
    <xf numFmtId="0" fontId="6" fillId="4" borderId="11" xfId="2" applyFont="1" applyFill="1" applyBorder="1" applyAlignment="1">
      <alignment horizontal="right" wrapText="1"/>
    </xf>
    <xf numFmtId="0" fontId="6" fillId="4" borderId="29" xfId="2" applyFont="1" applyFill="1" applyBorder="1" applyAlignment="1">
      <alignment horizontal="right"/>
    </xf>
    <xf numFmtId="10" fontId="8" fillId="4" borderId="31" xfId="6" applyNumberFormat="1" applyFont="1" applyFill="1" applyBorder="1" applyAlignment="1">
      <alignment horizontal="right"/>
    </xf>
    <xf numFmtId="0" fontId="6" fillId="0" borderId="30" xfId="2" applyFont="1" applyBorder="1" applyAlignment="1">
      <alignment horizontal="center" wrapText="1"/>
    </xf>
    <xf numFmtId="10" fontId="8" fillId="4" borderId="30" xfId="6" applyNumberFormat="1" applyFont="1" applyFill="1" applyBorder="1" applyAlignment="1">
      <alignment horizontal="right"/>
    </xf>
    <xf numFmtId="164" fontId="5" fillId="4" borderId="9" xfId="2" applyNumberFormat="1" applyFont="1" applyFill="1" applyBorder="1" applyAlignment="1">
      <alignment horizontal="center"/>
    </xf>
    <xf numFmtId="164" fontId="6" fillId="5" borderId="9" xfId="2" applyNumberFormat="1" applyFont="1" applyFill="1" applyBorder="1" applyAlignment="1">
      <alignment horizontal="center"/>
    </xf>
    <xf numFmtId="0" fontId="6" fillId="0" borderId="18" xfId="2" applyFont="1" applyBorder="1" applyAlignment="1">
      <alignment horizontal="center" wrapText="1"/>
    </xf>
    <xf numFmtId="164" fontId="6" fillId="4" borderId="19" xfId="2" applyNumberFormat="1" applyFont="1" applyFill="1" applyBorder="1" applyAlignment="1">
      <alignment horizontal="center"/>
    </xf>
    <xf numFmtId="166" fontId="4" fillId="6" borderId="19" xfId="6" applyNumberFormat="1" applyFont="1" applyFill="1" applyBorder="1" applyAlignment="1">
      <alignment horizontal="center"/>
    </xf>
    <xf numFmtId="0" fontId="6" fillId="3" borderId="12" xfId="2" applyFont="1" applyFill="1" applyBorder="1" applyAlignment="1">
      <alignment horizontal="center" wrapText="1"/>
    </xf>
    <xf numFmtId="4" fontId="6" fillId="3" borderId="13" xfId="2" applyNumberFormat="1" applyFont="1" applyFill="1" applyBorder="1" applyAlignment="1">
      <alignment horizontal="center"/>
    </xf>
    <xf numFmtId="10" fontId="8" fillId="4" borderId="32" xfId="6" applyNumberFormat="1" applyFont="1" applyFill="1" applyBorder="1" applyAlignment="1">
      <alignment horizontal="right"/>
    </xf>
    <xf numFmtId="0" fontId="6" fillId="0" borderId="10" xfId="2" applyFont="1" applyBorder="1" applyAlignment="1">
      <alignment horizontal="center" wrapText="1"/>
    </xf>
    <xf numFmtId="0" fontId="6" fillId="3" borderId="10" xfId="2" applyFont="1" applyFill="1" applyBorder="1" applyAlignment="1">
      <alignment horizontal="center" wrapText="1"/>
    </xf>
    <xf numFmtId="10" fontId="4" fillId="6" borderId="19" xfId="6" applyNumberFormat="1" applyFont="1" applyFill="1" applyBorder="1" applyAlignment="1">
      <alignment horizontal="center"/>
    </xf>
    <xf numFmtId="0" fontId="6" fillId="0" borderId="0" xfId="2" applyFont="1" applyAlignment="1">
      <alignment horizontal="left"/>
    </xf>
    <xf numFmtId="164" fontId="6" fillId="4" borderId="0" xfId="2" applyNumberFormat="1" applyFont="1" applyFill="1" applyAlignment="1">
      <alignment horizontal="center"/>
    </xf>
    <xf numFmtId="17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0" fontId="0" fillId="0" borderId="0" xfId="1" applyNumberFormat="1" applyFont="1"/>
    <xf numFmtId="166" fontId="0" fillId="0" borderId="0" xfId="0" applyNumberFormat="1"/>
    <xf numFmtId="17" fontId="2" fillId="0" borderId="0" xfId="0" applyNumberFormat="1" applyFont="1" applyAlignment="1">
      <alignment horizontal="center"/>
    </xf>
    <xf numFmtId="0" fontId="2" fillId="6" borderId="0" xfId="0" applyFont="1" applyFill="1"/>
    <xf numFmtId="0" fontId="6" fillId="0" borderId="34" xfId="2" applyFont="1" applyBorder="1" applyAlignment="1">
      <alignment horizontal="center" wrapText="1"/>
    </xf>
    <xf numFmtId="0" fontId="6" fillId="4" borderId="34" xfId="2" applyFont="1" applyFill="1" applyBorder="1" applyAlignment="1">
      <alignment horizontal="right"/>
    </xf>
    <xf numFmtId="0" fontId="6" fillId="4" borderId="32" xfId="2" applyFont="1" applyFill="1" applyBorder="1" applyAlignment="1">
      <alignment horizontal="right"/>
    </xf>
    <xf numFmtId="0" fontId="6" fillId="0" borderId="35" xfId="2" applyFont="1" applyBorder="1" applyAlignment="1">
      <alignment horizontal="center" wrapText="1"/>
    </xf>
    <xf numFmtId="0" fontId="6" fillId="4" borderId="31" xfId="2" applyFont="1" applyFill="1" applyBorder="1" applyAlignment="1">
      <alignment horizontal="right"/>
    </xf>
    <xf numFmtId="0" fontId="6" fillId="0" borderId="36" xfId="2" applyFont="1" applyBorder="1" applyAlignment="1">
      <alignment horizontal="center" wrapText="1"/>
    </xf>
    <xf numFmtId="0" fontId="6" fillId="4" borderId="37" xfId="2" applyFont="1" applyFill="1" applyBorder="1" applyAlignment="1">
      <alignment horizontal="right"/>
    </xf>
    <xf numFmtId="14" fontId="12" fillId="0" borderId="0" xfId="2" applyNumberFormat="1" applyFont="1" applyAlignment="1">
      <alignment horizontal="left"/>
    </xf>
    <xf numFmtId="0" fontId="2" fillId="0" borderId="0" xfId="0" applyFont="1"/>
    <xf numFmtId="164" fontId="2" fillId="0" borderId="0" xfId="1" applyNumberFormat="1" applyFont="1"/>
    <xf numFmtId="9" fontId="2" fillId="6" borderId="0" xfId="1" applyFont="1" applyFill="1"/>
    <xf numFmtId="164" fontId="6" fillId="0" borderId="0" xfId="2" applyNumberFormat="1" applyFont="1"/>
    <xf numFmtId="164" fontId="2" fillId="0" borderId="0" xfId="0" applyNumberFormat="1" applyFont="1"/>
    <xf numFmtId="10" fontId="2" fillId="0" borderId="0" xfId="1" applyNumberFormat="1" applyFont="1"/>
    <xf numFmtId="166" fontId="11" fillId="0" borderId="0" xfId="2" applyNumberFormat="1" applyFont="1" applyAlignment="1">
      <alignment horizontal="center"/>
    </xf>
    <xf numFmtId="166" fontId="1" fillId="0" borderId="0" xfId="1" applyNumberFormat="1" applyFont="1"/>
    <xf numFmtId="166" fontId="6" fillId="6" borderId="19" xfId="6" applyNumberFormat="1" applyFont="1" applyFill="1" applyBorder="1" applyAlignment="1">
      <alignment horizontal="center"/>
    </xf>
    <xf numFmtId="10" fontId="11" fillId="0" borderId="0" xfId="1" applyNumberFormat="1" applyFont="1" applyFill="1" applyBorder="1"/>
    <xf numFmtId="2" fontId="0" fillId="0" borderId="0" xfId="0" applyNumberFormat="1" applyAlignment="1">
      <alignment horizontal="center"/>
    </xf>
    <xf numFmtId="165" fontId="2" fillId="6" borderId="0" xfId="1" applyNumberFormat="1" applyFont="1" applyFill="1" applyAlignment="1">
      <alignment horizontal="center"/>
    </xf>
    <xf numFmtId="10" fontId="2" fillId="6" borderId="0" xfId="1" applyNumberFormat="1" applyFont="1" applyFill="1" applyAlignment="1">
      <alignment horizontal="center"/>
    </xf>
    <xf numFmtId="10" fontId="0" fillId="0" borderId="0" xfId="0" applyNumberFormat="1"/>
    <xf numFmtId="0" fontId="0" fillId="7" borderId="0" xfId="0" applyFill="1"/>
    <xf numFmtId="9" fontId="0" fillId="0" borderId="0" xfId="1" applyFont="1"/>
    <xf numFmtId="9" fontId="0" fillId="0" borderId="0" xfId="0" applyNumberFormat="1"/>
    <xf numFmtId="0" fontId="14" fillId="0" borderId="0" xfId="0" applyFont="1" applyAlignment="1">
      <alignment horizontal="center" vertical="center" readingOrder="1"/>
    </xf>
    <xf numFmtId="0" fontId="13" fillId="6" borderId="0" xfId="0" applyFont="1" applyFill="1" applyAlignment="1">
      <alignment horizontal="center"/>
    </xf>
    <xf numFmtId="9" fontId="13" fillId="6" borderId="0" xfId="0" applyNumberFormat="1" applyFont="1" applyFill="1"/>
    <xf numFmtId="2" fontId="2" fillId="0" borderId="0" xfId="0" applyNumberFormat="1" applyFont="1" applyAlignment="1">
      <alignment horizontal="center"/>
    </xf>
    <xf numFmtId="17" fontId="0" fillId="0" borderId="0" xfId="0" applyNumberFormat="1" applyAlignment="1">
      <alignment horizontal="left"/>
    </xf>
    <xf numFmtId="10" fontId="5" fillId="0" borderId="0" xfId="1" applyNumberFormat="1" applyFont="1"/>
    <xf numFmtId="10" fontId="2" fillId="6" borderId="0" xfId="1" applyNumberFormat="1" applyFont="1" applyFill="1" applyAlignment="1">
      <alignment horizontal="right"/>
    </xf>
    <xf numFmtId="10" fontId="15" fillId="0" borderId="0" xfId="1" applyNumberFormat="1" applyFont="1"/>
    <xf numFmtId="0" fontId="2" fillId="6" borderId="0" xfId="0" applyFont="1" applyFill="1" applyAlignment="1">
      <alignment horizontal="center"/>
    </xf>
    <xf numFmtId="0" fontId="7" fillId="0" borderId="8" xfId="2" applyBorder="1" applyAlignment="1">
      <alignment vertical="top" wrapText="1"/>
    </xf>
    <xf numFmtId="0" fontId="7" fillId="0" borderId="9" xfId="2" applyBorder="1" applyAlignment="1">
      <alignment vertical="top" wrapText="1"/>
    </xf>
    <xf numFmtId="14" fontId="0" fillId="0" borderId="0" xfId="0" applyNumberFormat="1"/>
    <xf numFmtId="166" fontId="2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2" fillId="0" borderId="0" xfId="0" applyNumberFormat="1" applyFont="1" applyAlignment="1">
      <alignment horizontal="center"/>
    </xf>
    <xf numFmtId="9" fontId="16" fillId="8" borderId="0" xfId="1" applyFont="1" applyFill="1" applyAlignment="1">
      <alignment horizontal="center"/>
    </xf>
    <xf numFmtId="9" fontId="15" fillId="0" borderId="0" xfId="1" applyFont="1" applyAlignment="1">
      <alignment horizontal="center"/>
    </xf>
    <xf numFmtId="165" fontId="0" fillId="0" borderId="0" xfId="1" applyNumberFormat="1" applyFont="1"/>
    <xf numFmtId="10" fontId="16" fillId="0" borderId="0" xfId="1" applyNumberFormat="1" applyFont="1"/>
    <xf numFmtId="0" fontId="0" fillId="0" borderId="38" xfId="0" applyBorder="1"/>
    <xf numFmtId="9" fontId="5" fillId="4" borderId="38" xfId="1" applyFont="1" applyFill="1" applyBorder="1" applyAlignment="1">
      <alignment horizontal="center"/>
    </xf>
    <xf numFmtId="16" fontId="17" fillId="0" borderId="0" xfId="0" applyNumberFormat="1" applyFont="1" applyAlignment="1">
      <alignment vertical="center" wrapText="1"/>
    </xf>
    <xf numFmtId="4" fontId="17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43" fontId="0" fillId="0" borderId="0" xfId="7" applyFont="1"/>
    <xf numFmtId="17" fontId="0" fillId="0" borderId="0" xfId="0" applyNumberFormat="1"/>
    <xf numFmtId="9" fontId="0" fillId="0" borderId="38" xfId="1" applyFont="1" applyBorder="1" applyAlignment="1">
      <alignment horizontal="center"/>
    </xf>
    <xf numFmtId="0" fontId="20" fillId="0" borderId="38" xfId="0" applyFont="1" applyBorder="1" applyAlignment="1">
      <alignment vertical="center"/>
    </xf>
    <xf numFmtId="9" fontId="20" fillId="0" borderId="38" xfId="0" applyNumberFormat="1" applyFont="1" applyBorder="1" applyAlignment="1">
      <alignment horizontal="center" vertical="center"/>
    </xf>
    <xf numFmtId="0" fontId="19" fillId="0" borderId="38" xfId="0" applyFont="1" applyBorder="1" applyAlignment="1">
      <alignment vertical="center"/>
    </xf>
    <xf numFmtId="9" fontId="19" fillId="0" borderId="3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2" fillId="0" borderId="38" xfId="1" applyFont="1" applyBorder="1" applyAlignment="1">
      <alignment horizontal="center"/>
    </xf>
    <xf numFmtId="0" fontId="19" fillId="0" borderId="40" xfId="0" applyFont="1" applyBorder="1" applyAlignment="1">
      <alignment horizontal="center" vertical="center"/>
    </xf>
    <xf numFmtId="0" fontId="22" fillId="8" borderId="38" xfId="0" applyFont="1" applyFill="1" applyBorder="1" applyAlignment="1">
      <alignment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38" xfId="0" applyBorder="1" applyAlignment="1">
      <alignment horizontal="center"/>
    </xf>
    <xf numFmtId="0" fontId="19" fillId="0" borderId="38" xfId="0" applyFont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9" fontId="0" fillId="0" borderId="38" xfId="0" applyNumberForma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1" fillId="0" borderId="38" xfId="1" applyFont="1" applyBorder="1" applyAlignment="1">
      <alignment horizontal="center"/>
    </xf>
    <xf numFmtId="165" fontId="0" fillId="0" borderId="38" xfId="1" applyNumberFormat="1" applyFont="1" applyBorder="1" applyAlignment="1">
      <alignment horizontal="center"/>
    </xf>
    <xf numFmtId="49" fontId="23" fillId="8" borderId="38" xfId="0" applyNumberFormat="1" applyFont="1" applyFill="1" applyBorder="1" applyAlignment="1">
      <alignment horizontal="center" vertical="center"/>
    </xf>
    <xf numFmtId="0" fontId="23" fillId="8" borderId="38" xfId="0" applyFont="1" applyFill="1" applyBorder="1" applyAlignment="1">
      <alignment horizontal="center" vertical="center"/>
    </xf>
    <xf numFmtId="169" fontId="20" fillId="0" borderId="38" xfId="0" applyNumberFormat="1" applyFont="1" applyBorder="1" applyAlignment="1">
      <alignment horizontal="center" vertical="center"/>
    </xf>
    <xf numFmtId="7" fontId="20" fillId="0" borderId="38" xfId="8" applyNumberFormat="1" applyFont="1" applyBorder="1" applyAlignment="1">
      <alignment horizontal="center" vertical="center"/>
    </xf>
    <xf numFmtId="8" fontId="20" fillId="0" borderId="38" xfId="0" applyNumberFormat="1" applyFont="1" applyBorder="1" applyAlignment="1">
      <alignment horizontal="center" vertical="center"/>
    </xf>
    <xf numFmtId="44" fontId="2" fillId="0" borderId="38" xfId="8" applyFont="1" applyBorder="1" applyAlignment="1">
      <alignment horizontal="center"/>
    </xf>
    <xf numFmtId="7" fontId="5" fillId="4" borderId="38" xfId="8" applyNumberFormat="1" applyFont="1" applyFill="1" applyBorder="1" applyAlignment="1">
      <alignment horizontal="center"/>
    </xf>
    <xf numFmtId="0" fontId="7" fillId="0" borderId="8" xfId="2" applyBorder="1" applyAlignment="1">
      <alignment horizontal="center" vertical="top" wrapText="1"/>
    </xf>
    <xf numFmtId="165" fontId="2" fillId="0" borderId="38" xfId="0" applyNumberFormat="1" applyFont="1" applyBorder="1" applyAlignment="1">
      <alignment horizontal="center"/>
    </xf>
    <xf numFmtId="165" fontId="5" fillId="4" borderId="38" xfId="1" applyNumberFormat="1" applyFont="1" applyFill="1" applyBorder="1" applyAlignment="1">
      <alignment horizontal="center"/>
    </xf>
    <xf numFmtId="5" fontId="0" fillId="0" borderId="38" xfId="8" applyNumberFormat="1" applyFont="1" applyBorder="1"/>
    <xf numFmtId="170" fontId="5" fillId="4" borderId="38" xfId="2" applyNumberFormat="1" applyFont="1" applyFill="1" applyBorder="1" applyAlignment="1">
      <alignment horizontal="center"/>
    </xf>
    <xf numFmtId="10" fontId="0" fillId="0" borderId="38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171" fontId="0" fillId="0" borderId="38" xfId="0" applyNumberFormat="1" applyBorder="1"/>
    <xf numFmtId="171" fontId="0" fillId="0" borderId="38" xfId="0" applyNumberFormat="1" applyBorder="1" applyAlignment="1">
      <alignment vertical="center"/>
    </xf>
    <xf numFmtId="170" fontId="5" fillId="4" borderId="38" xfId="2" applyNumberFormat="1" applyFont="1" applyFill="1" applyBorder="1" applyAlignment="1">
      <alignment horizontal="center" vertical="center"/>
    </xf>
    <xf numFmtId="0" fontId="0" fillId="0" borderId="38" xfId="0" applyBorder="1" applyAlignment="1">
      <alignment vertical="center"/>
    </xf>
    <xf numFmtId="7" fontId="5" fillId="4" borderId="38" xfId="8" applyNumberFormat="1" applyFont="1" applyFill="1" applyBorder="1" applyAlignment="1">
      <alignment horizontal="center" vertical="center"/>
    </xf>
    <xf numFmtId="44" fontId="0" fillId="0" borderId="0" xfId="8" applyFont="1"/>
    <xf numFmtId="44" fontId="0" fillId="0" borderId="0" xfId="0" applyNumberFormat="1"/>
    <xf numFmtId="170" fontId="5" fillId="4" borderId="29" xfId="2" applyNumberFormat="1" applyFont="1" applyFill="1" applyBorder="1" applyAlignment="1">
      <alignment horizontal="center"/>
    </xf>
    <xf numFmtId="171" fontId="0" fillId="0" borderId="11" xfId="0" applyNumberFormat="1" applyBorder="1"/>
    <xf numFmtId="0" fontId="6" fillId="4" borderId="0" xfId="2" applyFont="1" applyFill="1" applyAlignment="1">
      <alignment horizontal="center" wrapText="1"/>
    </xf>
    <xf numFmtId="10" fontId="0" fillId="8" borderId="38" xfId="1" applyNumberFormat="1" applyFont="1" applyFill="1" applyBorder="1" applyAlignment="1">
      <alignment horizontal="center"/>
    </xf>
    <xf numFmtId="0" fontId="6" fillId="4" borderId="41" xfId="2" applyFont="1" applyFill="1" applyBorder="1" applyAlignment="1">
      <alignment horizontal="center" wrapText="1"/>
    </xf>
    <xf numFmtId="164" fontId="5" fillId="4" borderId="42" xfId="2" applyNumberFormat="1" applyFont="1" applyFill="1" applyBorder="1" applyAlignment="1">
      <alignment horizontal="center"/>
    </xf>
    <xf numFmtId="165" fontId="2" fillId="8" borderId="38" xfId="0" applyNumberFormat="1" applyFont="1" applyFill="1" applyBorder="1" applyAlignment="1">
      <alignment horizontal="center"/>
    </xf>
    <xf numFmtId="9" fontId="5" fillId="8" borderId="38" xfId="1" applyFont="1" applyFill="1" applyBorder="1" applyAlignment="1">
      <alignment horizontal="center"/>
    </xf>
    <xf numFmtId="0" fontId="0" fillId="8" borderId="0" xfId="0" applyFill="1"/>
    <xf numFmtId="171" fontId="0" fillId="8" borderId="38" xfId="0" applyNumberFormat="1" applyFill="1" applyBorder="1"/>
    <xf numFmtId="170" fontId="5" fillId="8" borderId="38" xfId="2" applyNumberFormat="1" applyFont="1" applyFill="1" applyBorder="1" applyAlignment="1">
      <alignment horizontal="center"/>
    </xf>
    <xf numFmtId="7" fontId="5" fillId="8" borderId="38" xfId="8" applyNumberFormat="1" applyFont="1" applyFill="1" applyBorder="1" applyAlignment="1">
      <alignment horizontal="center"/>
    </xf>
    <xf numFmtId="170" fontId="5" fillId="8" borderId="29" xfId="2" applyNumberFormat="1" applyFont="1" applyFill="1" applyBorder="1" applyAlignment="1">
      <alignment horizontal="center"/>
    </xf>
    <xf numFmtId="9" fontId="0" fillId="0" borderId="38" xfId="1" applyFont="1" applyBorder="1"/>
    <xf numFmtId="165" fontId="0" fillId="0" borderId="38" xfId="1" applyNumberFormat="1" applyFont="1" applyBorder="1"/>
    <xf numFmtId="171" fontId="0" fillId="0" borderId="40" xfId="0" applyNumberFormat="1" applyBorder="1" applyAlignment="1">
      <alignment vertical="center"/>
    </xf>
    <xf numFmtId="170" fontId="5" fillId="4" borderId="40" xfId="2" applyNumberFormat="1" applyFont="1" applyFill="1" applyBorder="1" applyAlignment="1">
      <alignment horizontal="center" vertical="center"/>
    </xf>
    <xf numFmtId="0" fontId="0" fillId="0" borderId="40" xfId="0" applyBorder="1" applyAlignment="1">
      <alignment vertical="center"/>
    </xf>
    <xf numFmtId="171" fontId="0" fillId="8" borderId="11" xfId="0" applyNumberFormat="1" applyFill="1" applyBorder="1"/>
    <xf numFmtId="172" fontId="0" fillId="0" borderId="38" xfId="0" applyNumberFormat="1" applyBorder="1"/>
    <xf numFmtId="0" fontId="24" fillId="10" borderId="40" xfId="0" applyFont="1" applyFill="1" applyBorder="1" applyAlignment="1">
      <alignment horizontal="center" vertical="center" wrapText="1"/>
    </xf>
    <xf numFmtId="170" fontId="5" fillId="4" borderId="45" xfId="2" applyNumberFormat="1" applyFont="1" applyFill="1" applyBorder="1" applyAlignment="1">
      <alignment horizontal="center" vertical="center"/>
    </xf>
    <xf numFmtId="0" fontId="0" fillId="0" borderId="45" xfId="0" applyBorder="1" applyAlignment="1">
      <alignment vertical="center"/>
    </xf>
    <xf numFmtId="3" fontId="0" fillId="0" borderId="38" xfId="0" applyNumberFormat="1" applyBorder="1" applyAlignment="1">
      <alignment horizontal="center"/>
    </xf>
    <xf numFmtId="7" fontId="0" fillId="0" borderId="38" xfId="0" applyNumberFormat="1" applyBorder="1" applyAlignment="1">
      <alignment vertical="center"/>
    </xf>
    <xf numFmtId="4" fontId="0" fillId="0" borderId="38" xfId="0" applyNumberFormat="1" applyBorder="1" applyAlignment="1">
      <alignment horizontal="center"/>
    </xf>
    <xf numFmtId="0" fontId="24" fillId="10" borderId="0" xfId="0" applyFont="1" applyFill="1" applyAlignment="1">
      <alignment horizontal="center" vertical="center" wrapText="1"/>
    </xf>
    <xf numFmtId="9" fontId="5" fillId="4" borderId="0" xfId="1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4" fillId="8" borderId="0" xfId="0" applyFont="1" applyFill="1" applyAlignment="1">
      <alignment horizontal="center" vertical="center" wrapText="1"/>
    </xf>
    <xf numFmtId="0" fontId="0" fillId="8" borderId="0" xfId="0" applyFill="1" applyAlignment="1">
      <alignment vertical="center"/>
    </xf>
    <xf numFmtId="9" fontId="5" fillId="8" borderId="0" xfId="1" applyFont="1" applyFill="1" applyBorder="1" applyAlignment="1">
      <alignment horizontal="center"/>
    </xf>
    <xf numFmtId="165" fontId="2" fillId="0" borderId="0" xfId="0" applyNumberFormat="1" applyFont="1"/>
    <xf numFmtId="10" fontId="2" fillId="8" borderId="38" xfId="0" applyNumberFormat="1" applyFont="1" applyFill="1" applyBorder="1" applyAlignment="1">
      <alignment horizontal="center"/>
    </xf>
    <xf numFmtId="9" fontId="0" fillId="0" borderId="38" xfId="1" applyFont="1" applyFill="1" applyBorder="1"/>
    <xf numFmtId="43" fontId="0" fillId="0" borderId="0" xfId="7" applyFont="1" applyFill="1" applyBorder="1"/>
    <xf numFmtId="5" fontId="0" fillId="0" borderId="0" xfId="0" applyNumberFormat="1"/>
    <xf numFmtId="0" fontId="6" fillId="5" borderId="10" xfId="2" applyFont="1" applyFill="1" applyBorder="1" applyAlignment="1">
      <alignment horizontal="center" wrapText="1"/>
    </xf>
    <xf numFmtId="164" fontId="5" fillId="0" borderId="9" xfId="2" applyNumberFormat="1" applyFont="1" applyBorder="1" applyAlignment="1">
      <alignment horizontal="center"/>
    </xf>
    <xf numFmtId="0" fontId="25" fillId="11" borderId="0" xfId="0" applyFont="1" applyFill="1" applyAlignment="1">
      <alignment vertical="center" wrapText="1"/>
    </xf>
    <xf numFmtId="14" fontId="25" fillId="12" borderId="0" xfId="0" applyNumberFormat="1" applyFont="1" applyFill="1" applyAlignment="1">
      <alignment vertical="center" wrapText="1"/>
    </xf>
    <xf numFmtId="0" fontId="25" fillId="12" borderId="0" xfId="0" applyFont="1" applyFill="1" applyAlignment="1">
      <alignment vertical="center" wrapText="1"/>
    </xf>
    <xf numFmtId="14" fontId="25" fillId="11" borderId="0" xfId="0" applyNumberFormat="1" applyFont="1" applyFill="1" applyAlignment="1">
      <alignment vertical="center" wrapText="1"/>
    </xf>
    <xf numFmtId="173" fontId="0" fillId="0" borderId="38" xfId="0" applyNumberFormat="1" applyBorder="1"/>
    <xf numFmtId="0" fontId="24" fillId="10" borderId="43" xfId="0" applyFont="1" applyFill="1" applyBorder="1" applyAlignment="1">
      <alignment horizontal="center" vertical="center" wrapText="1"/>
    </xf>
    <xf numFmtId="0" fontId="24" fillId="10" borderId="40" xfId="0" applyFont="1" applyFill="1" applyBorder="1" applyAlignment="1">
      <alignment horizontal="center" vertical="center"/>
    </xf>
    <xf numFmtId="171" fontId="0" fillId="0" borderId="44" xfId="0" applyNumberFormat="1" applyBorder="1" applyAlignment="1">
      <alignment vertical="center"/>
    </xf>
    <xf numFmtId="171" fontId="0" fillId="0" borderId="10" xfId="0" applyNumberFormat="1" applyBorder="1"/>
    <xf numFmtId="171" fontId="0" fillId="0" borderId="29" xfId="0" applyNumberFormat="1" applyBorder="1"/>
    <xf numFmtId="0" fontId="24" fillId="8" borderId="0" xfId="0" applyFont="1" applyFill="1" applyAlignment="1">
      <alignment horizontal="center" vertical="center"/>
    </xf>
    <xf numFmtId="165" fontId="0" fillId="8" borderId="0" xfId="1" applyNumberFormat="1" applyFont="1" applyFill="1" applyBorder="1"/>
    <xf numFmtId="9" fontId="0" fillId="8" borderId="0" xfId="1" applyFont="1" applyFill="1" applyBorder="1"/>
    <xf numFmtId="165" fontId="2" fillId="8" borderId="0" xfId="0" applyNumberFormat="1" applyFont="1" applyFill="1"/>
    <xf numFmtId="43" fontId="0" fillId="0" borderId="0" xfId="0" applyNumberFormat="1"/>
    <xf numFmtId="7" fontId="26" fillId="8" borderId="38" xfId="8" applyNumberFormat="1" applyFont="1" applyFill="1" applyBorder="1" applyAlignment="1">
      <alignment horizontal="center"/>
    </xf>
    <xf numFmtId="9" fontId="26" fillId="8" borderId="38" xfId="1" applyFont="1" applyFill="1" applyBorder="1" applyAlignment="1">
      <alignment horizontal="center"/>
    </xf>
    <xf numFmtId="170" fontId="26" fillId="8" borderId="29" xfId="2" applyNumberFormat="1" applyFont="1" applyFill="1" applyBorder="1" applyAlignment="1">
      <alignment horizontal="center"/>
    </xf>
    <xf numFmtId="170" fontId="26" fillId="8" borderId="38" xfId="2" applyNumberFormat="1" applyFont="1" applyFill="1" applyBorder="1" applyAlignment="1">
      <alignment horizontal="center"/>
    </xf>
    <xf numFmtId="170" fontId="26" fillId="4" borderId="38" xfId="2" applyNumberFormat="1" applyFont="1" applyFill="1" applyBorder="1" applyAlignment="1">
      <alignment horizontal="center"/>
    </xf>
    <xf numFmtId="170" fontId="26" fillId="4" borderId="38" xfId="2" applyNumberFormat="1" applyFont="1" applyFill="1" applyBorder="1" applyAlignment="1">
      <alignment horizontal="center" vertical="center"/>
    </xf>
    <xf numFmtId="9" fontId="26" fillId="4" borderId="38" xfId="1" applyFont="1" applyFill="1" applyBorder="1" applyAlignment="1">
      <alignment horizontal="center"/>
    </xf>
    <xf numFmtId="9" fontId="26" fillId="8" borderId="0" xfId="1" applyFont="1" applyFill="1" applyBorder="1" applyAlignment="1">
      <alignment horizontal="center"/>
    </xf>
    <xf numFmtId="7" fontId="26" fillId="8" borderId="0" xfId="8" applyNumberFormat="1" applyFont="1" applyFill="1" applyBorder="1" applyAlignment="1">
      <alignment horizontal="center"/>
    </xf>
    <xf numFmtId="9" fontId="26" fillId="4" borderId="0" xfId="1" applyFont="1" applyFill="1" applyBorder="1" applyAlignment="1">
      <alignment horizontal="center"/>
    </xf>
    <xf numFmtId="0" fontId="24" fillId="10" borderId="43" xfId="0" applyFont="1" applyFill="1" applyBorder="1" applyAlignment="1">
      <alignment vertical="center" wrapText="1"/>
    </xf>
    <xf numFmtId="0" fontId="24" fillId="10" borderId="34" xfId="0" applyFont="1" applyFill="1" applyBorder="1" applyAlignment="1">
      <alignment vertical="center" wrapText="1"/>
    </xf>
    <xf numFmtId="0" fontId="24" fillId="10" borderId="40" xfId="0" applyFont="1" applyFill="1" applyBorder="1" applyAlignment="1">
      <alignment vertical="center"/>
    </xf>
    <xf numFmtId="0" fontId="24" fillId="10" borderId="40" xfId="0" applyFont="1" applyFill="1" applyBorder="1" applyAlignment="1">
      <alignment vertical="center" wrapText="1"/>
    </xf>
    <xf numFmtId="0" fontId="2" fillId="0" borderId="38" xfId="0" applyFont="1" applyBorder="1"/>
    <xf numFmtId="7" fontId="1" fillId="0" borderId="0" xfId="8" applyNumberFormat="1" applyFont="1" applyBorder="1" applyAlignment="1">
      <alignment horizontal="center"/>
    </xf>
    <xf numFmtId="0" fontId="16" fillId="8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/>
    </xf>
    <xf numFmtId="9" fontId="2" fillId="0" borderId="0" xfId="0" applyNumberFormat="1" applyFont="1" applyAlignment="1">
      <alignment horizontal="right"/>
    </xf>
    <xf numFmtId="165" fontId="26" fillId="8" borderId="38" xfId="1" applyNumberFormat="1" applyFont="1" applyFill="1" applyBorder="1" applyAlignment="1">
      <alignment horizontal="center"/>
    </xf>
    <xf numFmtId="165" fontId="0" fillId="8" borderId="38" xfId="1" applyNumberFormat="1" applyFont="1" applyFill="1" applyBorder="1" applyAlignment="1">
      <alignment horizontal="center"/>
    </xf>
    <xf numFmtId="0" fontId="6" fillId="4" borderId="8" xfId="2" quotePrefix="1" applyFont="1" applyFill="1" applyBorder="1" applyAlignment="1">
      <alignment horizontal="center" wrapText="1"/>
    </xf>
    <xf numFmtId="172" fontId="2" fillId="0" borderId="38" xfId="8" applyNumberFormat="1" applyFont="1" applyBorder="1" applyAlignment="1">
      <alignment horizontal="center"/>
    </xf>
    <xf numFmtId="171" fontId="0" fillId="0" borderId="0" xfId="0" applyNumberFormat="1"/>
    <xf numFmtId="7" fontId="5" fillId="8" borderId="0" xfId="8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9" fontId="0" fillId="0" borderId="0" xfId="1" applyFont="1" applyFill="1" applyBorder="1"/>
    <xf numFmtId="5" fontId="2" fillId="0" borderId="38" xfId="8" applyNumberFormat="1" applyFont="1" applyBorder="1"/>
    <xf numFmtId="174" fontId="0" fillId="0" borderId="38" xfId="0" applyNumberFormat="1" applyBorder="1"/>
    <xf numFmtId="9" fontId="0" fillId="0" borderId="0" xfId="1" applyFont="1" applyFill="1"/>
    <xf numFmtId="170" fontId="0" fillId="0" borderId="0" xfId="0" applyNumberFormat="1"/>
    <xf numFmtId="7" fontId="26" fillId="8" borderId="40" xfId="8" applyNumberFormat="1" applyFont="1" applyFill="1" applyBorder="1" applyAlignment="1">
      <alignment horizontal="center"/>
    </xf>
    <xf numFmtId="4" fontId="0" fillId="6" borderId="38" xfId="0" applyNumberFormat="1" applyFill="1" applyBorder="1" applyAlignment="1">
      <alignment horizontal="center"/>
    </xf>
    <xf numFmtId="172" fontId="0" fillId="0" borderId="0" xfId="0" applyNumberFormat="1"/>
    <xf numFmtId="5" fontId="2" fillId="0" borderId="40" xfId="8" applyNumberFormat="1" applyFont="1" applyBorder="1" applyAlignment="1">
      <alignment horizontal="center"/>
    </xf>
    <xf numFmtId="175" fontId="2" fillId="0" borderId="40" xfId="8" applyNumberFormat="1" applyFont="1" applyBorder="1" applyAlignment="1">
      <alignment horizontal="center"/>
    </xf>
    <xf numFmtId="173" fontId="2" fillId="0" borderId="40" xfId="8" applyNumberFormat="1" applyFont="1" applyBorder="1" applyAlignment="1">
      <alignment horizontal="center"/>
    </xf>
    <xf numFmtId="174" fontId="2" fillId="0" borderId="40" xfId="8" applyNumberFormat="1" applyFont="1" applyBorder="1" applyAlignment="1">
      <alignment horizontal="center"/>
    </xf>
    <xf numFmtId="174" fontId="0" fillId="8" borderId="38" xfId="0" applyNumberFormat="1" applyFill="1" applyBorder="1"/>
    <xf numFmtId="164" fontId="26" fillId="4" borderId="11" xfId="2" applyNumberFormat="1" applyFont="1" applyFill="1" applyBorder="1" applyAlignment="1">
      <alignment horizontal="center"/>
    </xf>
    <xf numFmtId="164" fontId="26" fillId="4" borderId="10" xfId="2" applyNumberFormat="1" applyFont="1" applyFill="1" applyBorder="1" applyAlignment="1">
      <alignment horizontal="center"/>
    </xf>
    <xf numFmtId="10" fontId="2" fillId="8" borderId="11" xfId="0" applyNumberFormat="1" applyFont="1" applyFill="1" applyBorder="1" applyAlignment="1">
      <alignment horizontal="center"/>
    </xf>
    <xf numFmtId="10" fontId="2" fillId="8" borderId="10" xfId="0" applyNumberFormat="1" applyFont="1" applyFill="1" applyBorder="1" applyAlignment="1">
      <alignment horizontal="center"/>
    </xf>
    <xf numFmtId="164" fontId="5" fillId="5" borderId="9" xfId="2" applyNumberFormat="1" applyFont="1" applyFill="1" applyBorder="1" applyAlignment="1">
      <alignment horizontal="center"/>
    </xf>
    <xf numFmtId="170" fontId="26" fillId="8" borderId="34" xfId="2" applyNumberFormat="1" applyFont="1" applyFill="1" applyBorder="1" applyAlignment="1">
      <alignment horizontal="center"/>
    </xf>
    <xf numFmtId="170" fontId="26" fillId="8" borderId="40" xfId="2" applyNumberFormat="1" applyFont="1" applyFill="1" applyBorder="1" applyAlignment="1">
      <alignment horizontal="center"/>
    </xf>
    <xf numFmtId="174" fontId="0" fillId="8" borderId="40" xfId="0" applyNumberFormat="1" applyFill="1" applyBorder="1"/>
    <xf numFmtId="170" fontId="26" fillId="4" borderId="40" xfId="2" applyNumberFormat="1" applyFont="1" applyFill="1" applyBorder="1" applyAlignment="1">
      <alignment horizontal="center"/>
    </xf>
    <xf numFmtId="174" fontId="0" fillId="0" borderId="40" xfId="0" applyNumberFormat="1" applyBorder="1"/>
    <xf numFmtId="170" fontId="26" fillId="4" borderId="40" xfId="2" applyNumberFormat="1" applyFont="1" applyFill="1" applyBorder="1" applyAlignment="1">
      <alignment horizontal="center" vertical="center"/>
    </xf>
    <xf numFmtId="7" fontId="0" fillId="0" borderId="40" xfId="0" applyNumberFormat="1" applyBorder="1" applyAlignment="1">
      <alignment vertical="center"/>
    </xf>
    <xf numFmtId="3" fontId="0" fillId="0" borderId="40" xfId="0" applyNumberFormat="1" applyBorder="1" applyAlignment="1">
      <alignment horizontal="center"/>
    </xf>
    <xf numFmtId="10" fontId="26" fillId="4" borderId="38" xfId="1" applyNumberFormat="1" applyFont="1" applyFill="1" applyBorder="1" applyAlignment="1">
      <alignment horizontal="center"/>
    </xf>
    <xf numFmtId="7" fontId="2" fillId="0" borderId="38" xfId="8" applyNumberFormat="1" applyFont="1" applyBorder="1" applyAlignment="1">
      <alignment horizontal="center"/>
    </xf>
    <xf numFmtId="0" fontId="28" fillId="0" borderId="0" xfId="0" applyFont="1"/>
    <xf numFmtId="0" fontId="0" fillId="0" borderId="0" xfId="0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30" fillId="14" borderId="48" xfId="0" applyFont="1" applyFill="1" applyBorder="1" applyAlignment="1">
      <alignment horizontal="center" vertical="center"/>
    </xf>
    <xf numFmtId="0" fontId="30" fillId="14" borderId="23" xfId="0" applyFont="1" applyFill="1" applyBorder="1" applyAlignment="1">
      <alignment horizontal="center" vertical="center" wrapText="1"/>
    </xf>
    <xf numFmtId="0" fontId="30" fillId="14" borderId="49" xfId="0" applyFont="1" applyFill="1" applyBorder="1" applyAlignment="1">
      <alignment horizontal="center" vertical="center"/>
    </xf>
    <xf numFmtId="0" fontId="30" fillId="14" borderId="47" xfId="0" applyFont="1" applyFill="1" applyBorder="1" applyAlignment="1">
      <alignment horizontal="center" vertical="center" wrapText="1"/>
    </xf>
    <xf numFmtId="0" fontId="30" fillId="13" borderId="0" xfId="0" applyFont="1" applyFill="1" applyAlignment="1">
      <alignment horizontal="center" vertical="center" wrapText="1"/>
    </xf>
    <xf numFmtId="0" fontId="29" fillId="15" borderId="19" xfId="0" applyFont="1" applyFill="1" applyBorder="1" applyAlignment="1">
      <alignment vertical="center"/>
    </xf>
    <xf numFmtId="4" fontId="29" fillId="15" borderId="23" xfId="0" applyNumberFormat="1" applyFont="1" applyFill="1" applyBorder="1" applyAlignment="1">
      <alignment horizontal="right" vertical="center"/>
    </xf>
    <xf numFmtId="4" fontId="29" fillId="15" borderId="22" xfId="0" applyNumberFormat="1" applyFont="1" applyFill="1" applyBorder="1" applyAlignment="1">
      <alignment horizontal="right" vertical="center"/>
    </xf>
    <xf numFmtId="0" fontId="29" fillId="13" borderId="0" xfId="0" applyFont="1" applyFill="1" applyAlignment="1">
      <alignment vertical="center"/>
    </xf>
    <xf numFmtId="4" fontId="29" fillId="15" borderId="51" xfId="0" applyNumberFormat="1" applyFont="1" applyFill="1" applyBorder="1" applyAlignment="1">
      <alignment horizontal="right" vertical="center"/>
    </xf>
    <xf numFmtId="0" fontId="29" fillId="15" borderId="51" xfId="0" applyFont="1" applyFill="1" applyBorder="1" applyAlignment="1">
      <alignment vertical="center"/>
    </xf>
    <xf numFmtId="7" fontId="20" fillId="0" borderId="50" xfId="0" applyNumberFormat="1" applyFont="1" applyBorder="1" applyAlignment="1">
      <alignment horizontal="center" vertical="center"/>
    </xf>
    <xf numFmtId="4" fontId="29" fillId="15" borderId="19" xfId="0" applyNumberFormat="1" applyFont="1" applyFill="1" applyBorder="1" applyAlignment="1">
      <alignment horizontal="right" vertical="center"/>
    </xf>
    <xf numFmtId="0" fontId="29" fillId="15" borderId="0" xfId="0" applyFont="1" applyFill="1" applyAlignment="1">
      <alignment vertical="center"/>
    </xf>
    <xf numFmtId="0" fontId="28" fillId="0" borderId="0" xfId="0" applyFont="1" applyAlignment="1">
      <alignment horizontal="left"/>
    </xf>
    <xf numFmtId="165" fontId="2" fillId="6" borderId="0" xfId="0" applyNumberFormat="1" applyFont="1" applyFill="1"/>
    <xf numFmtId="5" fontId="0" fillId="8" borderId="38" xfId="8" applyNumberFormat="1" applyFont="1" applyFill="1" applyBorder="1"/>
    <xf numFmtId="174" fontId="2" fillId="0" borderId="0" xfId="0" applyNumberFormat="1" applyFont="1" applyAlignment="1">
      <alignment horizontal="right"/>
    </xf>
    <xf numFmtId="174" fontId="0" fillId="0" borderId="0" xfId="0" applyNumberFormat="1"/>
    <xf numFmtId="176" fontId="0" fillId="0" borderId="0" xfId="0" applyNumberFormat="1"/>
    <xf numFmtId="177" fontId="0" fillId="0" borderId="0" xfId="0" applyNumberFormat="1"/>
    <xf numFmtId="10" fontId="0" fillId="0" borderId="0" xfId="1" applyNumberFormat="1" applyFont="1" applyAlignment="1">
      <alignment horizontal="center"/>
    </xf>
    <xf numFmtId="173" fontId="2" fillId="0" borderId="38" xfId="8" applyNumberFormat="1" applyFont="1" applyBorder="1" applyAlignment="1">
      <alignment horizontal="center"/>
    </xf>
    <xf numFmtId="178" fontId="26" fillId="8" borderId="38" xfId="8" applyNumberFormat="1" applyFont="1" applyFill="1" applyBorder="1" applyAlignment="1">
      <alignment horizontal="center"/>
    </xf>
    <xf numFmtId="178" fontId="0" fillId="0" borderId="38" xfId="0" applyNumberFormat="1" applyBorder="1" applyAlignment="1">
      <alignment horizontal="center"/>
    </xf>
    <xf numFmtId="178" fontId="31" fillId="8" borderId="38" xfId="8" applyNumberFormat="1" applyFont="1" applyFill="1" applyBorder="1" applyAlignment="1">
      <alignment horizontal="center"/>
    </xf>
    <xf numFmtId="10" fontId="2" fillId="0" borderId="38" xfId="0" applyNumberFormat="1" applyFont="1" applyBorder="1" applyAlignment="1">
      <alignment horizontal="center"/>
    </xf>
    <xf numFmtId="0" fontId="6" fillId="0" borderId="8" xfId="2" applyFont="1" applyBorder="1" applyAlignment="1">
      <alignment horizontal="center" wrapText="1"/>
    </xf>
    <xf numFmtId="164" fontId="6" fillId="0" borderId="9" xfId="2" applyNumberFormat="1" applyFont="1" applyBorder="1" applyAlignment="1">
      <alignment horizontal="center"/>
    </xf>
    <xf numFmtId="0" fontId="6" fillId="5" borderId="8" xfId="2" applyFont="1" applyFill="1" applyBorder="1" applyAlignment="1">
      <alignment horizontal="center" wrapText="1"/>
    </xf>
    <xf numFmtId="165" fontId="26" fillId="4" borderId="38" xfId="1" applyNumberFormat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10" fontId="5" fillId="4" borderId="38" xfId="1" applyNumberFormat="1" applyFont="1" applyFill="1" applyBorder="1" applyAlignment="1">
      <alignment horizontal="center"/>
    </xf>
    <xf numFmtId="164" fontId="5" fillId="16" borderId="9" xfId="2" applyNumberFormat="1" applyFont="1" applyFill="1" applyBorder="1" applyAlignment="1">
      <alignment horizontal="center"/>
    </xf>
    <xf numFmtId="0" fontId="6" fillId="7" borderId="10" xfId="2" applyFont="1" applyFill="1" applyBorder="1" applyAlignment="1">
      <alignment horizontal="center" wrapText="1"/>
    </xf>
    <xf numFmtId="10" fontId="26" fillId="8" borderId="38" xfId="1" applyNumberFormat="1" applyFont="1" applyFill="1" applyBorder="1" applyAlignment="1">
      <alignment horizontal="center"/>
    </xf>
    <xf numFmtId="165" fontId="0" fillId="0" borderId="38" xfId="1" applyNumberFormat="1" applyFont="1" applyFill="1" applyBorder="1"/>
    <xf numFmtId="0" fontId="6" fillId="5" borderId="41" xfId="2" applyFont="1" applyFill="1" applyBorder="1" applyAlignment="1">
      <alignment horizontal="center" wrapText="1"/>
    </xf>
    <xf numFmtId="0" fontId="6" fillId="7" borderId="8" xfId="2" applyFont="1" applyFill="1" applyBorder="1" applyAlignment="1">
      <alignment horizontal="center" wrapText="1"/>
    </xf>
    <xf numFmtId="164" fontId="5" fillId="7" borderId="9" xfId="2" applyNumberFormat="1" applyFont="1" applyFill="1" applyBorder="1" applyAlignment="1">
      <alignment horizontal="center"/>
    </xf>
    <xf numFmtId="0" fontId="24" fillId="10" borderId="34" xfId="0" applyFont="1" applyFill="1" applyBorder="1" applyAlignment="1">
      <alignment horizontal="center" vertical="center" wrapText="1"/>
    </xf>
    <xf numFmtId="171" fontId="0" fillId="6" borderId="38" xfId="0" applyNumberFormat="1" applyFill="1" applyBorder="1"/>
    <xf numFmtId="170" fontId="26" fillId="6" borderId="34" xfId="2" applyNumberFormat="1" applyFont="1" applyFill="1" applyBorder="1" applyAlignment="1">
      <alignment horizontal="center"/>
    </xf>
    <xf numFmtId="175" fontId="2" fillId="0" borderId="38" xfId="8" applyNumberFormat="1" applyFont="1" applyBorder="1" applyAlignment="1">
      <alignment horizontal="center"/>
    </xf>
    <xf numFmtId="0" fontId="6" fillId="8" borderId="8" xfId="2" applyFont="1" applyFill="1" applyBorder="1" applyAlignment="1">
      <alignment horizontal="center" wrapText="1"/>
    </xf>
    <xf numFmtId="164" fontId="5" fillId="8" borderId="9" xfId="2" applyNumberFormat="1" applyFont="1" applyFill="1" applyBorder="1" applyAlignment="1">
      <alignment horizontal="center"/>
    </xf>
    <xf numFmtId="0" fontId="6" fillId="7" borderId="38" xfId="2" applyFont="1" applyFill="1" applyBorder="1" applyAlignment="1">
      <alignment horizontal="center" wrapText="1"/>
    </xf>
    <xf numFmtId="164" fontId="5" fillId="7" borderId="38" xfId="2" applyNumberFormat="1" applyFont="1" applyFill="1" applyBorder="1" applyAlignment="1">
      <alignment horizontal="center"/>
    </xf>
    <xf numFmtId="0" fontId="7" fillId="0" borderId="27" xfId="2" applyBorder="1" applyAlignment="1">
      <alignment vertical="top" wrapText="1"/>
    </xf>
    <xf numFmtId="0" fontId="7" fillId="0" borderId="28" xfId="2" applyBorder="1" applyAlignment="1">
      <alignment vertical="top" wrapText="1"/>
    </xf>
    <xf numFmtId="179" fontId="4" fillId="6" borderId="19" xfId="6" applyNumberFormat="1" applyFont="1" applyFill="1" applyBorder="1" applyAlignment="1">
      <alignment horizontal="center"/>
    </xf>
    <xf numFmtId="0" fontId="6" fillId="0" borderId="41" xfId="2" applyFont="1" applyBorder="1" applyAlignment="1">
      <alignment horizontal="center" wrapText="1"/>
    </xf>
    <xf numFmtId="164" fontId="6" fillId="16" borderId="9" xfId="2" applyNumberFormat="1" applyFont="1" applyFill="1" applyBorder="1" applyAlignment="1">
      <alignment horizontal="center"/>
    </xf>
    <xf numFmtId="0" fontId="6" fillId="16" borderId="8" xfId="2" applyFont="1" applyFill="1" applyBorder="1" applyAlignment="1">
      <alignment horizontal="center" wrapText="1"/>
    </xf>
    <xf numFmtId="171" fontId="0" fillId="0" borderId="40" xfId="0" applyNumberFormat="1" applyBorder="1"/>
    <xf numFmtId="9" fontId="31" fillId="4" borderId="38" xfId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/>
    <xf numFmtId="10" fontId="26" fillId="0" borderId="38" xfId="1" applyNumberFormat="1" applyFont="1" applyFill="1" applyBorder="1" applyAlignment="1">
      <alignment horizontal="center"/>
    </xf>
    <xf numFmtId="165" fontId="4" fillId="3" borderId="18" xfId="0" applyNumberFormat="1" applyFont="1" applyFill="1" applyBorder="1" applyAlignment="1">
      <alignment horizontal="center"/>
    </xf>
    <xf numFmtId="165" fontId="4" fillId="3" borderId="3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10" fontId="4" fillId="3" borderId="18" xfId="0" applyNumberFormat="1" applyFont="1" applyFill="1" applyBorder="1" applyAlignment="1">
      <alignment horizontal="center"/>
    </xf>
    <xf numFmtId="10" fontId="4" fillId="3" borderId="21" xfId="0" applyNumberFormat="1" applyFont="1" applyFill="1" applyBorder="1" applyAlignment="1">
      <alignment horizontal="center"/>
    </xf>
    <xf numFmtId="165" fontId="4" fillId="3" borderId="33" xfId="0" applyNumberFormat="1" applyFont="1" applyFill="1" applyBorder="1" applyAlignment="1">
      <alignment horizontal="center"/>
    </xf>
    <xf numFmtId="165" fontId="4" fillId="3" borderId="21" xfId="0" applyNumberFormat="1" applyFont="1" applyFill="1" applyBorder="1" applyAlignment="1">
      <alignment horizontal="center"/>
    </xf>
    <xf numFmtId="10" fontId="4" fillId="3" borderId="22" xfId="1" applyNumberFormat="1" applyFont="1" applyFill="1" applyBorder="1" applyAlignment="1">
      <alignment horizontal="center"/>
    </xf>
    <xf numFmtId="10" fontId="4" fillId="3" borderId="23" xfId="1" applyNumberFormat="1" applyFont="1" applyFill="1" applyBorder="1" applyAlignment="1">
      <alignment horizontal="center"/>
    </xf>
    <xf numFmtId="10" fontId="4" fillId="3" borderId="22" xfId="0" applyNumberFormat="1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10" fontId="4" fillId="3" borderId="23" xfId="0" applyNumberFormat="1" applyFont="1" applyFill="1" applyBorder="1" applyAlignment="1">
      <alignment horizontal="center"/>
    </xf>
    <xf numFmtId="165" fontId="4" fillId="3" borderId="24" xfId="0" applyNumberFormat="1" applyFont="1" applyFill="1" applyBorder="1" applyAlignment="1">
      <alignment horizontal="center"/>
    </xf>
    <xf numFmtId="165" fontId="4" fillId="3" borderId="22" xfId="0" applyNumberFormat="1" applyFont="1" applyFill="1" applyBorder="1" applyAlignment="1">
      <alignment horizontal="center"/>
    </xf>
    <xf numFmtId="165" fontId="4" fillId="3" borderId="23" xfId="0" applyNumberFormat="1" applyFont="1" applyFill="1" applyBorder="1" applyAlignment="1">
      <alignment horizontal="center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10" fontId="8" fillId="0" borderId="16" xfId="1" applyNumberFormat="1" applyFont="1" applyFill="1" applyBorder="1" applyAlignment="1">
      <alignment vertical="top" wrapText="1"/>
    </xf>
    <xf numFmtId="10" fontId="8" fillId="0" borderId="17" xfId="1" applyNumberFormat="1" applyFont="1" applyFill="1" applyBorder="1" applyAlignment="1">
      <alignment vertical="top" wrapText="1"/>
    </xf>
    <xf numFmtId="10" fontId="8" fillId="0" borderId="12" xfId="1" applyNumberFormat="1" applyFont="1" applyFill="1" applyBorder="1" applyAlignment="1">
      <alignment vertical="top" wrapText="1"/>
    </xf>
    <xf numFmtId="10" fontId="8" fillId="0" borderId="13" xfId="1" applyNumberFormat="1" applyFont="1" applyFill="1" applyBorder="1" applyAlignment="1">
      <alignment vertical="top" wrapText="1"/>
    </xf>
    <xf numFmtId="165" fontId="8" fillId="0" borderId="14" xfId="1" applyNumberFormat="1" applyFont="1" applyFill="1" applyBorder="1" applyAlignment="1">
      <alignment vertical="top" wrapText="1"/>
    </xf>
    <xf numFmtId="165" fontId="8" fillId="0" borderId="15" xfId="1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4" xfId="2" applyFont="1" applyFill="1" applyBorder="1" applyAlignment="1">
      <alignment horizontal="center" vertical="center" wrapText="1"/>
    </xf>
    <xf numFmtId="10" fontId="8" fillId="0" borderId="16" xfId="6" applyNumberFormat="1" applyFont="1" applyFill="1" applyBorder="1" applyAlignment="1">
      <alignment vertical="top" wrapText="1"/>
    </xf>
    <xf numFmtId="10" fontId="8" fillId="0" borderId="17" xfId="6" applyNumberFormat="1" applyFont="1" applyFill="1" applyBorder="1" applyAlignment="1">
      <alignment vertical="top" wrapText="1"/>
    </xf>
    <xf numFmtId="10" fontId="4" fillId="3" borderId="22" xfId="6" applyNumberFormat="1" applyFont="1" applyFill="1" applyBorder="1" applyAlignment="1">
      <alignment horizontal="center"/>
    </xf>
    <xf numFmtId="10" fontId="4" fillId="3" borderId="23" xfId="6" applyNumberFormat="1" applyFont="1" applyFill="1" applyBorder="1" applyAlignment="1">
      <alignment horizontal="center"/>
    </xf>
    <xf numFmtId="10" fontId="4" fillId="3" borderId="22" xfId="2" applyNumberFormat="1" applyFont="1" applyFill="1" applyBorder="1" applyAlignment="1">
      <alignment horizontal="center"/>
    </xf>
    <xf numFmtId="0" fontId="4" fillId="3" borderId="23" xfId="2" applyFont="1" applyFill="1" applyBorder="1" applyAlignment="1">
      <alignment horizontal="center"/>
    </xf>
    <xf numFmtId="10" fontId="4" fillId="3" borderId="23" xfId="2" applyNumberFormat="1" applyFont="1" applyFill="1" applyBorder="1" applyAlignment="1">
      <alignment horizontal="center"/>
    </xf>
    <xf numFmtId="165" fontId="4" fillId="3" borderId="24" xfId="2" applyNumberFormat="1" applyFont="1" applyFill="1" applyBorder="1" applyAlignment="1">
      <alignment horizontal="center"/>
    </xf>
    <xf numFmtId="165" fontId="4" fillId="3" borderId="22" xfId="2" applyNumberFormat="1" applyFont="1" applyFill="1" applyBorder="1" applyAlignment="1">
      <alignment horizontal="center"/>
    </xf>
    <xf numFmtId="165" fontId="4" fillId="3" borderId="23" xfId="2" applyNumberFormat="1" applyFont="1" applyFill="1" applyBorder="1" applyAlignment="1">
      <alignment horizontal="center"/>
    </xf>
    <xf numFmtId="0" fontId="7" fillId="0" borderId="8" xfId="2" applyBorder="1" applyAlignment="1">
      <alignment vertical="top" wrapText="1"/>
    </xf>
    <xf numFmtId="0" fontId="7" fillId="0" borderId="9" xfId="2" applyBorder="1" applyAlignment="1">
      <alignment vertical="top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165" fontId="4" fillId="3" borderId="33" xfId="2" applyNumberFormat="1" applyFont="1" applyFill="1" applyBorder="1" applyAlignment="1">
      <alignment horizontal="center"/>
    </xf>
    <xf numFmtId="165" fontId="4" fillId="3" borderId="32" xfId="2" applyNumberFormat="1" applyFont="1" applyFill="1" applyBorder="1" applyAlignment="1">
      <alignment horizontal="center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165" fontId="4" fillId="3" borderId="18" xfId="2" applyNumberFormat="1" applyFont="1" applyFill="1" applyBorder="1" applyAlignment="1">
      <alignment horizontal="center"/>
    </xf>
    <xf numFmtId="165" fontId="4" fillId="3" borderId="21" xfId="2" applyNumberFormat="1" applyFont="1" applyFill="1" applyBorder="1" applyAlignment="1">
      <alignment horizontal="center"/>
    </xf>
    <xf numFmtId="0" fontId="4" fillId="3" borderId="5" xfId="2" applyFont="1" applyFill="1" applyBorder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10" fontId="4" fillId="3" borderId="18" xfId="2" applyNumberFormat="1" applyFont="1" applyFill="1" applyBorder="1" applyAlignment="1">
      <alignment horizontal="center"/>
    </xf>
    <xf numFmtId="10" fontId="4" fillId="3" borderId="21" xfId="2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 vertical="center" wrapText="1"/>
    </xf>
    <xf numFmtId="0" fontId="7" fillId="0" borderId="27" xfId="2" applyBorder="1" applyAlignment="1">
      <alignment vertical="top" wrapText="1"/>
    </xf>
    <xf numFmtId="0" fontId="7" fillId="0" borderId="28" xfId="2" applyBorder="1" applyAlignment="1">
      <alignment vertical="top" wrapText="1"/>
    </xf>
    <xf numFmtId="10" fontId="4" fillId="3" borderId="32" xfId="2" applyNumberFormat="1" applyFont="1" applyFill="1" applyBorder="1" applyAlignment="1">
      <alignment horizontal="center"/>
    </xf>
    <xf numFmtId="17" fontId="4" fillId="3" borderId="5" xfId="2" applyNumberFormat="1" applyFont="1" applyFill="1" applyBorder="1" applyAlignment="1">
      <alignment horizontal="center" vertical="center" wrapText="1"/>
    </xf>
    <xf numFmtId="17" fontId="4" fillId="3" borderId="1" xfId="2" applyNumberFormat="1" applyFont="1" applyFill="1" applyBorder="1" applyAlignment="1">
      <alignment horizontal="center" vertical="center" wrapText="1"/>
    </xf>
    <xf numFmtId="164" fontId="5" fillId="4" borderId="38" xfId="2" applyNumberFormat="1" applyFont="1" applyFill="1" applyBorder="1" applyAlignment="1">
      <alignment horizontal="center"/>
    </xf>
    <xf numFmtId="164" fontId="26" fillId="4" borderId="38" xfId="2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164" fontId="26" fillId="4" borderId="11" xfId="2" applyNumberFormat="1" applyFont="1" applyFill="1" applyBorder="1" applyAlignment="1">
      <alignment horizontal="center"/>
    </xf>
    <xf numFmtId="164" fontId="26" fillId="4" borderId="10" xfId="2" applyNumberFormat="1" applyFont="1" applyFill="1" applyBorder="1" applyAlignment="1">
      <alignment horizontal="center"/>
    </xf>
    <xf numFmtId="0" fontId="24" fillId="10" borderId="43" xfId="0" applyFont="1" applyFill="1" applyBorder="1" applyAlignment="1">
      <alignment horizontal="center" vertical="center" wrapText="1"/>
    </xf>
    <xf numFmtId="0" fontId="24" fillId="10" borderId="34" xfId="0" applyFont="1" applyFill="1" applyBorder="1" applyAlignment="1">
      <alignment horizontal="center" vertical="center" wrapText="1"/>
    </xf>
    <xf numFmtId="164" fontId="5" fillId="4" borderId="11" xfId="2" applyNumberFormat="1" applyFont="1" applyFill="1" applyBorder="1" applyAlignment="1">
      <alignment horizontal="center"/>
    </xf>
    <xf numFmtId="164" fontId="5" fillId="4" borderId="10" xfId="2" applyNumberFormat="1" applyFont="1" applyFill="1" applyBorder="1" applyAlignment="1">
      <alignment horizontal="center"/>
    </xf>
    <xf numFmtId="0" fontId="24" fillId="10" borderId="43" xfId="0" applyFont="1" applyFill="1" applyBorder="1" applyAlignment="1">
      <alignment horizontal="center" vertical="center"/>
    </xf>
    <xf numFmtId="0" fontId="24" fillId="10" borderId="4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4" fillId="10" borderId="40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4" fillId="10" borderId="0" xfId="0" applyFont="1" applyFill="1" applyAlignment="1">
      <alignment horizontal="center" vertical="center" wrapText="1"/>
    </xf>
    <xf numFmtId="0" fontId="24" fillId="10" borderId="46" xfId="0" applyFont="1" applyFill="1" applyBorder="1" applyAlignment="1">
      <alignment horizontal="center" vertical="center" wrapText="1"/>
    </xf>
    <xf numFmtId="0" fontId="29" fillId="0" borderId="47" xfId="0" applyFont="1" applyBorder="1" applyAlignment="1">
      <alignment horizontal="left" vertical="center"/>
    </xf>
    <xf numFmtId="49" fontId="23" fillId="8" borderId="11" xfId="0" applyNumberFormat="1" applyFont="1" applyFill="1" applyBorder="1" applyAlignment="1">
      <alignment horizontal="center" vertical="center"/>
    </xf>
    <xf numFmtId="49" fontId="23" fillId="8" borderId="10" xfId="0" applyNumberFormat="1" applyFont="1" applyFill="1" applyBorder="1" applyAlignment="1">
      <alignment horizontal="center" vertical="center"/>
    </xf>
    <xf numFmtId="0" fontId="21" fillId="9" borderId="39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2" fillId="8" borderId="11" xfId="0" applyFont="1" applyFill="1" applyBorder="1" applyAlignment="1">
      <alignment horizontal="center" vertical="center"/>
    </xf>
    <xf numFmtId="0" fontId="22" fillId="8" borderId="29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</cellXfs>
  <cellStyles count="9">
    <cellStyle name="Moeda" xfId="8" builtinId="4"/>
    <cellStyle name="Moeda 2" xfId="4" xr:uid="{00000000-0005-0000-0000-000001000000}"/>
    <cellStyle name="Moeda 3" xfId="3" xr:uid="{00000000-0005-0000-0000-000002000000}"/>
    <cellStyle name="Normal" xfId="0" builtinId="0"/>
    <cellStyle name="Normal 2" xfId="2" xr:uid="{00000000-0005-0000-0000-000004000000}"/>
    <cellStyle name="Porcentagem" xfId="1" builtinId="5"/>
    <cellStyle name="Porcentagem 2" xfId="6" xr:uid="{00000000-0005-0000-0000-000006000000}"/>
    <cellStyle name="Porcentagem 3" xfId="5" xr:uid="{00000000-0005-0000-0000-000007000000}"/>
    <cellStyle name="Vírgula" xfId="7" builtinId="3"/>
  </cellStyles>
  <dxfs count="0"/>
  <tableStyles count="0" defaultTableStyle="TableStyleMedium2" defaultPivotStyle="PivotStyleLight16"/>
  <colors>
    <mruColors>
      <color rgb="FF990000"/>
      <color rgb="FF3333FF"/>
      <color rgb="FFCC0000"/>
      <color rgb="FF0066FF"/>
      <color rgb="FF2DBA1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8894575141453266"/>
          <c:y val="8.5603112840466927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79536205787"/>
          <c:h val="0.92511951678436555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C32D-4CD3-AE99-BE6D9BB89A98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3-C32D-4CD3-AE99-BE6D9BB89A9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32D-4CD3-AE99-BE6D9BB89A98}"/>
              </c:ext>
            </c:extLst>
          </c:dPt>
          <c:dPt>
            <c:idx val="3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6-C32D-4CD3-AE99-BE6D9BB89A98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C32D-4CD3-AE99-BE6D9BB89A98}"/>
              </c:ext>
            </c:extLst>
          </c:dPt>
          <c:dPt>
            <c:idx val="5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A-C32D-4CD3-AE99-BE6D9BB89A98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C-C32D-4CD3-AE99-BE6D9BB89A9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C32D-4CD3-AE99-BE6D9BB89A9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0-C32D-4CD3-AE99-BE6D9BB89A98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12-C32D-4CD3-AE99-BE6D9BB89A98}"/>
              </c:ext>
            </c:extLst>
          </c:dPt>
          <c:dPt>
            <c:idx val="10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14-C32D-4CD3-AE99-BE6D9BB89A98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C32D-4CD3-AE99-BE6D9BB89A98}"/>
              </c:ext>
            </c:extLst>
          </c:dPt>
          <c:dPt>
            <c:idx val="12"/>
            <c:invertIfNegative val="0"/>
            <c:bubble3D val="0"/>
            <c:spPr>
              <a:solidFill>
                <a:srgbClr val="3333FF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C32D-4CD3-AE99-BE6D9BB89A98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A-C32D-4CD3-AE99-BE6D9BB89A98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C-C32D-4CD3-AE99-BE6D9BB89A98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E-C32D-4CD3-AE99-BE6D9BB89A9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20-C32D-4CD3-AE99-BE6D9BB89A98}"/>
              </c:ext>
            </c:extLst>
          </c:dPt>
          <c:dPt>
            <c:idx val="1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22-C32D-4CD3-AE99-BE6D9BB89A98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24-C32D-4CD3-AE99-BE6D9BB89A9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32D-4CD3-AE99-BE6D9BB89A98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C32D-4CD3-AE99-BE6D9BB89A98}"/>
                </c:ext>
              </c:extLst>
            </c:dLbl>
            <c:dLbl>
              <c:idx val="4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C32D-4CD3-AE99-BE6D9BB89A98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C32D-4CD3-AE99-BE6D9BB89A98}"/>
                </c:ext>
              </c:extLst>
            </c:dLbl>
            <c:dLbl>
              <c:idx val="8"/>
              <c:layout>
                <c:manualLayout>
                  <c:x val="9.9209424474835071E-3"/>
                  <c:y val="-9.9113869759085878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32D-4CD3-AE99-BE6D9BB89A98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C32D-4CD3-AE99-BE6D9BB89A98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0070C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C32D-4CD3-AE99-BE6D9BB89A98}"/>
                </c:ext>
              </c:extLst>
            </c:dLbl>
            <c:dLbl>
              <c:idx val="13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C32D-4CD3-AE99-BE6D9BB89A98}"/>
                </c:ext>
              </c:extLst>
            </c:dLbl>
            <c:dLbl>
              <c:idx val="14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C32D-4CD3-AE99-BE6D9BB89A98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C32D-4CD3-AE99-BE6D9BB89A98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C32D-4CD3-AE99-BE6D9BB89A98}"/>
                </c:ext>
              </c:extLst>
            </c:dLbl>
            <c:dLbl>
              <c:idx val="1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C32D-4CD3-AE99-BE6D9BB89A98}"/>
                </c:ext>
              </c:extLst>
            </c:dLbl>
            <c:dLbl>
              <c:idx val="18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C32D-4CD3-AE99-BE6D9BB89A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70C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'2014'!$O$9:$O$27</c:f>
              <c:strCache>
                <c:ptCount val="19"/>
                <c:pt idx="0">
                  <c:v>jul/13</c:v>
                </c:pt>
                <c:pt idx="1">
                  <c:v>ago/13</c:v>
                </c:pt>
                <c:pt idx="2">
                  <c:v>set/13</c:v>
                </c:pt>
                <c:pt idx="3">
                  <c:v>out/13</c:v>
                </c:pt>
                <c:pt idx="4">
                  <c:v>nov/13</c:v>
                </c:pt>
                <c:pt idx="5">
                  <c:v>dez/13</c:v>
                </c:pt>
                <c:pt idx="6">
                  <c:v>jan/14</c:v>
                </c:pt>
                <c:pt idx="7">
                  <c:v>fev/14</c:v>
                </c:pt>
                <c:pt idx="8">
                  <c:v>mar/14</c:v>
                </c:pt>
                <c:pt idx="9">
                  <c:v>abr/14</c:v>
                </c:pt>
                <c:pt idx="10">
                  <c:v>mai/14</c:v>
                </c:pt>
                <c:pt idx="11">
                  <c:v>jun/14</c:v>
                </c:pt>
                <c:pt idx="12">
                  <c:v>jul/14</c:v>
                </c:pt>
                <c:pt idx="13">
                  <c:v>ago/14</c:v>
                </c:pt>
                <c:pt idx="14">
                  <c:v>set/14</c:v>
                </c:pt>
                <c:pt idx="15">
                  <c:v>out/14</c:v>
                </c:pt>
                <c:pt idx="16">
                  <c:v>nov/14</c:v>
                </c:pt>
                <c:pt idx="17">
                  <c:v>dez/14</c:v>
                </c:pt>
                <c:pt idx="18">
                  <c:v>Acumulado 2014</c:v>
                </c:pt>
              </c:strCache>
            </c:strRef>
          </c:cat>
          <c:val>
            <c:numRef>
              <c:f>'2014'!$Q$9:$Q$27</c:f>
              <c:numCache>
                <c:formatCode>0.00%</c:formatCode>
                <c:ptCount val="19"/>
                <c:pt idx="0">
                  <c:v>-1.528725912475315E-2</c:v>
                </c:pt>
                <c:pt idx="1">
                  <c:v>4.1363719315522962E-2</c:v>
                </c:pt>
                <c:pt idx="2">
                  <c:v>-2.9006646665892255E-3</c:v>
                </c:pt>
                <c:pt idx="3">
                  <c:v>3.8196341685530211E-3</c:v>
                </c:pt>
                <c:pt idx="4">
                  <c:v>-1.7023445199589204E-2</c:v>
                </c:pt>
                <c:pt idx="5">
                  <c:v>1.9323155507785073E-2</c:v>
                </c:pt>
                <c:pt idx="6">
                  <c:v>1.2763709818388813E-2</c:v>
                </c:pt>
                <c:pt idx="7">
                  <c:v>-1.9566632915336224E-2</c:v>
                </c:pt>
                <c:pt idx="8">
                  <c:v>-6.7719563514534231E-2</c:v>
                </c:pt>
                <c:pt idx="9">
                  <c:v>4.5224390104547929E-4</c:v>
                </c:pt>
                <c:pt idx="10">
                  <c:v>3.1937578935139266E-2</c:v>
                </c:pt>
                <c:pt idx="11">
                  <c:v>-1.1298834145704539E-2</c:v>
                </c:pt>
                <c:pt idx="12">
                  <c:v>4.389485858492459E-2</c:v>
                </c:pt>
                <c:pt idx="13">
                  <c:v>-1.4679811396382747E-2</c:v>
                </c:pt>
                <c:pt idx="14">
                  <c:v>-1.8330377937837317E-2</c:v>
                </c:pt>
                <c:pt idx="15">
                  <c:v>-1.9357861036014001E-2</c:v>
                </c:pt>
                <c:pt idx="16">
                  <c:v>-5.6476550226932654E-3</c:v>
                </c:pt>
                <c:pt idx="17">
                  <c:v>-4.1512761501987239E-2</c:v>
                </c:pt>
                <c:pt idx="18" formatCode="0.0%">
                  <c:v>-0.10828863438558078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C32D-4CD3-AE99-BE6D9BB89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0887808"/>
        <c:axId val="80889344"/>
        <c:axId val="0"/>
      </c:bar3DChart>
      <c:catAx>
        <c:axId val="8088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80889344"/>
        <c:crosses val="autoZero"/>
        <c:auto val="1"/>
        <c:lblAlgn val="ctr"/>
        <c:lblOffset val="100"/>
        <c:noMultiLvlLbl val="1"/>
      </c:catAx>
      <c:valAx>
        <c:axId val="8088934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80887808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REAIS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17456924576708E-2"/>
          <c:y val="1.3561154855643045E-2"/>
          <c:w val="0.92288250102573777"/>
          <c:h val="0.9728776902887139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1-97C3-473E-8274-982409E75CEE}"/>
              </c:ext>
            </c:extLst>
          </c:dPt>
          <c:dPt>
            <c:idx val="1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3-97C3-473E-8274-982409E75CEE}"/>
              </c:ext>
            </c:extLst>
          </c:dPt>
          <c:dPt>
            <c:idx val="2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5-97C3-473E-8274-982409E75CE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97C3-473E-8274-982409E75CE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97C3-473E-8274-982409E75CEE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97C3-473E-8274-982409E75CEE}"/>
              </c:ext>
            </c:extLst>
          </c:dPt>
          <c:dPt>
            <c:idx val="6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A-97C3-473E-8274-982409E75CEE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97C3-473E-8274-982409E75CEE}"/>
              </c:ext>
            </c:extLst>
          </c:dPt>
          <c:dPt>
            <c:idx val="8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D-97C3-473E-8274-982409E75CEE}"/>
              </c:ext>
            </c:extLst>
          </c:dPt>
          <c:dPt>
            <c:idx val="9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0F-97C3-473E-8274-982409E75CEE}"/>
              </c:ext>
            </c:extLst>
          </c:dPt>
          <c:dPt>
            <c:idx val="10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11-97C3-473E-8274-982409E75CEE}"/>
              </c:ext>
            </c:extLst>
          </c:dPt>
          <c:dPt>
            <c:idx val="11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13-97C3-473E-8274-982409E75CEE}"/>
              </c:ext>
            </c:extLst>
          </c:dPt>
          <c:dPt>
            <c:idx val="12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15-97C3-473E-8274-982409E75CEE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97C3-473E-8274-982409E75CEE}"/>
              </c:ext>
            </c:extLst>
          </c:dPt>
          <c:dPt>
            <c:idx val="14"/>
            <c:invertIfNegative val="0"/>
            <c:bubble3D val="0"/>
            <c:spPr>
              <a:solidFill>
                <a:srgbClr val="3333FF"/>
              </a:solidFill>
            </c:spPr>
            <c:extLst>
              <c:ext xmlns:c16="http://schemas.microsoft.com/office/drawing/2014/chart" uri="{C3380CC4-5D6E-409C-BE32-E72D297353CC}">
                <c16:uniqueId val="{00000018-97C3-473E-8274-982409E75CEE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7C3-473E-8274-982409E75CEE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97C3-473E-8274-982409E75CEE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97C3-473E-8274-982409E75CEE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97C3-473E-8274-982409E75CEE}"/>
                </c:ext>
              </c:extLst>
            </c:dLbl>
            <c:dLbl>
              <c:idx val="8"/>
              <c:layout>
                <c:manualLayout>
                  <c:x val="1.0506930655376227E-2"/>
                  <c:y val="-1.238365822828851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C3-473E-8274-982409E75CEE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97C3-473E-8274-982409E75CEE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97C3-473E-8274-982409E75CEE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97C3-473E-8274-982409E75CEE}"/>
                </c:ext>
              </c:extLst>
            </c:dLbl>
            <c:dLbl>
              <c:idx val="12"/>
              <c:layout>
                <c:manualLayout>
                  <c:x val="1.6792613471457649E-3"/>
                  <c:y val="-6.814308832345804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7C3-473E-8274-982409E75CEE}"/>
                </c:ext>
              </c:extLst>
            </c:dLbl>
            <c:dLbl>
              <c:idx val="13"/>
              <c:layout>
                <c:manualLayout>
                  <c:x val="6.2191180077385728E-3"/>
                  <c:y val="-2.6718002935003865E-3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7C3-473E-8274-982409E75CEE}"/>
                </c:ext>
              </c:extLst>
            </c:dLbl>
            <c:dLbl>
              <c:idx val="14"/>
              <c:layout>
                <c:manualLayout>
                  <c:x val="1.5645373719112021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3333FF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97C3-473E-8274-982409E75C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'2014'!$O$13:$O$27</c:f>
              <c:strCache>
                <c:ptCount val="15"/>
                <c:pt idx="0">
                  <c:v>nov/13</c:v>
                </c:pt>
                <c:pt idx="1">
                  <c:v>dez/13</c:v>
                </c:pt>
                <c:pt idx="2">
                  <c:v>jan/14</c:v>
                </c:pt>
                <c:pt idx="3">
                  <c:v>fev/14</c:v>
                </c:pt>
                <c:pt idx="4">
                  <c:v>mar/14</c:v>
                </c:pt>
                <c:pt idx="5">
                  <c:v>abr/14</c:v>
                </c:pt>
                <c:pt idx="6">
                  <c:v>mai/14</c:v>
                </c:pt>
                <c:pt idx="7">
                  <c:v>jun/14</c:v>
                </c:pt>
                <c:pt idx="8">
                  <c:v>jul/14</c:v>
                </c:pt>
                <c:pt idx="9">
                  <c:v>ago/14</c:v>
                </c:pt>
                <c:pt idx="10">
                  <c:v>set/14</c:v>
                </c:pt>
                <c:pt idx="11">
                  <c:v>out/14</c:v>
                </c:pt>
                <c:pt idx="12">
                  <c:v>nov/14</c:v>
                </c:pt>
                <c:pt idx="13">
                  <c:v>dez/14</c:v>
                </c:pt>
                <c:pt idx="14">
                  <c:v>Acumulado 2014</c:v>
                </c:pt>
              </c:strCache>
            </c:strRef>
          </c:cat>
          <c:val>
            <c:numRef>
              <c:f>'2014'!$S$13:$S$27</c:f>
              <c:numCache>
                <c:formatCode>0.00%</c:formatCode>
                <c:ptCount val="15"/>
                <c:pt idx="0">
                  <c:v>3.2781659186676304E-2</c:v>
                </c:pt>
                <c:pt idx="1">
                  <c:v>4.1594230719523617E-2</c:v>
                </c:pt>
                <c:pt idx="2">
                  <c:v>2.7041961285715121E-2</c:v>
                </c:pt>
                <c:pt idx="3">
                  <c:v>-1.7590035762156231E-2</c:v>
                </c:pt>
                <c:pt idx="4">
                  <c:v>-9.1127199908665579E-2</c:v>
                </c:pt>
                <c:pt idx="5">
                  <c:v>-3.9423034716904004E-2</c:v>
                </c:pt>
                <c:pt idx="6">
                  <c:v>2.6392260343396146E-2</c:v>
                </c:pt>
                <c:pt idx="7">
                  <c:v>-5.4674959472031937E-3</c:v>
                </c:pt>
                <c:pt idx="8">
                  <c:v>3.9549579655177913E-2</c:v>
                </c:pt>
                <c:pt idx="9">
                  <c:v>4.5846176585218057E-3</c:v>
                </c:pt>
                <c:pt idx="10">
                  <c:v>1.0491345227980009E-2</c:v>
                </c:pt>
                <c:pt idx="11">
                  <c:v>2.9233271931066618E-2</c:v>
                </c:pt>
                <c:pt idx="12">
                  <c:v>3.8699964557842748E-2</c:v>
                </c:pt>
                <c:pt idx="13">
                  <c:v>-1.0848658051601734E-2</c:v>
                </c:pt>
                <c:pt idx="14">
                  <c:v>3.412665821932892E-3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7C3-473E-8274-982409E75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3858560"/>
        <c:axId val="83860096"/>
        <c:axId val="0"/>
      </c:bar3DChart>
      <c:catAx>
        <c:axId val="8385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83860096"/>
        <c:crosses val="autoZero"/>
        <c:auto val="1"/>
        <c:lblAlgn val="ctr"/>
        <c:lblOffset val="100"/>
        <c:noMultiLvlLbl val="1"/>
      </c:catAx>
      <c:valAx>
        <c:axId val="8386009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83858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Cotação Cobre Dolar</a:t>
            </a:r>
          </a:p>
        </c:rich>
      </c:tx>
      <c:layout>
        <c:manualLayout>
          <c:xMode val="edge"/>
          <c:yMode val="edge"/>
          <c:x val="0.36619365280567762"/>
          <c:y val="2.7164681066324244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2.1828103683492497E-2"/>
                  <c:y val="-4.07470215994863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7DB-41F3-B6B1-1AAFFC181074}"/>
                </c:ext>
              </c:extLst>
            </c:dLbl>
            <c:dLbl>
              <c:idx val="23"/>
              <c:layout>
                <c:manualLayout>
                  <c:x val="0"/>
                  <c:y val="-4.0747021599486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7DB-41F3-B6B1-1AAFFC1810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'2014'!$O$3:$O$26</c:f>
              <c:numCache>
                <c:formatCode>mmm\-yy</c:formatCode>
                <c:ptCount val="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</c:numCache>
            </c:numRef>
          </c:cat>
          <c:val>
            <c:numRef>
              <c:f>'2014'!$P$3:$P$26</c:f>
              <c:numCache>
                <c:formatCode>[$$-409]#,##0.00</c:formatCode>
                <c:ptCount val="24"/>
                <c:pt idx="0">
                  <c:v>8049.2454545454557</c:v>
                </c:pt>
                <c:pt idx="1">
                  <c:v>8070.4750000000004</c:v>
                </c:pt>
                <c:pt idx="2">
                  <c:v>7662.4</c:v>
                </c:pt>
                <c:pt idx="3">
                  <c:v>7203.3571428571431</c:v>
                </c:pt>
                <c:pt idx="4">
                  <c:v>7229.1428571428569</c:v>
                </c:pt>
                <c:pt idx="5">
                  <c:v>7004.05</c:v>
                </c:pt>
                <c:pt idx="6">
                  <c:v>6896.977272727273</c:v>
                </c:pt>
                <c:pt idx="7">
                  <c:v>7182.2619047619046</c:v>
                </c:pt>
                <c:pt idx="8">
                  <c:v>7161.4285714285716</c:v>
                </c:pt>
                <c:pt idx="9">
                  <c:v>7188.782608695652</c:v>
                </c:pt>
                <c:pt idx="10">
                  <c:v>7066.4047619047615</c:v>
                </c:pt>
                <c:pt idx="11">
                  <c:v>7202.95</c:v>
                </c:pt>
                <c:pt idx="12">
                  <c:v>7294.886363636364</c:v>
                </c:pt>
                <c:pt idx="13">
                  <c:v>7152.15</c:v>
                </c:pt>
                <c:pt idx="14">
                  <c:v>6667.8095238095239</c:v>
                </c:pt>
                <c:pt idx="15">
                  <c:v>6670.8249999999998</c:v>
                </c:pt>
                <c:pt idx="16">
                  <c:v>6883.875</c:v>
                </c:pt>
                <c:pt idx="17">
                  <c:v>6806.0952380952385</c:v>
                </c:pt>
                <c:pt idx="18">
                  <c:v>7104.847826086957</c:v>
                </c:pt>
                <c:pt idx="19">
                  <c:v>7000.55</c:v>
                </c:pt>
                <c:pt idx="20">
                  <c:v>6872.227272727273</c:v>
                </c:pt>
                <c:pt idx="21">
                  <c:v>6739.195652173913</c:v>
                </c:pt>
                <c:pt idx="22">
                  <c:v>6701.1350000000002</c:v>
                </c:pt>
                <c:pt idx="23">
                  <c:v>6422.9523809523807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DB-41F3-B6B1-1AAFFC181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895424"/>
        <c:axId val="83896960"/>
      </c:lineChart>
      <c:dateAx>
        <c:axId val="83895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3896960"/>
        <c:crosses val="autoZero"/>
        <c:auto val="1"/>
        <c:lblOffset val="100"/>
        <c:baseTimeUnit val="months"/>
      </c:dateAx>
      <c:valAx>
        <c:axId val="83896960"/>
        <c:scaling>
          <c:orientation val="minMax"/>
        </c:scaling>
        <c:delete val="0"/>
        <c:axPos val="l"/>
        <c:majorGridlines/>
        <c:numFmt formatCode="[$$-409]#,##0.00" sourceLinked="1"/>
        <c:majorTickMark val="out"/>
        <c:minorTickMark val="none"/>
        <c:tickLblPos val="nextTo"/>
        <c:crossAx val="83895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Cotação Cobre Reais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0"/>
              <c:layout>
                <c:manualLayout>
                  <c:x val="-2.1768707482993196E-2"/>
                  <c:y val="-2.96845953311819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AF-475A-ADA9-FDBDBA7EEA7B}"/>
                </c:ext>
              </c:extLst>
            </c:dLbl>
            <c:dLbl>
              <c:idx val="23"/>
              <c:layout>
                <c:manualLayout>
                  <c:x val="0"/>
                  <c:y val="-4.9474325551969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AF-475A-ADA9-FDBDBA7EEA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'2014'!$O$3:$O$26</c:f>
              <c:numCache>
                <c:formatCode>mmm\-yy</c:formatCode>
                <c:ptCount val="24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</c:numCache>
            </c:numRef>
          </c:cat>
          <c:val>
            <c:numRef>
              <c:f>'2014'!$R$3:$R$26</c:f>
              <c:numCache>
                <c:formatCode>"R$"\ #,##0.00</c:formatCode>
                <c:ptCount val="24"/>
                <c:pt idx="0">
                  <c:v>16364.920933636367</c:v>
                </c:pt>
                <c:pt idx="1">
                  <c:v>15912.555557500002</c:v>
                </c:pt>
                <c:pt idx="2">
                  <c:v>15212.928959999999</c:v>
                </c:pt>
                <c:pt idx="3">
                  <c:v>14413.917642857143</c:v>
                </c:pt>
                <c:pt idx="4">
                  <c:v>14704.07657142857</c:v>
                </c:pt>
                <c:pt idx="5">
                  <c:v>15198.788500000001</c:v>
                </c:pt>
                <c:pt idx="6">
                  <c:v>15536.682762727272</c:v>
                </c:pt>
                <c:pt idx="7">
                  <c:v>16802.901726190477</c:v>
                </c:pt>
                <c:pt idx="8">
                  <c:v>16264.320428571429</c:v>
                </c:pt>
                <c:pt idx="9">
                  <c:v>15720.429808695651</c:v>
                </c:pt>
                <c:pt idx="10">
                  <c:v>16235.77158095238</c:v>
                </c:pt>
                <c:pt idx="11">
                  <c:v>16911.086009999999</c:v>
                </c:pt>
                <c:pt idx="12">
                  <c:v>17368.394943181818</c:v>
                </c:pt>
                <c:pt idx="13">
                  <c:v>17062.884254999997</c:v>
                </c:pt>
                <c:pt idx="14">
                  <c:v>15507.991390476191</c:v>
                </c:pt>
                <c:pt idx="15">
                  <c:v>14896.619307499999</c:v>
                </c:pt>
                <c:pt idx="16">
                  <c:v>15289.774762499999</c:v>
                </c:pt>
                <c:pt idx="17">
                  <c:v>15206.177980952381</c:v>
                </c:pt>
                <c:pt idx="18">
                  <c:v>15807.575928260871</c:v>
                </c:pt>
                <c:pt idx="19">
                  <c:v>15880.047620000001</c:v>
                </c:pt>
                <c:pt idx="20">
                  <c:v>16046.650681818182</c:v>
                </c:pt>
                <c:pt idx="21">
                  <c:v>16515.746784782608</c:v>
                </c:pt>
                <c:pt idx="22">
                  <c:v>17154.905600000002</c:v>
                </c:pt>
                <c:pt idx="23">
                  <c:v>16968.797895238094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AF-475A-ADA9-FDBDBA7EE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31520"/>
        <c:axId val="83933056"/>
      </c:lineChart>
      <c:dateAx>
        <c:axId val="83931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83933056"/>
        <c:crosses val="autoZero"/>
        <c:auto val="1"/>
        <c:lblOffset val="100"/>
        <c:baseTimeUnit val="months"/>
      </c:dateAx>
      <c:valAx>
        <c:axId val="83933056"/>
        <c:scaling>
          <c:orientation val="minMax"/>
        </c:scaling>
        <c:delete val="0"/>
        <c:axPos val="l"/>
        <c:majorGridlines/>
        <c:numFmt formatCode="&quot;R$&quot;\ #,##0.00" sourceLinked="1"/>
        <c:majorTickMark val="out"/>
        <c:minorTickMark val="none"/>
        <c:tickLblPos val="nextTo"/>
        <c:crossAx val="83931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0FBC-4C4F-8BA1-0DB0234585D9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3-0FBC-4C4F-8BA1-0DB0234585D9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0FBC-4C4F-8BA1-0DB0234585D9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7-0FBC-4C4F-8BA1-0DB0234585D9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9-0FBC-4C4F-8BA1-0DB0234585D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B-0FBC-4C4F-8BA1-0DB0234585D9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D-0FBC-4C4F-8BA1-0DB0234585D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0FBC-4C4F-8BA1-0DB0234585D9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1-0FBC-4C4F-8BA1-0DB0234585D9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3-0FBC-4C4F-8BA1-0DB0234585D9}"/>
              </c:ext>
            </c:extLst>
          </c:dPt>
          <c:dPt>
            <c:idx val="10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15-0FBC-4C4F-8BA1-0DB0234585D9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7-0FBC-4C4F-8BA1-0DB0234585D9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0FBC-4C4F-8BA1-0DB0234585D9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0FBC-4C4F-8BA1-0DB0234585D9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0FBC-4C4F-8BA1-0DB0234585D9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0FBC-4C4F-8BA1-0DB0234585D9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0FBC-4C4F-8BA1-0DB0234585D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0FBC-4C4F-8BA1-0DB0234585D9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0FBC-4C4F-8BA1-0DB0234585D9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0FBC-4C4F-8BA1-0DB0234585D9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1-0FBC-4C4F-8BA1-0DB0234585D9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2-0FBC-4C4F-8BA1-0DB0234585D9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3-0FBC-4C4F-8BA1-0DB0234585D9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4-0FBC-4C4F-8BA1-0DB0234585D9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FBC-4C4F-8BA1-0DB0234585D9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FBC-4C4F-8BA1-0DB0234585D9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FBC-4C4F-8BA1-0DB0234585D9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BC-4C4F-8BA1-0DB0234585D9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BC-4C4F-8BA1-0DB0234585D9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BC-4C4F-8BA1-0DB0234585D9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0FBC-4C4F-8BA1-0DB0234585D9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0FBC-4C4F-8BA1-0DB0234585D9}"/>
                </c:ext>
              </c:extLst>
            </c:dLbl>
            <c:dLbl>
              <c:idx val="8"/>
              <c:layout>
                <c:manualLayout>
                  <c:x val="4.5229882204194841E-2"/>
                  <c:y val="2.6618395968337916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FBC-4C4F-8BA1-0DB0234585D9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0FBC-4C4F-8BA1-0DB0234585D9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0FBC-4C4F-8BA1-0DB0234585D9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0FBC-4C4F-8BA1-0DB0234585D9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FBC-4C4F-8BA1-0DB0234585D9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0FBC-4C4F-8BA1-0DB0234585D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0FBC-4C4F-8BA1-0DB0234585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'2015'!$O$24:$O$59</c:f>
              <c:numCache>
                <c:formatCode>mmm\-yy</c:formatCode>
                <c:ptCount val="13"/>
                <c:pt idx="0">
                  <c:v>41913</c:v>
                </c:pt>
                <c:pt idx="1">
                  <c:v>41944</c:v>
                </c:pt>
                <c:pt idx="2">
                  <c:v>41974</c:v>
                </c:pt>
                <c:pt idx="3">
                  <c:v>42005</c:v>
                </c:pt>
                <c:pt idx="4">
                  <c:v>42036</c:v>
                </c:pt>
                <c:pt idx="5">
                  <c:v>42064</c:v>
                </c:pt>
                <c:pt idx="6">
                  <c:v>42095</c:v>
                </c:pt>
                <c:pt idx="7">
                  <c:v>42125</c:v>
                </c:pt>
                <c:pt idx="8">
                  <c:v>42156</c:v>
                </c:pt>
                <c:pt idx="9">
                  <c:v>42186</c:v>
                </c:pt>
                <c:pt idx="10">
                  <c:v>42217</c:v>
                </c:pt>
                <c:pt idx="11">
                  <c:v>42248</c:v>
                </c:pt>
                <c:pt idx="12">
                  <c:v>42278</c:v>
                </c:pt>
              </c:numCache>
            </c:numRef>
          </c:cat>
          <c:val>
            <c:numRef>
              <c:f>'2015'!$Q$24:$Q$59</c:f>
              <c:numCache>
                <c:formatCode>0.00%</c:formatCode>
                <c:ptCount val="13"/>
                <c:pt idx="0">
                  <c:v>-1.9357861036014001E-2</c:v>
                </c:pt>
                <c:pt idx="1">
                  <c:v>-5.6476550226932654E-3</c:v>
                </c:pt>
                <c:pt idx="2">
                  <c:v>-4.1512761501987239E-2</c:v>
                </c:pt>
                <c:pt idx="3">
                  <c:v>-9.8362457555492888E-2</c:v>
                </c:pt>
                <c:pt idx="4">
                  <c:v>-1.5385478767262373E-2</c:v>
                </c:pt>
                <c:pt idx="5">
                  <c:v>3.8201840892089667E-2</c:v>
                </c:pt>
                <c:pt idx="6">
                  <c:v>1.8340284592738065E-2</c:v>
                </c:pt>
                <c:pt idx="7">
                  <c:v>4.5140379665992825E-2</c:v>
                </c:pt>
                <c:pt idx="8">
                  <c:v>-7.4118534218441168E-2</c:v>
                </c:pt>
                <c:pt idx="9">
                  <c:v>-6.4574141581339006E-2</c:v>
                </c:pt>
                <c:pt idx="10">
                  <c:v>-6.7435203849923075E-2</c:v>
                </c:pt>
                <c:pt idx="11">
                  <c:v>2.3416715532437404E-2</c:v>
                </c:pt>
                <c:pt idx="12">
                  <c:v>2.7884934280577589E-3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FBC-4C4F-8BA1-0DB023458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7267200"/>
        <c:axId val="87268736"/>
        <c:axId val="0"/>
      </c:bar3DChart>
      <c:dateAx>
        <c:axId val="87267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87268736"/>
        <c:crosses val="autoZero"/>
        <c:auto val="1"/>
        <c:lblOffset val="100"/>
        <c:baseTimeUnit val="months"/>
      </c:dateAx>
      <c:valAx>
        <c:axId val="87268736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crossAx val="8726720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47790165373059E-2"/>
          <c:y val="1.3561058525591307E-2"/>
          <c:w val="0.92288250102573777"/>
          <c:h val="0.972877690288713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'2015'!$S$2</c:f>
              <c:strCache>
                <c:ptCount val="1"/>
                <c:pt idx="0">
                  <c:v>Var Mês (%)</c:v>
                </c:pt>
              </c:strCache>
            </c:strRef>
          </c:tx>
          <c:spPr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50B8-4F70-B7A4-F1C5605BF1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50B8-4F70-B7A4-F1C5605BF1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50B8-4F70-B7A4-F1C5605BF12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50B8-4F70-B7A4-F1C5605BF12D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50B8-4F70-B7A4-F1C5605BF12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50B8-4F70-B7A4-F1C5605BF12D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50B8-4F70-B7A4-F1C5605BF12D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50B8-4F70-B7A4-F1C5605BF12D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50B8-4F70-B7A4-F1C5605BF12D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50B8-4F70-B7A4-F1C5605BF12D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50B8-4F70-B7A4-F1C5605BF12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50B8-4F70-B7A4-F1C5605BF12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50B8-4F70-B7A4-F1C5605BF12D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50B8-4F70-B7A4-F1C5605BF12D}"/>
              </c:ext>
            </c:extLst>
          </c:dPt>
          <c:dPt>
            <c:idx val="14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50B8-4F70-B7A4-F1C5605BF12D}"/>
              </c:ext>
            </c:extLst>
          </c:dPt>
          <c:dLbls>
            <c:dLbl>
              <c:idx val="0"/>
              <c:layout>
                <c:manualLayout>
                  <c:x val="3.7479493948624396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100" b="1"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B8-4F70-B7A4-F1C5605BF12D}"/>
                </c:ext>
              </c:extLst>
            </c:dLbl>
            <c:dLbl>
              <c:idx val="2"/>
              <c:layout>
                <c:manualLayout>
                  <c:x val="2.4917596394901516E-17"/>
                  <c:y val="-3.89800247323653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B8-4F70-B7A4-F1C5605BF12D}"/>
                </c:ext>
              </c:extLst>
            </c:dLbl>
            <c:dLbl>
              <c:idx val="3"/>
              <c:layout>
                <c:manualLayout>
                  <c:x val="0"/>
                  <c:y val="-9.6200110774048823E-3"/>
                </c:manualLayout>
              </c:layout>
              <c:spPr/>
              <c:txPr>
                <a:bodyPr/>
                <a:lstStyle/>
                <a:p>
                  <a:pPr>
                    <a:defRPr sz="1100" b="1"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B8-4F70-B7A4-F1C5605BF12D}"/>
                </c:ext>
              </c:extLst>
            </c:dLbl>
            <c:dLbl>
              <c:idx val="4"/>
              <c:layout>
                <c:manualLayout>
                  <c:x val="3.3235142243305212E-3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100" b="1"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B8-4F70-B7A4-F1C5605BF12D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sz="1000" b="1"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50B8-4F70-B7A4-F1C5605BF12D}"/>
                </c:ext>
              </c:extLst>
            </c:dLbl>
            <c:dLbl>
              <c:idx val="8"/>
              <c:layout>
                <c:manualLayout>
                  <c:x val="-7.5007509614769072E-4"/>
                  <c:y val="-6.71080582527307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0B8-4F70-B7A4-F1C5605BF12D}"/>
                </c:ext>
              </c:extLst>
            </c:dLbl>
            <c:dLbl>
              <c:idx val="9"/>
              <c:layout>
                <c:manualLayout>
                  <c:x val="1.6394733922906765E-3"/>
                  <c:y val="5.5107100385296181E-3"/>
                </c:manualLayout>
              </c:layout>
              <c:tx>
                <c:rich>
                  <a:bodyPr/>
                  <a:lstStyle/>
                  <a:p>
                    <a:r>
                      <a:rPr lang="en-US">
                        <a:solidFill>
                          <a:srgbClr val="C00000"/>
                        </a:solidFill>
                      </a:rPr>
                      <a:t>1,60%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50B8-4F70-B7A4-F1C5605BF12D}"/>
                </c:ext>
              </c:extLst>
            </c:dLbl>
            <c:dLbl>
              <c:idx val="10"/>
              <c:layout>
                <c:manualLayout>
                  <c:x val="-1.0702026151135912E-7"/>
                  <c:y val="2.0326394786621196E-3"/>
                </c:manualLayout>
              </c:layout>
              <c:spPr/>
              <c:txPr>
                <a:bodyPr/>
                <a:lstStyle/>
                <a:p>
                  <a:pPr>
                    <a:defRPr sz="1100" b="1">
                      <a:solidFill>
                        <a:srgbClr val="C0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0B8-4F70-B7A4-F1C5605BF12D}"/>
                </c:ext>
              </c:extLst>
            </c:dLbl>
            <c:dLbl>
              <c:idx val="11"/>
              <c:layout>
                <c:manualLayout>
                  <c:x val="0"/>
                  <c:y val="-2.3387861374754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0B8-4F70-B7A4-F1C5605BF12D}"/>
                </c:ext>
              </c:extLst>
            </c:dLbl>
            <c:dLbl>
              <c:idx val="12"/>
              <c:layout>
                <c:manualLayout>
                  <c:x val="1.7307316707735692E-3"/>
                  <c:y val="-2.9098434998046395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sz="1100"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0B8-4F70-B7A4-F1C5605BF12D}"/>
                </c:ext>
              </c:extLst>
            </c:dLbl>
            <c:dLbl>
              <c:idx val="13"/>
              <c:layout>
                <c:manualLayout>
                  <c:x val="6.2191180077385728E-3"/>
                  <c:y val="-2.671800293500386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0B8-4F70-B7A4-F1C5605BF12D}"/>
                </c:ext>
              </c:extLst>
            </c:dLbl>
            <c:dLbl>
              <c:idx val="14"/>
              <c:layout>
                <c:manualLayout>
                  <c:x val="1.5645373719112021E-2"/>
                  <c:y val="0"/>
                </c:manualLayout>
              </c:layout>
              <c:spPr/>
              <c:txPr>
                <a:bodyPr/>
                <a:lstStyle/>
                <a:p>
                  <a:pPr>
                    <a:defRPr sz="1100"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0B8-4F70-B7A4-F1C5605BF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accent3">
                        <a:lumMod val="50000"/>
                      </a:schemeClr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'2015'!$O$25:$O$61</c:f>
              <c:numCache>
                <c:formatCode>mmm\-yy</c:formatCode>
                <c:ptCount val="14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</c:numCache>
            </c:numRef>
          </c:cat>
          <c:val>
            <c:numRef>
              <c:f>'2015'!$S$25:$S$61</c:f>
              <c:numCache>
                <c:formatCode>0.00%</c:formatCode>
                <c:ptCount val="14"/>
                <c:pt idx="0">
                  <c:v>3.8699964557842748E-2</c:v>
                </c:pt>
                <c:pt idx="1">
                  <c:v>-1.0848658051601734E-2</c:v>
                </c:pt>
                <c:pt idx="2">
                  <c:v>-0.10000061956152395</c:v>
                </c:pt>
                <c:pt idx="3">
                  <c:v>5.1593399153158082E-2</c:v>
                </c:pt>
                <c:pt idx="4">
                  <c:v>0.15826359207777196</c:v>
                </c:pt>
                <c:pt idx="5">
                  <c:v>-1.0730151257293263E-2</c:v>
                </c:pt>
                <c:pt idx="6">
                  <c:v>4.5653962162143014E-2</c:v>
                </c:pt>
                <c:pt idx="7">
                  <c:v>-5.5776743557084174E-2</c:v>
                </c:pt>
                <c:pt idx="8">
                  <c:v>-3.3248112673627928E-2</c:v>
                </c:pt>
                <c:pt idx="9">
                  <c:v>1.6034386609514506E-2</c:v>
                </c:pt>
                <c:pt idx="10">
                  <c:v>0.13688000761348085</c:v>
                </c:pt>
                <c:pt idx="11">
                  <c:v>-3.2091377799084997E-3</c:v>
                </c:pt>
                <c:pt idx="12">
                  <c:v>-0.10173847330974595</c:v>
                </c:pt>
                <c:pt idx="13">
                  <c:v>-1.3146795826206148E-2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0B8-4F70-B7A4-F1C5605B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56448"/>
        <c:axId val="86857984"/>
      </c:barChart>
      <c:lineChart>
        <c:grouping val="stacked"/>
        <c:varyColors val="0"/>
        <c:ser>
          <c:idx val="1"/>
          <c:order val="1"/>
          <c:tx>
            <c:strRef>
              <c:f>'2015'!$T$2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1233731406830209E-2"/>
                  <c:y val="1.81494458980644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0B8-4F70-B7A4-F1C5605BF12D}"/>
                </c:ext>
              </c:extLst>
            </c:dLbl>
            <c:dLbl>
              <c:idx val="1"/>
              <c:layout>
                <c:manualLayout>
                  <c:x val="-1.985603862212457E-2"/>
                  <c:y val="2.6895346516528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0B8-4F70-B7A4-F1C5605BF12D}"/>
                </c:ext>
              </c:extLst>
            </c:dLbl>
            <c:dLbl>
              <c:idx val="2"/>
              <c:layout>
                <c:manualLayout>
                  <c:x val="1.1663068110369995E-3"/>
                  <c:y val="-1.4223412016712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0B8-4F70-B7A4-F1C5605BF12D}"/>
                </c:ext>
              </c:extLst>
            </c:dLbl>
            <c:dLbl>
              <c:idx val="3"/>
              <c:layout>
                <c:manualLayout>
                  <c:x val="-3.8729826944469477E-2"/>
                  <c:y val="-1.7018595234823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0B8-4F70-B7A4-F1C5605BF12D}"/>
                </c:ext>
              </c:extLst>
            </c:dLbl>
            <c:dLbl>
              <c:idx val="4"/>
              <c:layout>
                <c:manualLayout>
                  <c:x val="-2.8735032894283804E-2"/>
                  <c:y val="-2.83643253913718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0B8-4F70-B7A4-F1C5605BF12D}"/>
                </c:ext>
              </c:extLst>
            </c:dLbl>
            <c:dLbl>
              <c:idx val="5"/>
              <c:layout>
                <c:manualLayout>
                  <c:x val="-4.1228525457015892E-2"/>
                  <c:y val="-2.26914603130974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0B8-4F70-B7A4-F1C5605BF12D}"/>
                </c:ext>
              </c:extLst>
            </c:dLbl>
            <c:dLbl>
              <c:idx val="7"/>
              <c:layout>
                <c:manualLayout>
                  <c:x val="3.7480477688196265E-3"/>
                  <c:y val="-1.32366851826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0B8-4F70-B7A4-F1C5605BF12D}"/>
                </c:ext>
              </c:extLst>
            </c:dLbl>
            <c:dLbl>
              <c:idx val="8"/>
              <c:layout>
                <c:manualLayout>
                  <c:x val="-2.4873970264420311E-2"/>
                  <c:y val="-2.87126248319945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0B8-4F70-B7A4-F1C5605BF12D}"/>
                </c:ext>
              </c:extLst>
            </c:dLbl>
            <c:dLbl>
              <c:idx val="9"/>
              <c:layout>
                <c:manualLayout>
                  <c:x val="2.1191082001600949E-3"/>
                  <c:y val="8.91322770258179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0B8-4F70-B7A4-F1C5605BF12D}"/>
                </c:ext>
              </c:extLst>
            </c:dLbl>
            <c:dLbl>
              <c:idx val="10"/>
              <c:layout>
                <c:manualLayout>
                  <c:x val="-6.777764400245076E-2"/>
                  <c:y val="-1.82118051772225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0B8-4F70-B7A4-F1C5605BF12D}"/>
                </c:ext>
              </c:extLst>
            </c:dLbl>
            <c:dLbl>
              <c:idx val="11"/>
              <c:layout>
                <c:manualLayout>
                  <c:x val="-3.9059398920700664E-2"/>
                  <c:y val="-3.25036624342135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0B8-4F70-B7A4-F1C5605BF12D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0B8-4F70-B7A4-F1C5605BF12D}"/>
                </c:ext>
              </c:extLst>
            </c:dLbl>
            <c:dLbl>
              <c:idx val="13"/>
              <c:layout>
                <c:manualLayout>
                  <c:x val="-8.7554721701063164E-3"/>
                  <c:y val="1.84799907923890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0B8-4F70-B7A4-F1C5605BF12D}"/>
                </c:ext>
              </c:extLst>
            </c:dLbl>
            <c:dLbl>
              <c:idx val="14"/>
              <c:layout>
                <c:manualLayout>
                  <c:x val="-5.1275749622206317E-2"/>
                  <c:y val="-2.64733633246749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0B8-4F70-B7A4-F1C5605BF12D}"/>
                </c:ext>
              </c:extLst>
            </c:dLbl>
            <c:dLbl>
              <c:idx val="15"/>
              <c:layout>
                <c:manualLayout>
                  <c:x val="-5.0505050505051741E-3"/>
                  <c:y val="-2.67005734916766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0B8-4F70-B7A4-F1C5605BF1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'2015'!$O$25:$O$61</c:f>
              <c:numCache>
                <c:formatCode>mmm\-yy</c:formatCode>
                <c:ptCount val="14"/>
                <c:pt idx="0">
                  <c:v>41944</c:v>
                </c:pt>
                <c:pt idx="1">
                  <c:v>41974</c:v>
                </c:pt>
                <c:pt idx="2">
                  <c:v>42005</c:v>
                </c:pt>
                <c:pt idx="3">
                  <c:v>42036</c:v>
                </c:pt>
                <c:pt idx="4">
                  <c:v>42064</c:v>
                </c:pt>
                <c:pt idx="5">
                  <c:v>42095</c:v>
                </c:pt>
                <c:pt idx="6">
                  <c:v>42125</c:v>
                </c:pt>
                <c:pt idx="7">
                  <c:v>42156</c:v>
                </c:pt>
                <c:pt idx="8">
                  <c:v>42186</c:v>
                </c:pt>
                <c:pt idx="9">
                  <c:v>42217</c:v>
                </c:pt>
                <c:pt idx="10">
                  <c:v>42248</c:v>
                </c:pt>
                <c:pt idx="11">
                  <c:v>42278</c:v>
                </c:pt>
                <c:pt idx="12">
                  <c:v>42309</c:v>
                </c:pt>
                <c:pt idx="13">
                  <c:v>42339</c:v>
                </c:pt>
              </c:numCache>
            </c:numRef>
          </c:cat>
          <c:val>
            <c:numRef>
              <c:f>'2015'!$T$25:$T$61</c:f>
              <c:numCache>
                <c:formatCode>0.00%</c:formatCode>
                <c:ptCount val="14"/>
                <c:pt idx="0">
                  <c:v>1.4417736971819917E-2</c:v>
                </c:pt>
                <c:pt idx="1">
                  <c:v>3.412665821932892E-3</c:v>
                </c:pt>
                <c:pt idx="2">
                  <c:v>-0.10000061956152395</c:v>
                </c:pt>
                <c:pt idx="3">
                  <c:v>-5.3566592288966763E-2</c:v>
                </c:pt>
                <c:pt idx="4">
                  <c:v>9.6219358477787953E-2</c:v>
                </c:pt>
                <c:pt idx="5">
                  <c:v>8.4456758950148147E-2</c:v>
                </c:pt>
                <c:pt idx="6">
                  <c:v>0.13396650678973865</c:v>
                </c:pt>
                <c:pt idx="7">
                  <c:v>7.0717547738204933E-2</c:v>
                </c:pt>
                <c:pt idx="8">
                  <c:v>3.5118210069374545E-2</c:v>
                </c:pt>
                <c:pt idx="9">
                  <c:v>5.1715695636175285E-2</c:v>
                </c:pt>
                <c:pt idx="10">
                  <c:v>0.1956745480620723</c:v>
                </c:pt>
                <c:pt idx="11">
                  <c:v>0.19183746369741139</c:v>
                </c:pt>
                <c:pt idx="12">
                  <c:v>7.0581739707477054E-2</c:v>
                </c:pt>
                <c:pt idx="13">
                  <c:v>5.6507020160278199E-2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50B8-4F70-B7A4-F1C5605BF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885888"/>
        <c:axId val="86884352"/>
      </c:lineChart>
      <c:dateAx>
        <c:axId val="8685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6857984"/>
        <c:crosses val="autoZero"/>
        <c:auto val="1"/>
        <c:lblOffset val="100"/>
        <c:baseTimeUnit val="months"/>
      </c:dateAx>
      <c:valAx>
        <c:axId val="86857984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86856448"/>
        <c:crosses val="autoZero"/>
        <c:crossBetween val="between"/>
      </c:valAx>
      <c:valAx>
        <c:axId val="868843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86885888"/>
        <c:crosses val="max"/>
        <c:crossBetween val="between"/>
      </c:valAx>
      <c:dateAx>
        <c:axId val="8688588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688435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438369453349294"/>
          <c:y val="0.91251486178089281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5405-4027-A097-BD4B60C6869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405-4027-A097-BD4B60C6869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405-4027-A097-BD4B60C6869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405-4027-A097-BD4B60C6869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5405-4027-A097-BD4B60C6869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5405-4027-A097-BD4B60C6869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5405-4027-A097-BD4B60C6869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5405-4027-A097-BD4B60C6869A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5405-4027-A097-BD4B60C6869A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5405-4027-A097-BD4B60C6869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5405-4027-A097-BD4B60C6869A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5405-4027-A097-BD4B60C6869A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5405-4027-A097-BD4B60C6869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5405-4027-A097-BD4B60C6869A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5405-4027-A097-BD4B60C6869A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5405-4027-A097-BD4B60C6869A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5405-4027-A097-BD4B60C6869A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5405-4027-A097-BD4B60C6869A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5405-4027-A097-BD4B60C6869A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5405-4027-A097-BD4B60C6869A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5405-4027-A097-BD4B60C6869A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5405-4027-A097-BD4B60C6869A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5405-4027-A097-BD4B60C6869A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5405-4027-A097-BD4B60C6869A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05-4027-A097-BD4B60C6869A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405-4027-A097-BD4B60C6869A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5405-4027-A097-BD4B60C6869A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05-4027-A097-BD4B60C6869A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05-4027-A097-BD4B60C6869A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405-4027-A097-BD4B60C6869A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5405-4027-A097-BD4B60C6869A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5405-4027-A097-BD4B60C6869A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405-4027-A097-BD4B60C6869A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5405-4027-A097-BD4B60C6869A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5405-4027-A097-BD4B60C6869A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5405-4027-A097-BD4B60C6869A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405-4027-A097-BD4B60C6869A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405-4027-A097-BD4B60C6869A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5405-4027-A097-BD4B60C6869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5405-4027-A097-BD4B60C68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405-4027-A097-BD4B60C68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88709760"/>
        <c:axId val="88736128"/>
        <c:axId val="0"/>
      </c:bar3DChart>
      <c:dateAx>
        <c:axId val="887097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88736128"/>
        <c:crosses val="autoZero"/>
        <c:auto val="1"/>
        <c:lblOffset val="100"/>
        <c:baseTimeUnit val="months"/>
      </c:dateAx>
      <c:valAx>
        <c:axId val="8873612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8870976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82F2-4C59-AFD5-EB6B030FD97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82F2-4C59-AFD5-EB6B030FD972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82F2-4C59-AFD5-EB6B030FD972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82F2-4C59-AFD5-EB6B030FD97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82F2-4C59-AFD5-EB6B030FD97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82F2-4C59-AFD5-EB6B030FD97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82F2-4C59-AFD5-EB6B030FD972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82F2-4C59-AFD5-EB6B030FD972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82F2-4C59-AFD5-EB6B030FD972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82F2-4C59-AFD5-EB6B030FD97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82F2-4C59-AFD5-EB6B030FD97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82F2-4C59-AFD5-EB6B030FD97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82F2-4C59-AFD5-EB6B030FD972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82F2-4C59-AFD5-EB6B030FD972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82F2-4C59-AFD5-EB6B030FD972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82F2-4C59-AFD5-EB6B030FD972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82F2-4C59-AFD5-EB6B030FD972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F2-4C59-AFD5-EB6B030FD97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2F2-4C59-AFD5-EB6B030F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73536"/>
        <c:axId val="89075072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2F2-4C59-AFD5-EB6B030FD972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2F2-4C59-AFD5-EB6B030FD972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2F2-4C59-AFD5-EB6B030FD972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2F2-4C59-AFD5-EB6B030FD972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2F2-4C59-AFD5-EB6B030FD972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2F2-4C59-AFD5-EB6B030FD972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2F2-4C59-AFD5-EB6B030FD972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2F2-4C59-AFD5-EB6B030FD972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2F2-4C59-AFD5-EB6B030FD972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2F2-4C59-AFD5-EB6B030FD972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2F2-4C59-AFD5-EB6B030FD972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2F2-4C59-AFD5-EB6B030FD972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2F2-4C59-AFD5-EB6B030FD972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2F2-4C59-AFD5-EB6B030FD972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2F2-4C59-AFD5-EB6B030FD972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2F2-4C59-AFD5-EB6B030FD972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2F2-4C59-AFD5-EB6B030FD972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2F2-4C59-AFD5-EB6B030FD9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2F2-4C59-AFD5-EB6B030FD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02976"/>
        <c:axId val="89101440"/>
      </c:lineChart>
      <c:dateAx>
        <c:axId val="89073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9075072"/>
        <c:crosses val="autoZero"/>
        <c:auto val="1"/>
        <c:lblOffset val="100"/>
        <c:baseTimeUnit val="months"/>
      </c:dateAx>
      <c:valAx>
        <c:axId val="89075072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89073536"/>
        <c:crosses val="autoZero"/>
        <c:crossBetween val="between"/>
      </c:valAx>
      <c:valAx>
        <c:axId val="8910144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89102976"/>
        <c:crosses val="max"/>
        <c:crossBetween val="between"/>
      </c:valAx>
      <c:dateAx>
        <c:axId val="8910297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89101440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1CBA-4B30-B24C-8ED0551E8A6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1CBA-4B30-B24C-8ED0551E8A6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CBA-4B30-B24C-8ED0551E8A60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CBA-4B30-B24C-8ED0551E8A60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1CBA-4B30-B24C-8ED0551E8A60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1CBA-4B30-B24C-8ED0551E8A60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1CBA-4B30-B24C-8ED0551E8A6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1CBA-4B30-B24C-8ED0551E8A60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1CBA-4B30-B24C-8ED0551E8A6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1CBA-4B30-B24C-8ED0551E8A60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1CBA-4B30-B24C-8ED0551E8A60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1CBA-4B30-B24C-8ED0551E8A60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CBA-4B30-B24C-8ED0551E8A60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1CBA-4B30-B24C-8ED0551E8A60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1CBA-4B30-B24C-8ED0551E8A60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1CBA-4B30-B24C-8ED0551E8A60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1CBA-4B30-B24C-8ED0551E8A60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1CBA-4B30-B24C-8ED0551E8A60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1CBA-4B30-B24C-8ED0551E8A60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1CBA-4B30-B24C-8ED0551E8A60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1CBA-4B30-B24C-8ED0551E8A60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1CBA-4B30-B24C-8ED0551E8A60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1CBA-4B30-B24C-8ED0551E8A60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1CBA-4B30-B24C-8ED0551E8A60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CBA-4B30-B24C-8ED0551E8A60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CBA-4B30-B24C-8ED0551E8A60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CBA-4B30-B24C-8ED0551E8A60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BA-4B30-B24C-8ED0551E8A60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BA-4B30-B24C-8ED0551E8A60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BA-4B30-B24C-8ED0551E8A60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CBA-4B30-B24C-8ED0551E8A60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CBA-4B30-B24C-8ED0551E8A60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BA-4B30-B24C-8ED0551E8A60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CBA-4B30-B24C-8ED0551E8A60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CBA-4B30-B24C-8ED0551E8A60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1CBA-4B30-B24C-8ED0551E8A60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BA-4B30-B24C-8ED0551E8A60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BA-4B30-B24C-8ED0551E8A60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1CBA-4B30-B24C-8ED0551E8A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1CBA-4B30-B24C-8ED0551E8A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CBA-4B30-B24C-8ED0551E8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91817088"/>
        <c:axId val="91818624"/>
        <c:axId val="0"/>
      </c:bar3DChart>
      <c:dateAx>
        <c:axId val="91817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91818624"/>
        <c:crosses val="autoZero"/>
        <c:auto val="1"/>
        <c:lblOffset val="100"/>
        <c:baseTimeUnit val="months"/>
      </c:dateAx>
      <c:valAx>
        <c:axId val="91818624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91817088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8A0B-41B9-AAA4-2E958AE51FD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8A0B-41B9-AAA4-2E958AE51FD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8A0B-41B9-AAA4-2E958AE51FD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8A0B-41B9-AAA4-2E958AE51FD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8A0B-41B9-AAA4-2E958AE51FD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8A0B-41B9-AAA4-2E958AE51FD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8A0B-41B9-AAA4-2E958AE51FDD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8A0B-41B9-AAA4-2E958AE51FDD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8A0B-41B9-AAA4-2E958AE51FDD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8A0B-41B9-AAA4-2E958AE51FD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8A0B-41B9-AAA4-2E958AE51FD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8A0B-41B9-AAA4-2E958AE51FD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8A0B-41B9-AAA4-2E958AE51FDD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8A0B-41B9-AAA4-2E958AE51FDD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8A0B-41B9-AAA4-2E958AE51FDD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8A0B-41B9-AAA4-2E958AE51FD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8A0B-41B9-AAA4-2E958AE51FDD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0B-41B9-AAA4-2E958AE51F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A0B-41B9-AAA4-2E958AE5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014272"/>
        <c:axId val="9302425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A0B-41B9-AAA4-2E958AE51FDD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A0B-41B9-AAA4-2E958AE51FDD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A0B-41B9-AAA4-2E958AE51FDD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A0B-41B9-AAA4-2E958AE51FDD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A0B-41B9-AAA4-2E958AE51FDD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A0B-41B9-AAA4-2E958AE51FDD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A0B-41B9-AAA4-2E958AE51FDD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A0B-41B9-AAA4-2E958AE51FDD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A0B-41B9-AAA4-2E958AE51FDD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A0B-41B9-AAA4-2E958AE51FDD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A0B-41B9-AAA4-2E958AE51FDD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A0B-41B9-AAA4-2E958AE51FDD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A0B-41B9-AAA4-2E958AE51FDD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A0B-41B9-AAA4-2E958AE51FDD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A0B-41B9-AAA4-2E958AE51FDD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A0B-41B9-AAA4-2E958AE51FDD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A0B-41B9-AAA4-2E958AE51FDD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A0B-41B9-AAA4-2E958AE51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A0B-41B9-AAA4-2E958AE51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27328"/>
        <c:axId val="93025792"/>
      </c:lineChart>
      <c:dateAx>
        <c:axId val="930142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3024256"/>
        <c:crosses val="autoZero"/>
        <c:auto val="1"/>
        <c:lblOffset val="100"/>
        <c:baseTimeUnit val="months"/>
      </c:dateAx>
      <c:valAx>
        <c:axId val="9302425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93014272"/>
        <c:crosses val="autoZero"/>
        <c:crossBetween val="between"/>
      </c:valAx>
      <c:valAx>
        <c:axId val="930257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3027328"/>
        <c:crosses val="max"/>
        <c:crossBetween val="between"/>
      </c:valAx>
      <c:dateAx>
        <c:axId val="9302732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9302579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u="none" strike="noStrike" baseline="0">
                <a:effectLst/>
              </a:rPr>
              <a:t>Cotação Média Mensal Cobre (</a:t>
            </a:r>
            <a:r>
              <a:rPr lang="en-US"/>
              <a:t>US$)</a:t>
            </a:r>
          </a:p>
        </c:rich>
      </c:tx>
      <c:overlay val="0"/>
      <c:spPr>
        <a:solidFill>
          <a:srgbClr val="FFFF00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7"/>
              <c:layout>
                <c:manualLayout>
                  <c:x val="-1.9260514293018016E-2"/>
                  <c:y val="-7.16957222452456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6C-4939-A03E-862789EAD3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'2016'!$O$27:$O$72</c:f>
              <c:numCache>
                <c:formatCode>mmm\-yy</c:formatCode>
                <c:ptCount val="23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</c:numCache>
            </c:numRef>
          </c:cat>
          <c:val>
            <c:numRef>
              <c:f>'2016'!$P$27:$P$72</c:f>
              <c:numCache>
                <c:formatCode>[$$-409]#,##0.00</c:formatCode>
                <c:ptCount val="23"/>
                <c:pt idx="0">
                  <c:v>5791.1750000000002</c:v>
                </c:pt>
                <c:pt idx="1">
                  <c:v>5702.0749999999998</c:v>
                </c:pt>
                <c:pt idx="2">
                  <c:v>5919.9047619047615</c:v>
                </c:pt>
                <c:pt idx="3">
                  <c:v>6028.4775</c:v>
                </c:pt>
                <c:pt idx="4">
                  <c:v>6300.605263157895</c:v>
                </c:pt>
                <c:pt idx="5">
                  <c:v>5833.613636363636</c:v>
                </c:pt>
                <c:pt idx="6">
                  <c:v>5456.913043478261</c:v>
                </c:pt>
                <c:pt idx="7">
                  <c:v>5088.9250000000002</c:v>
                </c:pt>
                <c:pt idx="8">
                  <c:v>5208.090909090909</c:v>
                </c:pt>
                <c:pt idx="9">
                  <c:v>5222.613636363636</c:v>
                </c:pt>
                <c:pt idx="10">
                  <c:v>4808.2380952380954</c:v>
                </c:pt>
                <c:pt idx="11">
                  <c:v>4629</c:v>
                </c:pt>
                <c:pt idx="12">
                  <c:v>4462.75</c:v>
                </c:pt>
                <c:pt idx="13">
                  <c:v>4595.4761904761908</c:v>
                </c:pt>
                <c:pt idx="14">
                  <c:v>4947.5476190476193</c:v>
                </c:pt>
                <c:pt idx="15">
                  <c:v>4851.3571428571431</c:v>
                </c:pt>
                <c:pt idx="16">
                  <c:v>4708.3500000000004</c:v>
                </c:pt>
                <c:pt idx="17">
                  <c:v>4635.181818181818</c:v>
                </c:pt>
                <c:pt idx="18">
                  <c:v>4855.4761904761908</c:v>
                </c:pt>
                <c:pt idx="19">
                  <c:v>4757.965909090909</c:v>
                </c:pt>
                <c:pt idx="20">
                  <c:v>4705.625</c:v>
                </c:pt>
                <c:pt idx="21">
                  <c:v>4732.1428571428569</c:v>
                </c:pt>
                <c:pt idx="22">
                  <c:v>5443.25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6C-4939-A03E-862789EAD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079040"/>
        <c:axId val="93080576"/>
      </c:lineChart>
      <c:dateAx>
        <c:axId val="930790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93080576"/>
        <c:crosses val="autoZero"/>
        <c:auto val="1"/>
        <c:lblOffset val="100"/>
        <c:baseTimeUnit val="months"/>
      </c:dateAx>
      <c:valAx>
        <c:axId val="93080576"/>
        <c:scaling>
          <c:orientation val="minMax"/>
        </c:scaling>
        <c:delete val="0"/>
        <c:axPos val="l"/>
        <c:numFmt formatCode="[$$-409]#,##0.00" sourceLinked="1"/>
        <c:majorTickMark val="out"/>
        <c:minorTickMark val="none"/>
        <c:tickLblPos val="nextTo"/>
        <c:crossAx val="930790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39370078740157483" l="0.51181102362204722" r="0.51181102362204722" t="0.39370078740157483" header="0.31496062992125984" footer="0.31496062992125984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Cotação Média Mensal</a:t>
            </a:r>
            <a:r>
              <a:rPr lang="pt-BR" baseline="0"/>
              <a:t> </a:t>
            </a:r>
            <a:r>
              <a:rPr lang="pt-BR"/>
              <a:t>Cobre</a:t>
            </a:r>
            <a:r>
              <a:rPr lang="pt-BR" baseline="0"/>
              <a:t> (</a:t>
            </a:r>
            <a:r>
              <a:rPr lang="pt-BR"/>
              <a:t>R$) </a:t>
            </a:r>
          </a:p>
        </c:rich>
      </c:tx>
      <c:overlay val="0"/>
      <c:spPr>
        <a:solidFill>
          <a:srgbClr val="FFFF00"/>
        </a:solidFill>
      </c:spPr>
    </c:title>
    <c:autoTitleDeleted val="0"/>
    <c:plotArea>
      <c:layout>
        <c:manualLayout>
          <c:layoutTarget val="inner"/>
          <c:xMode val="edge"/>
          <c:yMode val="edge"/>
          <c:x val="8.7914199404319743E-2"/>
          <c:y val="0.13269914624103138"/>
          <c:w val="0.9120857709919703"/>
          <c:h val="0.75809299621394732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4.289085545722713E-2"/>
                  <c:y val="6.6239501312335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CCA-49E8-9291-A222E2D6A28D}"/>
                </c:ext>
              </c:extLst>
            </c:dLbl>
            <c:dLbl>
              <c:idx val="2"/>
              <c:layout>
                <c:manualLayout>
                  <c:x val="-9.1921231157580718E-2"/>
                  <c:y val="-3.88560458120914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CA-49E8-9291-A222E2D6A28D}"/>
                </c:ext>
              </c:extLst>
            </c:dLbl>
            <c:dLbl>
              <c:idx val="3"/>
              <c:layout>
                <c:manualLayout>
                  <c:x val="-5.9197472180543401E-2"/>
                  <c:y val="-6.05462135594410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CCA-49E8-9291-A222E2D6A28D}"/>
                </c:ext>
              </c:extLst>
            </c:dLbl>
            <c:dLbl>
              <c:idx val="4"/>
              <c:layout>
                <c:manualLayout>
                  <c:x val="-4.8360058683887666E-2"/>
                  <c:y val="-5.9474747814098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CA-49E8-9291-A222E2D6A28D}"/>
                </c:ext>
              </c:extLst>
            </c:dLbl>
            <c:dLbl>
              <c:idx val="5"/>
              <c:layout>
                <c:manualLayout>
                  <c:x val="-4.7520569362791913E-2"/>
                  <c:y val="-5.8760420184497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CA-49E8-9291-A222E2D6A28D}"/>
                </c:ext>
              </c:extLst>
            </c:dLbl>
            <c:dLbl>
              <c:idx val="7"/>
              <c:layout>
                <c:manualLayout>
                  <c:x val="-4.0114915410854449E-2"/>
                  <c:y val="-6.27128998473718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CA-49E8-9291-A222E2D6A28D}"/>
                </c:ext>
              </c:extLst>
            </c:dLbl>
            <c:dLbl>
              <c:idx val="9"/>
              <c:layout>
                <c:manualLayout>
                  <c:x val="-2.135157695452003E-2"/>
                  <c:y val="-4.77059766856451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CA-49E8-9291-A222E2D6A28D}"/>
                </c:ext>
              </c:extLst>
            </c:dLbl>
            <c:dLbl>
              <c:idx val="11"/>
              <c:layout>
                <c:manualLayout>
                  <c:x val="-5.1331231866197945E-2"/>
                  <c:y val="4.2363611445382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CA-49E8-9291-A222E2D6A28D}"/>
                </c:ext>
              </c:extLst>
            </c:dLbl>
            <c:dLbl>
              <c:idx val="12"/>
              <c:layout>
                <c:manualLayout>
                  <c:x val="-5.8594179022515104E-2"/>
                  <c:y val="-4.72162737557568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CCA-49E8-9291-A222E2D6A28D}"/>
                </c:ext>
              </c:extLst>
            </c:dLbl>
            <c:dLbl>
              <c:idx val="13"/>
              <c:layout>
                <c:manualLayout>
                  <c:x val="-1.3230767900305708E-2"/>
                  <c:y val="-5.68461213460675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CA-49E8-9291-A222E2D6A28D}"/>
                </c:ext>
              </c:extLst>
            </c:dLbl>
            <c:dLbl>
              <c:idx val="14"/>
              <c:layout>
                <c:manualLayout>
                  <c:x val="-1.1297620584312208E-2"/>
                  <c:y val="-1.93779541190487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CA-49E8-9291-A222E2D6A28D}"/>
                </c:ext>
              </c:extLst>
            </c:dLbl>
            <c:dLbl>
              <c:idx val="15"/>
              <c:layout>
                <c:manualLayout>
                  <c:x val="-2.3959269242288112E-3"/>
                  <c:y val="-2.93709674552531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CA-49E8-9291-A222E2D6A28D}"/>
                </c:ext>
              </c:extLst>
            </c:dLbl>
            <c:dLbl>
              <c:idx val="16"/>
              <c:layout>
                <c:manualLayout>
                  <c:x val="-1.1979634621144056E-3"/>
                  <c:y val="3.7644549510317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CCA-49E8-9291-A222E2D6A28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'2016'!$O$27:$O$72</c:f>
              <c:numCache>
                <c:formatCode>mmm\-yy</c:formatCode>
                <c:ptCount val="23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</c:numCache>
            </c:numRef>
          </c:cat>
          <c:val>
            <c:numRef>
              <c:f>'2016'!$R$27:$R$72</c:f>
              <c:numCache>
                <c:formatCode>"R$"\ #,##0.00</c:formatCode>
                <c:ptCount val="23"/>
                <c:pt idx="0">
                  <c:v>15271.907592500002</c:v>
                </c:pt>
                <c:pt idx="1">
                  <c:v>16059.837216749998</c:v>
                </c:pt>
                <c:pt idx="2">
                  <c:v>18601.524742857142</c:v>
                </c:pt>
                <c:pt idx="3">
                  <c:v>18401.927568750001</c:v>
                </c:pt>
                <c:pt idx="4">
                  <c:v>19242.048473684212</c:v>
                </c:pt>
                <c:pt idx="5">
                  <c:v>18168.789670454546</c:v>
                </c:pt>
                <c:pt idx="6">
                  <c:v>17564.711704347825</c:v>
                </c:pt>
                <c:pt idx="7">
                  <c:v>17846.351082500001</c:v>
                </c:pt>
                <c:pt idx="8">
                  <c:v>20289.159754545453</c:v>
                </c:pt>
                <c:pt idx="9">
                  <c:v>20224.049045454543</c:v>
                </c:pt>
                <c:pt idx="10">
                  <c:v>18166.485171428572</c:v>
                </c:pt>
                <c:pt idx="11">
                  <c:v>17927.6541</c:v>
                </c:pt>
                <c:pt idx="12">
                  <c:v>18027.278625000003</c:v>
                </c:pt>
                <c:pt idx="13">
                  <c:v>18233.011333333336</c:v>
                </c:pt>
                <c:pt idx="14">
                  <c:v>18272.77762142857</c:v>
                </c:pt>
                <c:pt idx="15">
                  <c:v>17299.454435714288</c:v>
                </c:pt>
                <c:pt idx="16">
                  <c:v>16669.913175000002</c:v>
                </c:pt>
                <c:pt idx="17">
                  <c:v>15898.673636363637</c:v>
                </c:pt>
                <c:pt idx="18">
                  <c:v>15885.175904761905</c:v>
                </c:pt>
                <c:pt idx="19">
                  <c:v>15271.167381818181</c:v>
                </c:pt>
                <c:pt idx="20">
                  <c:v>15323.39725</c:v>
                </c:pt>
                <c:pt idx="21">
                  <c:v>15097.428571428571</c:v>
                </c:pt>
                <c:pt idx="22">
                  <c:v>18126.022499999999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CCA-49E8-9291-A222E2D6A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469248"/>
        <c:axId val="104470784"/>
      </c:lineChart>
      <c:dateAx>
        <c:axId val="1044692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4470784"/>
        <c:crosses val="autoZero"/>
        <c:auto val="1"/>
        <c:lblOffset val="100"/>
        <c:baseTimeUnit val="months"/>
      </c:dateAx>
      <c:valAx>
        <c:axId val="104470784"/>
        <c:scaling>
          <c:orientation val="minMax"/>
        </c:scaling>
        <c:delete val="0"/>
        <c:axPos val="l"/>
        <c:numFmt formatCode="&quot;R$&quot;\ #,##0.00" sourceLinked="1"/>
        <c:majorTickMark val="out"/>
        <c:minorTickMark val="none"/>
        <c:tickLblPos val="nextTo"/>
        <c:crossAx val="104469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/>
            </a:pPr>
            <a:r>
              <a:rPr lang="pt-BR" sz="2200"/>
              <a:t>Cotação Média Dolar - 2013 a  2016</a:t>
            </a:r>
          </a:p>
          <a:p>
            <a:pPr>
              <a:defRPr sz="2200"/>
            </a:pPr>
            <a:r>
              <a:rPr lang="pt-BR" sz="2200"/>
              <a:t> 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8770944744330469E-2"/>
          <c:y val="2.8944181788978365E-2"/>
          <c:w val="0.93415040988168885"/>
          <c:h val="0.8240982209098829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'Dolar Medio'!$B$1</c:f>
              <c:strCache>
                <c:ptCount val="1"/>
                <c:pt idx="0">
                  <c:v>Ano 2013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2423325096114473E-3"/>
                  <c:y val="-1.832759669935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AF-415C-865E-F95ACFEC4B80}"/>
                </c:ext>
              </c:extLst>
            </c:dLbl>
            <c:dLbl>
              <c:idx val="1"/>
              <c:layout>
                <c:manualLayout>
                  <c:x val="-4.5551665802355977E-17"/>
                  <c:y val="-2.016035636929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AF-415C-865E-F95ACFEC4B80}"/>
                </c:ext>
              </c:extLst>
            </c:dLbl>
            <c:dLbl>
              <c:idx val="2"/>
              <c:layout>
                <c:manualLayout>
                  <c:x val="0"/>
                  <c:y val="-2.19931160392303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AF-415C-865E-F95ACFEC4B80}"/>
                </c:ext>
              </c:extLst>
            </c:dLbl>
            <c:dLbl>
              <c:idx val="7"/>
              <c:layout>
                <c:manualLayout>
                  <c:x val="-7.2529465095194923E-3"/>
                  <c:y val="-1.83275966993585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AF-415C-865E-F95ACFEC4B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>
                    <a:solidFill>
                      <a:srgbClr val="3333FF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Medio'!$B$2:$B$12</c:f>
              <c:numCache>
                <c:formatCode>0.00</c:formatCode>
                <c:ptCount val="11"/>
                <c:pt idx="0">
                  <c:v>2.0331000000000001</c:v>
                </c:pt>
                <c:pt idx="1">
                  <c:v>1.9717</c:v>
                </c:pt>
                <c:pt idx="2">
                  <c:v>1.9854000000000001</c:v>
                </c:pt>
                <c:pt idx="3">
                  <c:v>2.0009999999999999</c:v>
                </c:pt>
                <c:pt idx="4">
                  <c:v>2.0339999999999998</c:v>
                </c:pt>
                <c:pt idx="5">
                  <c:v>2.17</c:v>
                </c:pt>
                <c:pt idx="6">
                  <c:v>2.2526799999999998</c:v>
                </c:pt>
                <c:pt idx="7">
                  <c:v>2.3395000000000001</c:v>
                </c:pt>
                <c:pt idx="8">
                  <c:v>2.2711000000000001</c:v>
                </c:pt>
                <c:pt idx="9">
                  <c:v>2.1867999999999999</c:v>
                </c:pt>
                <c:pt idx="10">
                  <c:v>2.2976000000000001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F-415C-865E-F95ACFEC4B80}"/>
            </c:ext>
          </c:extLst>
        </c:ser>
        <c:ser>
          <c:idx val="1"/>
          <c:order val="1"/>
          <c:tx>
            <c:strRef>
              <c:f>'Dolar Medio'!$C$1</c:f>
              <c:strCache>
                <c:ptCount val="1"/>
                <c:pt idx="0">
                  <c:v>Ano 2014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2775832901177989E-17"/>
                  <c:y val="-2.199311603923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AF-415C-865E-F95ACFEC4B80}"/>
                </c:ext>
              </c:extLst>
            </c:dLbl>
            <c:dLbl>
              <c:idx val="1"/>
              <c:layout>
                <c:manualLayout>
                  <c:x val="0"/>
                  <c:y val="-1.4662077359486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AF-415C-865E-F95ACFEC4B80}"/>
                </c:ext>
              </c:extLst>
            </c:dLbl>
            <c:dLbl>
              <c:idx val="2"/>
              <c:layout>
                <c:manualLayout>
                  <c:x val="1.2423325096114473E-3"/>
                  <c:y val="-2.199311603923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6AF-415C-865E-F95ACFEC4B80}"/>
                </c:ext>
              </c:extLst>
            </c:dLbl>
            <c:dLbl>
              <c:idx val="6"/>
              <c:layout>
                <c:manualLayout>
                  <c:x val="1.445347649735740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6AF-415C-865E-F95ACFEC4B80}"/>
                </c:ext>
              </c:extLst>
            </c:dLbl>
            <c:dLbl>
              <c:idx val="7"/>
              <c:layout>
                <c:manualLayout>
                  <c:x val="1.4505893019038985E-2"/>
                  <c:y val="-5.49827900980757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6AF-415C-865E-F95ACFEC4B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Medio'!$C$2:$C$12</c:f>
              <c:numCache>
                <c:formatCode>0.00</c:formatCode>
                <c:ptCount val="11"/>
                <c:pt idx="0">
                  <c:v>2.3809</c:v>
                </c:pt>
                <c:pt idx="1">
                  <c:v>2.3856999999999999</c:v>
                </c:pt>
                <c:pt idx="2">
                  <c:v>2.3258000000000001</c:v>
                </c:pt>
                <c:pt idx="3">
                  <c:v>2.2330999999999999</c:v>
                </c:pt>
                <c:pt idx="4">
                  <c:v>2.2210999999999999</c:v>
                </c:pt>
                <c:pt idx="5">
                  <c:v>2.2342</c:v>
                </c:pt>
                <c:pt idx="6">
                  <c:v>2.2248999999999999</c:v>
                </c:pt>
                <c:pt idx="7">
                  <c:v>2.2684000000000002</c:v>
                </c:pt>
                <c:pt idx="8">
                  <c:v>2.335</c:v>
                </c:pt>
                <c:pt idx="9">
                  <c:v>2.4506999999999999</c:v>
                </c:pt>
                <c:pt idx="10">
                  <c:v>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AF-415C-865E-F95ACFEC4B80}"/>
            </c:ext>
          </c:extLst>
        </c:ser>
        <c:ser>
          <c:idx val="2"/>
          <c:order val="2"/>
          <c:tx>
            <c:strRef>
              <c:f>'Dolar Medio'!$D$1</c:f>
              <c:strCache>
                <c:ptCount val="1"/>
                <c:pt idx="0">
                  <c:v>Ano 2015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1.8327596699358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AF-415C-865E-F95ACFEC4B80}"/>
                </c:ext>
              </c:extLst>
            </c:dLbl>
            <c:dLbl>
              <c:idx val="1"/>
              <c:layout>
                <c:manualLayout>
                  <c:x val="-2.4846650192228946E-3"/>
                  <c:y val="-1.46620773594868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AF-415C-865E-F95ACFEC4B80}"/>
                </c:ext>
              </c:extLst>
            </c:dLbl>
            <c:dLbl>
              <c:idx val="2"/>
              <c:layout>
                <c:manualLayout>
                  <c:x val="0"/>
                  <c:y val="-1.46620773594868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6AF-415C-865E-F95ACFEC4B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Medio'!$D$2:$D$12</c:f>
              <c:numCache>
                <c:formatCode>0.00</c:formatCode>
                <c:ptCount val="11"/>
                <c:pt idx="0">
                  <c:v>2.6371000000000002</c:v>
                </c:pt>
                <c:pt idx="1">
                  <c:v>2.8164899999999999</c:v>
                </c:pt>
                <c:pt idx="2">
                  <c:v>3.1421999999999999</c:v>
                </c:pt>
                <c:pt idx="3">
                  <c:v>3.0525000000000002</c:v>
                </c:pt>
                <c:pt idx="4">
                  <c:v>3.0539999999999998</c:v>
                </c:pt>
                <c:pt idx="5">
                  <c:v>3.1145</c:v>
                </c:pt>
                <c:pt idx="6">
                  <c:v>3.2187999999999999</c:v>
                </c:pt>
                <c:pt idx="7">
                  <c:v>3.5068999999999999</c:v>
                </c:pt>
                <c:pt idx="8">
                  <c:v>3.8957000000000002</c:v>
                </c:pt>
                <c:pt idx="9">
                  <c:v>3.8723999999999998</c:v>
                </c:pt>
                <c:pt idx="10">
                  <c:v>3.7782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AF-415C-865E-F95ACFEC4B80}"/>
            </c:ext>
          </c:extLst>
        </c:ser>
        <c:ser>
          <c:idx val="3"/>
          <c:order val="3"/>
          <c:tx>
            <c:strRef>
              <c:f>'Dolar Medio'!$E$1</c:f>
              <c:strCache>
                <c:ptCount val="1"/>
                <c:pt idx="0">
                  <c:v>Ano 2016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4907990115337368E-2"/>
                  <c:y val="-2.199311603923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6AF-415C-865E-F95ACFEC4B80}"/>
                </c:ext>
              </c:extLst>
            </c:dLbl>
            <c:dLbl>
              <c:idx val="1"/>
              <c:layout>
                <c:manualLayout>
                  <c:x val="6.2116625480572365E-3"/>
                  <c:y val="-2.19931160392302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6AF-415C-865E-F95ACFEC4B80}"/>
                </c:ext>
              </c:extLst>
            </c:dLbl>
            <c:dLbl>
              <c:idx val="2"/>
              <c:layout>
                <c:manualLayout>
                  <c:x val="8.6963275672801311E-3"/>
                  <c:y val="-2.01603563692944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AF-415C-865E-F95ACFEC4B80}"/>
                </c:ext>
              </c:extLst>
            </c:dLbl>
            <c:dLbl>
              <c:idx val="8"/>
              <c:layout>
                <c:manualLayout>
                  <c:x val="2.635914397913960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6AF-415C-865E-F95ACFEC4B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6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Medio'!$E$2:$E$12</c:f>
              <c:numCache>
                <c:formatCode>0.00</c:formatCode>
                <c:ptCount val="11"/>
                <c:pt idx="0">
                  <c:v>4.0395000000000003</c:v>
                </c:pt>
                <c:pt idx="1">
                  <c:v>3.9676</c:v>
                </c:pt>
                <c:pt idx="2">
                  <c:v>3.6932999999999998</c:v>
                </c:pt>
                <c:pt idx="3">
                  <c:v>3.5659000000000001</c:v>
                </c:pt>
                <c:pt idx="4">
                  <c:v>3.54</c:v>
                </c:pt>
                <c:pt idx="5">
                  <c:v>3.43</c:v>
                </c:pt>
                <c:pt idx="6">
                  <c:v>3.27</c:v>
                </c:pt>
                <c:pt idx="7">
                  <c:v>3.29</c:v>
                </c:pt>
                <c:pt idx="8">
                  <c:v>3.2564000000000002</c:v>
                </c:pt>
                <c:pt idx="9">
                  <c:v>3.1903999999999999</c:v>
                </c:pt>
                <c:pt idx="10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6AF-415C-865E-F95ACFEC4B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05125760"/>
        <c:axId val="105127296"/>
        <c:axId val="0"/>
      </c:bar3DChart>
      <c:catAx>
        <c:axId val="105125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pt-BR"/>
          </a:p>
        </c:txPr>
        <c:crossAx val="105127296"/>
        <c:crosses val="autoZero"/>
        <c:auto val="1"/>
        <c:lblAlgn val="ctr"/>
        <c:lblOffset val="100"/>
        <c:noMultiLvlLbl val="0"/>
      </c:catAx>
      <c:valAx>
        <c:axId val="10512729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0512576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800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&amp;C&amp;"-,Negrito"&amp;12ACOMPANHAMENTO COTAÇÕES DOLAR&amp;R&amp;D</c:oddHeader>
    </c:headerFooter>
    <c:pageMargins b="0.39370078740157483" l="0.51181102362204722" r="0.51181102362204722" t="0.39370078740157483" header="0.31496062992125984" footer="0.31496062992125984"/>
    <c:pageSetup orientation="landscape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Cotação Média Dolar - 2015 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prstDash val="solid"/>
            </a:ln>
          </c:spPr>
          <c:marker>
            <c:spPr>
              <a:ln w="28575"/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FF75-49C6-BA07-43EBBEA5474F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1-FF75-49C6-BA07-43EBBEA5474F}"/>
              </c:ext>
            </c:extLst>
          </c:dPt>
          <c:dLbls>
            <c:dLbl>
              <c:idx val="0"/>
              <c:layout>
                <c:manualLayout>
                  <c:x val="-3.1659056316590564E-2"/>
                  <c:y val="5.8439054822759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75-49C6-BA07-43EBBEA5474F}"/>
                </c:ext>
              </c:extLst>
            </c:dLbl>
            <c:dLbl>
              <c:idx val="1"/>
              <c:layout>
                <c:manualLayout>
                  <c:x val="-3.8964992389649927E-2"/>
                  <c:y val="5.5363315095246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75-49C6-BA07-43EBBEA5474F}"/>
                </c:ext>
              </c:extLst>
            </c:dLbl>
            <c:dLbl>
              <c:idx val="2"/>
              <c:layout>
                <c:manualLayout>
                  <c:x val="-2.9223744292237487E-2"/>
                  <c:y val="-4.92118356402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75-49C6-BA07-43EBBEA5474F}"/>
                </c:ext>
              </c:extLst>
            </c:dLbl>
            <c:dLbl>
              <c:idx val="3"/>
              <c:layout>
                <c:manualLayout>
                  <c:x val="-3.287671232876712E-2"/>
                  <c:y val="4.6136095912705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75-49C6-BA07-43EBBEA5474F}"/>
                </c:ext>
              </c:extLst>
            </c:dLbl>
            <c:dLbl>
              <c:idx val="4"/>
              <c:layout>
                <c:manualLayout>
                  <c:x val="-3.5312024353120246E-2"/>
                  <c:y val="4.6136095912705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75-49C6-BA07-43EBBEA5474F}"/>
                </c:ext>
              </c:extLst>
            </c:dLbl>
            <c:dLbl>
              <c:idx val="5"/>
              <c:layout>
                <c:manualLayout>
                  <c:x val="-1.4325087631980815E-2"/>
                  <c:y val="4.0562649119065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75-49C6-BA07-43EBBEA5474F}"/>
                </c:ext>
              </c:extLst>
            </c:dLbl>
            <c:dLbl>
              <c:idx val="6"/>
              <c:layout>
                <c:manualLayout>
                  <c:x val="-1.9291274533915753E-2"/>
                  <c:y val="4.3285015067815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75-49C6-BA07-43EBBEA5474F}"/>
                </c:ext>
              </c:extLst>
            </c:dLbl>
            <c:dLbl>
              <c:idx val="7"/>
              <c:layout>
                <c:manualLayout>
                  <c:x val="-2.9223744292237442E-2"/>
                  <c:y val="-5.5363315095246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75-49C6-BA07-43EBBEA5474F}"/>
                </c:ext>
              </c:extLst>
            </c:dLbl>
            <c:dLbl>
              <c:idx val="8"/>
              <c:layout>
                <c:manualLayout>
                  <c:x val="-7.3059360730593605E-3"/>
                  <c:y val="-5.228757536773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75-49C6-BA07-43EBBEA5474F}"/>
                </c:ext>
              </c:extLst>
            </c:dLbl>
            <c:dLbl>
              <c:idx val="9"/>
              <c:layout>
                <c:manualLayout>
                  <c:x val="-2.8006088280060883E-2"/>
                  <c:y val="-5.8439054822759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75-49C6-BA07-43EBBEA5474F}"/>
                </c:ext>
              </c:extLst>
            </c:dLbl>
            <c:dLbl>
              <c:idx val="10"/>
              <c:layout>
                <c:manualLayout>
                  <c:x val="-3.3676333021515438E-2"/>
                  <c:y val="-4.92118356402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75-49C6-BA07-43EBBEA5474F}"/>
                </c:ext>
              </c:extLst>
            </c:dLbl>
            <c:dLbl>
              <c:idx val="11"/>
              <c:layout>
                <c:manualLayout>
                  <c:x val="-3.2429061428125974E-2"/>
                  <c:y val="-6.4590534277787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F75-49C6-BA07-43EBBEA54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Medio'!$D$2:$D$12</c:f>
              <c:numCache>
                <c:formatCode>0.00</c:formatCode>
                <c:ptCount val="11"/>
                <c:pt idx="0">
                  <c:v>2.6371000000000002</c:v>
                </c:pt>
                <c:pt idx="1">
                  <c:v>2.8164899999999999</c:v>
                </c:pt>
                <c:pt idx="2">
                  <c:v>3.1421999999999999</c:v>
                </c:pt>
                <c:pt idx="3">
                  <c:v>3.0525000000000002</c:v>
                </c:pt>
                <c:pt idx="4">
                  <c:v>3.0539999999999998</c:v>
                </c:pt>
                <c:pt idx="5">
                  <c:v>3.1145</c:v>
                </c:pt>
                <c:pt idx="6">
                  <c:v>3.2187999999999999</c:v>
                </c:pt>
                <c:pt idx="7">
                  <c:v>3.5068999999999999</c:v>
                </c:pt>
                <c:pt idx="8">
                  <c:v>3.8957000000000002</c:v>
                </c:pt>
                <c:pt idx="9">
                  <c:v>3.8723999999999998</c:v>
                </c:pt>
                <c:pt idx="10">
                  <c:v>3.7782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F75-49C6-BA07-43EBBEA5474F}"/>
            </c:ext>
          </c:extLst>
        </c:ser>
        <c:ser>
          <c:idx val="1"/>
          <c:order val="1"/>
          <c:dLbls>
            <c:dLbl>
              <c:idx val="0"/>
              <c:layout>
                <c:manualLayout>
                  <c:x val="-3.5046547057676798E-2"/>
                  <c:y val="-5.228757536773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75-49C6-BA07-43EBBEA5474F}"/>
                </c:ext>
              </c:extLst>
            </c:dLbl>
            <c:dLbl>
              <c:idx val="1"/>
              <c:layout>
                <c:manualLayout>
                  <c:x val="-2.7536572688174627E-2"/>
                  <c:y val="-5.22875753677325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75-49C6-BA07-43EBBEA5474F}"/>
                </c:ext>
              </c:extLst>
            </c:dLbl>
            <c:dLbl>
              <c:idx val="2"/>
              <c:layout>
                <c:manualLayout>
                  <c:x val="-3.1291559872925714E-2"/>
                  <c:y val="-5.53633150952461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75-49C6-BA07-43EBBEA5474F}"/>
                </c:ext>
              </c:extLst>
            </c:dLbl>
            <c:dLbl>
              <c:idx val="3"/>
              <c:layout>
                <c:manualLayout>
                  <c:x val="-3.1291559872925714E-2"/>
                  <c:y val="-4.6136095912705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75-49C6-BA07-43EBBEA5474F}"/>
                </c:ext>
              </c:extLst>
            </c:dLbl>
            <c:dLbl>
              <c:idx val="4"/>
              <c:layout>
                <c:manualLayout>
                  <c:x val="-3.1720853822146421E-2"/>
                  <c:y val="-4.1516960847821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75-49C6-BA07-43EBBEA5474F}"/>
                </c:ext>
              </c:extLst>
            </c:dLbl>
            <c:dLbl>
              <c:idx val="5"/>
              <c:layout>
                <c:manualLayout>
                  <c:x val="-3.0663492028074869E-2"/>
                  <c:y val="-5.42914103394583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75-49C6-BA07-43EBBEA5474F}"/>
                </c:ext>
              </c:extLst>
            </c:dLbl>
            <c:dLbl>
              <c:idx val="6"/>
              <c:layout>
                <c:manualLayout>
                  <c:x val="-2.7491406645860229E-2"/>
                  <c:y val="-6.0678635085276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75-49C6-BA07-43EBBEA5474F}"/>
                </c:ext>
              </c:extLst>
            </c:dLbl>
            <c:dLbl>
              <c:idx val="7"/>
              <c:layout>
                <c:manualLayout>
                  <c:x val="-2.6434044851788682E-2"/>
                  <c:y val="4.15169608478211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FF75-49C6-BA07-43EBBEA5474F}"/>
                </c:ext>
              </c:extLst>
            </c:dLbl>
            <c:dLbl>
              <c:idx val="8"/>
              <c:layout>
                <c:manualLayout>
                  <c:x val="-2.8548768439931777E-2"/>
                  <c:y val="4.790418559363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F75-49C6-BA07-43EBBEA5474F}"/>
                </c:ext>
              </c:extLst>
            </c:dLbl>
            <c:dLbl>
              <c:idx val="9"/>
              <c:layout>
                <c:manualLayout>
                  <c:x val="-1.903251229328785E-2"/>
                  <c:y val="-3.8323348474911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FF75-49C6-BA07-43EBBEA54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>
                    <a:solidFill>
                      <a:srgbClr val="FF000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Medio'!$E$2:$E$12</c:f>
              <c:numCache>
                <c:formatCode>0.00</c:formatCode>
                <c:ptCount val="11"/>
                <c:pt idx="0">
                  <c:v>4.0395000000000003</c:v>
                </c:pt>
                <c:pt idx="1">
                  <c:v>3.9676</c:v>
                </c:pt>
                <c:pt idx="2">
                  <c:v>3.6932999999999998</c:v>
                </c:pt>
                <c:pt idx="3">
                  <c:v>3.5659000000000001</c:v>
                </c:pt>
                <c:pt idx="4">
                  <c:v>3.54</c:v>
                </c:pt>
                <c:pt idx="5">
                  <c:v>3.43</c:v>
                </c:pt>
                <c:pt idx="6">
                  <c:v>3.27</c:v>
                </c:pt>
                <c:pt idx="7">
                  <c:v>3.29</c:v>
                </c:pt>
                <c:pt idx="8">
                  <c:v>3.2564000000000002</c:v>
                </c:pt>
                <c:pt idx="9">
                  <c:v>3.1903999999999999</c:v>
                </c:pt>
                <c:pt idx="10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F75-49C6-BA07-43EBBEA54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90144"/>
        <c:axId val="105632896"/>
      </c:lineChart>
      <c:catAx>
        <c:axId val="105590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05632896"/>
        <c:crosses val="autoZero"/>
        <c:auto val="1"/>
        <c:lblAlgn val="ctr"/>
        <c:lblOffset val="100"/>
        <c:noMultiLvlLbl val="0"/>
      </c:catAx>
      <c:valAx>
        <c:axId val="10563289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0559014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400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COTAÇÃO MÉDIA DO DOLAR</a:t>
            </a:r>
          </a:p>
        </c:rich>
      </c:tx>
      <c:layout>
        <c:manualLayout>
          <c:xMode val="edge"/>
          <c:yMode val="edge"/>
          <c:x val="0.3778168154127613"/>
          <c:y val="1.986007532043741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cat>
            <c:numRef>
              <c:f>'Dolar Medio'!$A$89:$A$138</c:f>
              <c:numCache>
                <c:formatCode>mmm\-yy</c:formatCode>
                <c:ptCount val="50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</c:numCache>
            </c:numRef>
          </c:cat>
          <c:val>
            <c:numRef>
              <c:f>'Dolar Medio'!$B$89:$B$138</c:f>
              <c:numCache>
                <c:formatCode>0.00</c:formatCode>
                <c:ptCount val="50"/>
                <c:pt idx="0">
                  <c:v>2.0331000000000001</c:v>
                </c:pt>
                <c:pt idx="1">
                  <c:v>1.9717</c:v>
                </c:pt>
                <c:pt idx="2">
                  <c:v>1.9854000000000001</c:v>
                </c:pt>
                <c:pt idx="3">
                  <c:v>2.0009999999999999</c:v>
                </c:pt>
                <c:pt idx="4">
                  <c:v>2.0339999999999998</c:v>
                </c:pt>
                <c:pt idx="5">
                  <c:v>2.17</c:v>
                </c:pt>
                <c:pt idx="6">
                  <c:v>2.2526799999999998</c:v>
                </c:pt>
                <c:pt idx="7">
                  <c:v>2.3395000000000001</c:v>
                </c:pt>
                <c:pt idx="8">
                  <c:v>2.2711000000000001</c:v>
                </c:pt>
                <c:pt idx="9">
                  <c:v>2.1867999999999999</c:v>
                </c:pt>
                <c:pt idx="10">
                  <c:v>2.2976000000000001</c:v>
                </c:pt>
                <c:pt idx="11">
                  <c:v>2.3477999999999999</c:v>
                </c:pt>
                <c:pt idx="12">
                  <c:v>2.3809</c:v>
                </c:pt>
                <c:pt idx="13">
                  <c:v>2.3856999999999999</c:v>
                </c:pt>
                <c:pt idx="14">
                  <c:v>2.3258000000000001</c:v>
                </c:pt>
                <c:pt idx="15">
                  <c:v>2.2330999999999999</c:v>
                </c:pt>
                <c:pt idx="16">
                  <c:v>2.2210999999999999</c:v>
                </c:pt>
                <c:pt idx="17">
                  <c:v>2.2342</c:v>
                </c:pt>
                <c:pt idx="18">
                  <c:v>2.2248999999999999</c:v>
                </c:pt>
                <c:pt idx="19">
                  <c:v>2.2684000000000002</c:v>
                </c:pt>
                <c:pt idx="20">
                  <c:v>2.335</c:v>
                </c:pt>
                <c:pt idx="21">
                  <c:v>2.4506999999999999</c:v>
                </c:pt>
                <c:pt idx="22">
                  <c:v>2.56</c:v>
                </c:pt>
                <c:pt idx="23">
                  <c:v>2.6419000000000001</c:v>
                </c:pt>
                <c:pt idx="24">
                  <c:v>2.6371000000000002</c:v>
                </c:pt>
                <c:pt idx="25">
                  <c:v>2.8164899999999999</c:v>
                </c:pt>
                <c:pt idx="26">
                  <c:v>3.1421999999999999</c:v>
                </c:pt>
                <c:pt idx="27">
                  <c:v>3.0525000000000002</c:v>
                </c:pt>
                <c:pt idx="28">
                  <c:v>3.0539999999999998</c:v>
                </c:pt>
                <c:pt idx="29">
                  <c:v>3.1145</c:v>
                </c:pt>
                <c:pt idx="30">
                  <c:v>3.2187999999999999</c:v>
                </c:pt>
                <c:pt idx="31">
                  <c:v>3.5055000000000001</c:v>
                </c:pt>
                <c:pt idx="32">
                  <c:v>3.8957000000000002</c:v>
                </c:pt>
                <c:pt idx="33">
                  <c:v>3.8723999999999998</c:v>
                </c:pt>
                <c:pt idx="34">
                  <c:v>3.7782</c:v>
                </c:pt>
                <c:pt idx="35">
                  <c:v>3.8729</c:v>
                </c:pt>
                <c:pt idx="36">
                  <c:v>4.0395000000000003</c:v>
                </c:pt>
                <c:pt idx="37">
                  <c:v>3.9676</c:v>
                </c:pt>
                <c:pt idx="38">
                  <c:v>3.7381000000000002</c:v>
                </c:pt>
                <c:pt idx="39">
                  <c:v>3.57</c:v>
                </c:pt>
                <c:pt idx="40">
                  <c:v>3.54</c:v>
                </c:pt>
                <c:pt idx="41">
                  <c:v>3.43</c:v>
                </c:pt>
                <c:pt idx="42">
                  <c:v>3.27</c:v>
                </c:pt>
                <c:pt idx="43">
                  <c:v>3.29</c:v>
                </c:pt>
                <c:pt idx="44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3C-4D9C-9935-8243E10F6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67200"/>
        <c:axId val="105677184"/>
      </c:lineChart>
      <c:dateAx>
        <c:axId val="1056672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5677184"/>
        <c:crosses val="autoZero"/>
        <c:auto val="1"/>
        <c:lblOffset val="100"/>
        <c:baseTimeUnit val="months"/>
      </c:dateAx>
      <c:valAx>
        <c:axId val="105677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056672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 sz="1800" b="1" i="0" baseline="0">
                <a:effectLst/>
              </a:rPr>
              <a:t>Cotação Média Dolar - 2016 </a:t>
            </a:r>
            <a:endParaRPr lang="pt-BR">
              <a:effectLst/>
            </a:endParaRP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>
              <a:prstDash val="solid"/>
            </a:ln>
          </c:spPr>
          <c:marker>
            <c:spPr>
              <a:ln w="28575"/>
            </c:spPr>
          </c:marker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0-E82F-4789-ABA2-A654FB7519F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1-E82F-4789-ABA2-A654FB7519F0}"/>
              </c:ext>
            </c:extLst>
          </c:dPt>
          <c:dLbls>
            <c:dLbl>
              <c:idx val="0"/>
              <c:layout>
                <c:manualLayout>
                  <c:x val="-2.106651818235046E-2"/>
                  <c:y val="-5.5507593199691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2F-4789-ABA2-A654FB7519F0}"/>
                </c:ext>
              </c:extLst>
            </c:dLbl>
            <c:dLbl>
              <c:idx val="1"/>
              <c:layout>
                <c:manualLayout>
                  <c:x val="-2.30761775586396E-2"/>
                  <c:y val="-7.12442858474441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2F-4789-ABA2-A654FB7519F0}"/>
                </c:ext>
              </c:extLst>
            </c:dLbl>
            <c:dLbl>
              <c:idx val="2"/>
              <c:layout>
                <c:manualLayout>
                  <c:x val="-2.9223744292237487E-2"/>
                  <c:y val="-4.92118356402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82F-4789-ABA2-A654FB7519F0}"/>
                </c:ext>
              </c:extLst>
            </c:dLbl>
            <c:dLbl>
              <c:idx val="3"/>
              <c:layout>
                <c:manualLayout>
                  <c:x val="-2.1224905530579267E-2"/>
                  <c:y val="-7.09756191173076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82F-4789-ABA2-A654FB7519F0}"/>
                </c:ext>
              </c:extLst>
            </c:dLbl>
            <c:dLbl>
              <c:idx val="4"/>
              <c:layout>
                <c:manualLayout>
                  <c:x val="-2.7897274920234996E-2"/>
                  <c:y val="-7.0975619117307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82F-4789-ABA2-A654FB7519F0}"/>
                </c:ext>
              </c:extLst>
            </c:dLbl>
            <c:dLbl>
              <c:idx val="5"/>
              <c:layout>
                <c:manualLayout>
                  <c:x val="-3.6529680365296802E-2"/>
                  <c:y val="-5.84390548227598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82F-4789-ABA2-A654FB7519F0}"/>
                </c:ext>
              </c:extLst>
            </c:dLbl>
            <c:dLbl>
              <c:idx val="6"/>
              <c:layout>
                <c:manualLayout>
                  <c:x val="-3.4094368340943593E-2"/>
                  <c:y val="-4.6136095912705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82F-4789-ABA2-A654FB7519F0}"/>
                </c:ext>
              </c:extLst>
            </c:dLbl>
            <c:dLbl>
              <c:idx val="7"/>
              <c:layout>
                <c:manualLayout>
                  <c:x val="-2.9223744292237442E-2"/>
                  <c:y val="-5.53633150952462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82F-4789-ABA2-A654FB7519F0}"/>
                </c:ext>
              </c:extLst>
            </c:dLbl>
            <c:dLbl>
              <c:idx val="8"/>
              <c:layout>
                <c:manualLayout>
                  <c:x val="-7.3059360730593605E-3"/>
                  <c:y val="-5.22875753677325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82F-4789-ABA2-A654FB7519F0}"/>
                </c:ext>
              </c:extLst>
            </c:dLbl>
            <c:dLbl>
              <c:idx val="9"/>
              <c:layout>
                <c:manualLayout>
                  <c:x val="-2.8006088280060883E-2"/>
                  <c:y val="-5.8439054822759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82F-4789-ABA2-A654FB7519F0}"/>
                </c:ext>
              </c:extLst>
            </c:dLbl>
            <c:dLbl>
              <c:idx val="10"/>
              <c:layout>
                <c:manualLayout>
                  <c:x val="-3.3676333021515438E-2"/>
                  <c:y val="-4.9211835640218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2F-4789-ABA2-A654FB7519F0}"/>
                </c:ext>
              </c:extLst>
            </c:dLbl>
            <c:dLbl>
              <c:idx val="11"/>
              <c:layout>
                <c:manualLayout>
                  <c:x val="-3.2429061428125974E-2"/>
                  <c:y val="-6.4590534277787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82F-4789-ABA2-A654FB751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'Dolar Medio'!$A$2:$A$12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f>'Dolar Medio'!$E$2:$E$12</c:f>
              <c:numCache>
                <c:formatCode>0.00</c:formatCode>
                <c:ptCount val="11"/>
                <c:pt idx="0">
                  <c:v>4.0395000000000003</c:v>
                </c:pt>
                <c:pt idx="1">
                  <c:v>3.9676</c:v>
                </c:pt>
                <c:pt idx="2">
                  <c:v>3.6932999999999998</c:v>
                </c:pt>
                <c:pt idx="3">
                  <c:v>3.5659000000000001</c:v>
                </c:pt>
                <c:pt idx="4">
                  <c:v>3.54</c:v>
                </c:pt>
                <c:pt idx="5">
                  <c:v>3.43</c:v>
                </c:pt>
                <c:pt idx="6">
                  <c:v>3.27</c:v>
                </c:pt>
                <c:pt idx="7">
                  <c:v>3.29</c:v>
                </c:pt>
                <c:pt idx="8">
                  <c:v>3.2564000000000002</c:v>
                </c:pt>
                <c:pt idx="9">
                  <c:v>3.1903999999999999</c:v>
                </c:pt>
                <c:pt idx="10">
                  <c:v>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82F-4789-ABA2-A654FB751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20064"/>
        <c:axId val="105721856"/>
      </c:lineChart>
      <c:catAx>
        <c:axId val="105720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pt-BR"/>
          </a:p>
        </c:txPr>
        <c:crossAx val="105721856"/>
        <c:crosses val="autoZero"/>
        <c:auto val="1"/>
        <c:lblAlgn val="ctr"/>
        <c:lblOffset val="100"/>
        <c:noMultiLvlLbl val="0"/>
      </c:catAx>
      <c:valAx>
        <c:axId val="105721856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105720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COTAÇÃO MÉDIA</a:t>
            </a:r>
            <a:r>
              <a:rPr lang="en-US" baseline="0"/>
              <a:t> COBRE </a:t>
            </a:r>
            <a:r>
              <a:rPr lang="en-US"/>
              <a:t>LME</a:t>
            </a:r>
            <a:r>
              <a:rPr lang="en-US" baseline="0"/>
              <a:t> - </a:t>
            </a:r>
            <a:r>
              <a:rPr lang="en-US"/>
              <a:t>US$</a:t>
            </a:r>
          </a:p>
        </c:rich>
      </c:tx>
      <c:overlay val="0"/>
      <c:spPr>
        <a:solidFill>
          <a:srgbClr val="FFFF00"/>
        </a:solidFill>
      </c:spPr>
    </c:title>
    <c:autoTitleDeleted val="0"/>
    <c:plotArea>
      <c:layout>
        <c:manualLayout>
          <c:layoutTarget val="inner"/>
          <c:xMode val="edge"/>
          <c:yMode val="edge"/>
          <c:x val="6.454696632807233E-2"/>
          <c:y val="0.17782383964524745"/>
          <c:w val="0.92548625539420259"/>
          <c:h val="0.71630544630743953"/>
        </c:manualLayout>
      </c:layout>
      <c:lineChart>
        <c:grouping val="standard"/>
        <c:varyColors val="0"/>
        <c:ser>
          <c:idx val="0"/>
          <c:order val="0"/>
          <c:tx>
            <c:strRef>
              <c:f>'LME Média'!$C$2</c:f>
              <c:strCache>
                <c:ptCount val="1"/>
                <c:pt idx="0">
                  <c:v>US$</c:v>
                </c:pt>
              </c:strCache>
            </c:strRef>
          </c:tx>
          <c:dLbls>
            <c:dLbl>
              <c:idx val="0"/>
              <c:layout>
                <c:manualLayout>
                  <c:x val="-4.3189372536808414E-2"/>
                  <c:y val="-6.33914527024891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7E7-4F76-9A8E-09A4F8B165B0}"/>
                </c:ext>
              </c:extLst>
            </c:dLbl>
            <c:dLbl>
              <c:idx val="1"/>
              <c:layout>
                <c:manualLayout>
                  <c:x val="-4.2081952728172299E-2"/>
                  <c:y val="-9.2974130630317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7E7-4F76-9A8E-09A4F8B165B0}"/>
                </c:ext>
              </c:extLst>
            </c:dLbl>
            <c:dLbl>
              <c:idx val="2"/>
              <c:layout>
                <c:manualLayout>
                  <c:x val="-6.644518851816679E-2"/>
                  <c:y val="-7.6069743242986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7E7-4F76-9A8E-09A4F8B165B0}"/>
                </c:ext>
              </c:extLst>
            </c:dLbl>
            <c:dLbl>
              <c:idx val="3"/>
              <c:layout>
                <c:manualLayout>
                  <c:x val="-3.986711311090007E-2"/>
                  <c:y val="-5.0713162161991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7E7-4F76-9A8E-09A4F8B165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'LME Média'!$A$44:$B$49</c:f>
              <c:strCache>
                <c:ptCount val="6"/>
                <c:pt idx="0">
                  <c:v>jun/16</c:v>
                </c:pt>
                <c:pt idx="1">
                  <c:v>jul/16</c:v>
                </c:pt>
                <c:pt idx="2">
                  <c:v>ago/16</c:v>
                </c:pt>
                <c:pt idx="3">
                  <c:v>set/16</c:v>
                </c:pt>
                <c:pt idx="4">
                  <c:v>out/16</c:v>
                </c:pt>
                <c:pt idx="5">
                  <c:v>nov/16</c:v>
                </c:pt>
              </c:strCache>
            </c:strRef>
          </c:cat>
          <c:val>
            <c:numRef>
              <c:f>'LME Média'!$C$44:$C$49</c:f>
              <c:numCache>
                <c:formatCode>[$$-409]#,##0.00</c:formatCode>
                <c:ptCount val="6"/>
                <c:pt idx="0">
                  <c:v>4635.181818181818</c:v>
                </c:pt>
                <c:pt idx="1">
                  <c:v>4855.4761904761908</c:v>
                </c:pt>
                <c:pt idx="2">
                  <c:v>4757.965909090909</c:v>
                </c:pt>
                <c:pt idx="3">
                  <c:v>4705.625</c:v>
                </c:pt>
                <c:pt idx="4">
                  <c:v>4738.18</c:v>
                </c:pt>
                <c:pt idx="5">
                  <c:v>5443.25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7E7-4F76-9A8E-09A4F8B16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64800"/>
        <c:axId val="105566592"/>
      </c:lineChart>
      <c:dateAx>
        <c:axId val="1055648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05566592"/>
        <c:crosses val="autoZero"/>
        <c:auto val="1"/>
        <c:lblOffset val="100"/>
        <c:baseTimeUnit val="months"/>
      </c:dateAx>
      <c:valAx>
        <c:axId val="105566592"/>
        <c:scaling>
          <c:orientation val="minMax"/>
        </c:scaling>
        <c:delete val="0"/>
        <c:axPos val="l"/>
        <c:numFmt formatCode="[$$-409]#,##0.00" sourceLinked="1"/>
        <c:majorTickMark val="out"/>
        <c:minorTickMark val="none"/>
        <c:tickLblPos val="nextTo"/>
        <c:crossAx val="1055648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COTAÇÃO</a:t>
            </a:r>
            <a:r>
              <a:rPr lang="en-US" baseline="0"/>
              <a:t> MÉDIA COBRE LME - </a:t>
            </a:r>
            <a:r>
              <a:rPr lang="en-US"/>
              <a:t>R$ </a:t>
            </a:r>
          </a:p>
        </c:rich>
      </c:tx>
      <c:overlay val="0"/>
      <c:spPr>
        <a:solidFill>
          <a:srgbClr val="FFFF00"/>
        </a:solidFill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'LME Média'!$E$2</c:f>
              <c:strCache>
                <c:ptCount val="1"/>
                <c:pt idx="0">
                  <c:v>R$ </c:v>
                </c:pt>
              </c:strCache>
            </c:strRef>
          </c:tx>
          <c:dLbls>
            <c:dLbl>
              <c:idx val="0"/>
              <c:layout>
                <c:manualLayout>
                  <c:x val="-2.674782779811374E-2"/>
                  <c:y val="-3.0992018335149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98-44C1-AE83-909C251C81DE}"/>
                </c:ext>
              </c:extLst>
            </c:dLbl>
            <c:dLbl>
              <c:idx val="1"/>
              <c:layout>
                <c:manualLayout>
                  <c:x val="-3.1504922644163151E-2"/>
                  <c:y val="-5.1230193415741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98-44C1-AE83-909C251C81DE}"/>
                </c:ext>
              </c:extLst>
            </c:dLbl>
            <c:dLbl>
              <c:idx val="2"/>
              <c:layout>
                <c:manualLayout>
                  <c:x val="-4.2215758650261885E-2"/>
                  <c:y val="-5.3345142480726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98-44C1-AE83-909C251C81DE}"/>
                </c:ext>
              </c:extLst>
            </c:dLbl>
            <c:dLbl>
              <c:idx val="3"/>
              <c:layout>
                <c:manualLayout>
                  <c:x val="-3.1289721294183906E-2"/>
                  <c:y val="-2.68383355696115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8-44C1-AE83-909C251C81DE}"/>
                </c:ext>
              </c:extLst>
            </c:dLbl>
            <c:dLbl>
              <c:idx val="4"/>
              <c:layout>
                <c:manualLayout>
                  <c:x val="-3.1604770922622011E-2"/>
                  <c:y val="-7.02524546651003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98-44C1-AE83-909C251C81DE}"/>
                </c:ext>
              </c:extLst>
            </c:dLbl>
            <c:dLbl>
              <c:idx val="5"/>
              <c:layout>
                <c:manualLayout>
                  <c:x val="-3.3925290984196596E-2"/>
                  <c:y val="-3.7020767866928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98-44C1-AE83-909C251C81DE}"/>
                </c:ext>
              </c:extLst>
            </c:dLbl>
            <c:dLbl>
              <c:idx val="6"/>
              <c:layout>
                <c:manualLayout>
                  <c:x val="-3.4016456803659036E-2"/>
                  <c:y val="-6.72633544035992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398-44C1-AE83-909C251C81DE}"/>
                </c:ext>
              </c:extLst>
            </c:dLbl>
            <c:dLbl>
              <c:idx val="7"/>
              <c:layout>
                <c:manualLayout>
                  <c:x val="-2.8095019768098608E-2"/>
                  <c:y val="-4.135696956739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398-44C1-AE83-909C251C81DE}"/>
                </c:ext>
              </c:extLst>
            </c:dLbl>
            <c:dLbl>
              <c:idx val="8"/>
              <c:layout>
                <c:manualLayout>
                  <c:x val="-5.7819949721474605E-2"/>
                  <c:y val="3.015214284667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398-44C1-AE83-909C251C81DE}"/>
                </c:ext>
              </c:extLst>
            </c:dLbl>
            <c:dLbl>
              <c:idx val="9"/>
              <c:layout>
                <c:manualLayout>
                  <c:x val="-6.1003311294948889E-2"/>
                  <c:y val="-3.64375546828706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398-44C1-AE83-909C251C81DE}"/>
                </c:ext>
              </c:extLst>
            </c:dLbl>
            <c:dLbl>
              <c:idx val="10"/>
              <c:layout>
                <c:manualLayout>
                  <c:x val="-5.2915512143260575E-2"/>
                  <c:y val="-4.19272318944365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398-44C1-AE83-909C251C81DE}"/>
                </c:ext>
              </c:extLst>
            </c:dLbl>
            <c:dLbl>
              <c:idx val="11"/>
              <c:layout>
                <c:manualLayout>
                  <c:x val="-1.417783536551602E-2"/>
                  <c:y val="-4.6257064320962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398-44C1-AE83-909C251C81DE}"/>
                </c:ext>
              </c:extLst>
            </c:dLbl>
            <c:dLbl>
              <c:idx val="12"/>
              <c:layout>
                <c:manualLayout>
                  <c:x val="-1.9536861689757053E-2"/>
                  <c:y val="3.8931974668123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398-44C1-AE83-909C251C81DE}"/>
                </c:ext>
              </c:extLst>
            </c:dLbl>
            <c:dLbl>
              <c:idx val="13"/>
              <c:layout>
                <c:manualLayout>
                  <c:x val="-4.9368018871058759E-2"/>
                  <c:y val="-4.43246266066228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398-44C1-AE83-909C251C81DE}"/>
                </c:ext>
              </c:extLst>
            </c:dLbl>
            <c:dLbl>
              <c:idx val="14"/>
              <c:layout>
                <c:manualLayout>
                  <c:x val="-3.396613398008793E-2"/>
                  <c:y val="-6.39778705946120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398-44C1-AE83-909C251C81DE}"/>
                </c:ext>
              </c:extLst>
            </c:dLbl>
            <c:dLbl>
              <c:idx val="15"/>
              <c:layout>
                <c:manualLayout>
                  <c:x val="-1.1251758087201125E-3"/>
                  <c:y val="-1.6177955815497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398-44C1-AE83-909C251C81DE}"/>
                </c:ext>
              </c:extLst>
            </c:dLbl>
            <c:dLbl>
              <c:idx val="16"/>
              <c:layout>
                <c:manualLayout>
                  <c:x val="-8.0590938790878995E-3"/>
                  <c:y val="-2.96296500742126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398-44C1-AE83-909C251C81DE}"/>
                </c:ext>
              </c:extLst>
            </c:dLbl>
            <c:dLbl>
              <c:idx val="17"/>
              <c:layout>
                <c:manualLayout>
                  <c:x val="-2.0253164556962026E-2"/>
                  <c:y val="8.8978756985235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398-44C1-AE83-909C251C81DE}"/>
                </c:ext>
              </c:extLst>
            </c:dLbl>
            <c:dLbl>
              <c:idx val="18"/>
              <c:layout>
                <c:manualLayout>
                  <c:x val="-2.0661948901956877E-2"/>
                  <c:y val="-0.129752513368575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398-44C1-AE83-909C251C81DE}"/>
                </c:ext>
              </c:extLst>
            </c:dLbl>
            <c:dLbl>
              <c:idx val="19"/>
              <c:layout>
                <c:manualLayout>
                  <c:x val="-4.1631504922644162E-2"/>
                  <c:y val="-4.04448895387435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398-44C1-AE83-909C251C81DE}"/>
                </c:ext>
              </c:extLst>
            </c:dLbl>
            <c:dLbl>
              <c:idx val="20"/>
              <c:layout>
                <c:manualLayout>
                  <c:x val="-1.1251758087201125E-2"/>
                  <c:y val="-3.5052237600244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398-44C1-AE83-909C251C81DE}"/>
                </c:ext>
              </c:extLst>
            </c:dLbl>
            <c:dLbl>
              <c:idx val="21"/>
              <c:layout>
                <c:manualLayout>
                  <c:x val="0"/>
                  <c:y val="3.7748563569493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398-44C1-AE83-909C251C81DE}"/>
                </c:ext>
              </c:extLst>
            </c:dLbl>
            <c:dLbl>
              <c:idx val="30"/>
              <c:layout>
                <c:manualLayout>
                  <c:x val="0"/>
                  <c:y val="-3.90243702583085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398-44C1-AE83-909C251C81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 b="1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'LME Média'!$A$44:$A$49</c:f>
              <c:numCache>
                <c:formatCode>mmm\-yy</c:formatCode>
                <c:ptCount val="6"/>
                <c:pt idx="0">
                  <c:v>42522</c:v>
                </c:pt>
                <c:pt idx="1">
                  <c:v>42552</c:v>
                </c:pt>
                <c:pt idx="2">
                  <c:v>42583</c:v>
                </c:pt>
                <c:pt idx="3">
                  <c:v>42614</c:v>
                </c:pt>
                <c:pt idx="4">
                  <c:v>42644</c:v>
                </c:pt>
                <c:pt idx="5">
                  <c:v>42675</c:v>
                </c:pt>
              </c:numCache>
            </c:numRef>
          </c:cat>
          <c:val>
            <c:numRef>
              <c:f>'LME Média'!$E$44:$E$49</c:f>
              <c:numCache>
                <c:formatCode>"R$"\ #,##0.00</c:formatCode>
                <c:ptCount val="6"/>
                <c:pt idx="0">
                  <c:v>15898.673636363637</c:v>
                </c:pt>
                <c:pt idx="1">
                  <c:v>15885.175904761905</c:v>
                </c:pt>
                <c:pt idx="2">
                  <c:v>15271.167381818181</c:v>
                </c:pt>
                <c:pt idx="3">
                  <c:v>15323.39725</c:v>
                </c:pt>
                <c:pt idx="4">
                  <c:v>15116.67</c:v>
                </c:pt>
                <c:pt idx="5">
                  <c:v>18126.022499999999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398-44C1-AE83-909C251C8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82016"/>
        <c:axId val="88583552"/>
      </c:lineChart>
      <c:dateAx>
        <c:axId val="88582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pt-BR"/>
          </a:p>
        </c:txPr>
        <c:crossAx val="88583552"/>
        <c:crosses val="autoZero"/>
        <c:auto val="1"/>
        <c:lblOffset val="100"/>
        <c:baseTimeUnit val="months"/>
      </c:dateAx>
      <c:valAx>
        <c:axId val="88583552"/>
        <c:scaling>
          <c:orientation val="minMax"/>
          <c:min val="10000"/>
        </c:scaling>
        <c:delete val="0"/>
        <c:axPos val="l"/>
        <c:numFmt formatCode="&quot;R$&quot;\ #,##0.00" sourceLinked="1"/>
        <c:majorTickMark val="out"/>
        <c:minorTickMark val="none"/>
        <c:tickLblPos val="nextTo"/>
        <c:crossAx val="88582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80314965" l="0.51181102362204722" r="0.51181102362204722" t="0.78740157480314965" header="0.31496062992125984" footer="0.31496062992125984"/>
    <c:pageSetup paperSize="9" orientation="landscape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'Cotação Dolar'!$A$2:$A$24</c:f>
              <c:numCache>
                <c:formatCode>m/d/yyyy</c:formatCode>
                <c:ptCount val="23"/>
                <c:pt idx="0">
                  <c:v>42583</c:v>
                </c:pt>
                <c:pt idx="1">
                  <c:v>42584</c:v>
                </c:pt>
                <c:pt idx="2">
                  <c:v>42585</c:v>
                </c:pt>
                <c:pt idx="3">
                  <c:v>42586</c:v>
                </c:pt>
                <c:pt idx="4">
                  <c:v>42587</c:v>
                </c:pt>
                <c:pt idx="5">
                  <c:v>42590</c:v>
                </c:pt>
                <c:pt idx="6">
                  <c:v>42591</c:v>
                </c:pt>
                <c:pt idx="7">
                  <c:v>42592</c:v>
                </c:pt>
                <c:pt idx="8">
                  <c:v>42593</c:v>
                </c:pt>
                <c:pt idx="9">
                  <c:v>42594</c:v>
                </c:pt>
                <c:pt idx="10">
                  <c:v>42597</c:v>
                </c:pt>
                <c:pt idx="11">
                  <c:v>42598</c:v>
                </c:pt>
                <c:pt idx="12">
                  <c:v>42599</c:v>
                </c:pt>
                <c:pt idx="13">
                  <c:v>42600</c:v>
                </c:pt>
                <c:pt idx="14">
                  <c:v>42601</c:v>
                </c:pt>
                <c:pt idx="15">
                  <c:v>42604</c:v>
                </c:pt>
                <c:pt idx="16">
                  <c:v>42605</c:v>
                </c:pt>
                <c:pt idx="17">
                  <c:v>42606</c:v>
                </c:pt>
                <c:pt idx="18">
                  <c:v>42607</c:v>
                </c:pt>
                <c:pt idx="19">
                  <c:v>42608</c:v>
                </c:pt>
                <c:pt idx="20">
                  <c:v>42611</c:v>
                </c:pt>
                <c:pt idx="21">
                  <c:v>42612</c:v>
                </c:pt>
                <c:pt idx="22">
                  <c:v>42613</c:v>
                </c:pt>
              </c:numCache>
            </c:numRef>
          </c:cat>
          <c:val>
            <c:numRef>
              <c:f>'Cotação Dolar'!$B$2:$B$24</c:f>
              <c:numCache>
                <c:formatCode>"R$"\ #,##0.0000</c:formatCode>
                <c:ptCount val="23"/>
                <c:pt idx="0">
                  <c:v>3.2662</c:v>
                </c:pt>
                <c:pt idx="1">
                  <c:v>3.2490000000000001</c:v>
                </c:pt>
                <c:pt idx="2">
                  <c:v>3.2732999999999999</c:v>
                </c:pt>
                <c:pt idx="3">
                  <c:v>3.2183000000000002</c:v>
                </c:pt>
                <c:pt idx="4">
                  <c:v>3.1859000000000002</c:v>
                </c:pt>
                <c:pt idx="5">
                  <c:v>3.1770999999999998</c:v>
                </c:pt>
                <c:pt idx="6">
                  <c:v>3.1503000000000001</c:v>
                </c:pt>
                <c:pt idx="7">
                  <c:v>3.1301999999999999</c:v>
                </c:pt>
                <c:pt idx="8">
                  <c:v>3.1364000000000001</c:v>
                </c:pt>
                <c:pt idx="9">
                  <c:v>3.1602000000000001</c:v>
                </c:pt>
                <c:pt idx="10">
                  <c:v>3.1671999999999998</c:v>
                </c:pt>
                <c:pt idx="11">
                  <c:v>3.1749000000000001</c:v>
                </c:pt>
                <c:pt idx="12">
                  <c:v>3.2248000000000001</c:v>
                </c:pt>
                <c:pt idx="13">
                  <c:v>3.2214999999999998</c:v>
                </c:pt>
                <c:pt idx="14">
                  <c:v>3.2267000000000001</c:v>
                </c:pt>
                <c:pt idx="15">
                  <c:v>3.2162999999999999</c:v>
                </c:pt>
                <c:pt idx="16">
                  <c:v>3.2054</c:v>
                </c:pt>
                <c:pt idx="17">
                  <c:v>3.2372000000000001</c:v>
                </c:pt>
                <c:pt idx="18">
                  <c:v>3.2319</c:v>
                </c:pt>
                <c:pt idx="19">
                  <c:v>3.2153</c:v>
                </c:pt>
                <c:pt idx="20">
                  <c:v>3.2612999999999999</c:v>
                </c:pt>
                <c:pt idx="21">
                  <c:v>3.2524999999999999</c:v>
                </c:pt>
                <c:pt idx="22">
                  <c:v>3.2403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CA-4C32-8D89-A66F74F7B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861696"/>
        <c:axId val="104863232"/>
      </c:lineChart>
      <c:dateAx>
        <c:axId val="1048616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104863232"/>
        <c:crosses val="autoZero"/>
        <c:auto val="1"/>
        <c:lblOffset val="100"/>
        <c:baseTimeUnit val="days"/>
      </c:dateAx>
      <c:valAx>
        <c:axId val="104863232"/>
        <c:scaling>
          <c:orientation val="minMax"/>
        </c:scaling>
        <c:delete val="0"/>
        <c:axPos val="l"/>
        <c:majorGridlines/>
        <c:numFmt formatCode="&quot;R$&quot;\ #,##0.0000" sourceLinked="1"/>
        <c:majorTickMark val="out"/>
        <c:minorTickMark val="none"/>
        <c:tickLblPos val="nextTo"/>
        <c:crossAx val="1048616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AEC-4070-85E0-30092A7AB80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AEC-4070-85E0-30092A7AB80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AEC-4070-85E0-30092A7AB808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AEC-4070-85E0-30092A7AB808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AEC-4070-85E0-30092A7AB80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AEC-4070-85E0-30092A7AB808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AEC-4070-85E0-30092A7AB80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AEC-4070-85E0-30092A7AB808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AAEC-4070-85E0-30092A7AB808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AEC-4070-85E0-30092A7AB808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AAEC-4070-85E0-30092A7AB808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AAEC-4070-85E0-30092A7AB808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AEC-4070-85E0-30092A7AB808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AAEC-4070-85E0-30092A7AB808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AEC-4070-85E0-30092A7AB808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AAEC-4070-85E0-30092A7AB80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AAEC-4070-85E0-30092A7AB808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AEC-4070-85E0-30092A7AB808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AAEC-4070-85E0-30092A7AB808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AAEC-4070-85E0-30092A7AB808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AAEC-4070-85E0-30092A7AB808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AAEC-4070-85E0-30092A7AB808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AAEC-4070-85E0-30092A7AB808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AAEC-4070-85E0-30092A7AB808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EC-4070-85E0-30092A7AB808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AEC-4070-85E0-30092A7AB808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AEC-4070-85E0-30092A7AB808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EC-4070-85E0-30092A7AB808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EC-4070-85E0-30092A7AB808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EC-4070-85E0-30092A7AB808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AEC-4070-85E0-30092A7AB808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AEC-4070-85E0-30092A7AB808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EC-4070-85E0-30092A7AB808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AEC-4070-85E0-30092A7AB808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AEC-4070-85E0-30092A7AB808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AAEC-4070-85E0-30092A7AB808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AEC-4070-85E0-30092A7AB808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AEC-4070-85E0-30092A7AB808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AAEC-4070-85E0-30092A7AB80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AEC-4070-85E0-30092A7AB8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AEC-4070-85E0-30092A7AB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387520"/>
        <c:axId val="105389056"/>
        <c:axId val="0"/>
      </c:bar3DChart>
      <c:dateAx>
        <c:axId val="105387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389056"/>
        <c:crosses val="autoZero"/>
        <c:auto val="1"/>
        <c:lblOffset val="100"/>
        <c:baseTimeUnit val="months"/>
      </c:dateAx>
      <c:valAx>
        <c:axId val="105389056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38752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FF27-4C51-8D5A-D02D4AD6AC5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FF27-4C51-8D5A-D02D4AD6AC5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FF27-4C51-8D5A-D02D4AD6AC5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FF27-4C51-8D5A-D02D4AD6AC5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FF27-4C51-8D5A-D02D4AD6AC5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FF27-4C51-8D5A-D02D4AD6AC5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FF27-4C51-8D5A-D02D4AD6AC51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FF27-4C51-8D5A-D02D4AD6AC51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FF27-4C51-8D5A-D02D4AD6AC51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FF27-4C51-8D5A-D02D4AD6AC5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FF27-4C51-8D5A-D02D4AD6AC5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FF27-4C51-8D5A-D02D4AD6AC5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FF27-4C51-8D5A-D02D4AD6AC51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FF27-4C51-8D5A-D02D4AD6AC51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FF27-4C51-8D5A-D02D4AD6AC51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FF27-4C51-8D5A-D02D4AD6AC5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FF27-4C51-8D5A-D02D4AD6AC51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27-4C51-8D5A-D02D4AD6AC5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F27-4C51-8D5A-D02D4AD6A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379904"/>
        <c:axId val="106393984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F27-4C51-8D5A-D02D4AD6AC51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F27-4C51-8D5A-D02D4AD6AC51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F27-4C51-8D5A-D02D4AD6AC51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F27-4C51-8D5A-D02D4AD6AC51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F27-4C51-8D5A-D02D4AD6AC51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F27-4C51-8D5A-D02D4AD6AC51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F27-4C51-8D5A-D02D4AD6AC51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F27-4C51-8D5A-D02D4AD6AC51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F27-4C51-8D5A-D02D4AD6AC51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F27-4C51-8D5A-D02D4AD6AC51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F27-4C51-8D5A-D02D4AD6AC51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F27-4C51-8D5A-D02D4AD6AC51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F27-4C51-8D5A-D02D4AD6AC51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F27-4C51-8D5A-D02D4AD6AC51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F27-4C51-8D5A-D02D4AD6AC51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F27-4C51-8D5A-D02D4AD6AC51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F27-4C51-8D5A-D02D4AD6AC51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F27-4C51-8D5A-D02D4AD6AC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F27-4C51-8D5A-D02D4AD6A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97056"/>
        <c:axId val="106395520"/>
      </c:lineChart>
      <c:dateAx>
        <c:axId val="106379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393984"/>
        <c:crosses val="autoZero"/>
        <c:auto val="1"/>
        <c:lblOffset val="100"/>
        <c:baseTimeUnit val="months"/>
      </c:dateAx>
      <c:valAx>
        <c:axId val="106393984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379904"/>
        <c:crosses val="autoZero"/>
        <c:crossBetween val="between"/>
      </c:valAx>
      <c:valAx>
        <c:axId val="1063955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397056"/>
        <c:crosses val="max"/>
        <c:crossBetween val="between"/>
      </c:valAx>
      <c:dateAx>
        <c:axId val="106397056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395520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A72-4D05-A49D-95FEAED4621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A72-4D05-A49D-95FEAED4621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A72-4D05-A49D-95FEAED4621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A72-4D05-A49D-95FEAED4621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A72-4D05-A49D-95FEAED4621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A72-4D05-A49D-95FEAED46214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A72-4D05-A49D-95FEAED46214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A72-4D05-A49D-95FEAED4621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AA72-4D05-A49D-95FEAED46214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A72-4D05-A49D-95FEAED46214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AA72-4D05-A49D-95FEAED46214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AA72-4D05-A49D-95FEAED46214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A72-4D05-A49D-95FEAED46214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AA72-4D05-A49D-95FEAED46214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A72-4D05-A49D-95FEAED4621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AA72-4D05-A49D-95FEAED46214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AA72-4D05-A49D-95FEAED46214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A72-4D05-A49D-95FEAED46214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AA72-4D05-A49D-95FEAED46214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AA72-4D05-A49D-95FEAED46214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AA72-4D05-A49D-95FEAED46214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AA72-4D05-A49D-95FEAED46214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AA72-4D05-A49D-95FEAED46214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AA72-4D05-A49D-95FEAED46214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72-4D05-A49D-95FEAED46214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A72-4D05-A49D-95FEAED46214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A72-4D05-A49D-95FEAED46214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72-4D05-A49D-95FEAED46214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72-4D05-A49D-95FEAED46214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72-4D05-A49D-95FEAED46214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A72-4D05-A49D-95FEAED46214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A72-4D05-A49D-95FEAED46214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72-4D05-A49D-95FEAED46214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A72-4D05-A49D-95FEAED46214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A72-4D05-A49D-95FEAED46214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AA72-4D05-A49D-95FEAED46214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A72-4D05-A49D-95FEAED46214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A72-4D05-A49D-95FEAED46214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AA72-4D05-A49D-95FEAED4621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A72-4D05-A49D-95FEAED46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A72-4D05-A49D-95FEAED4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964672"/>
        <c:axId val="105966208"/>
        <c:axId val="0"/>
      </c:bar3DChart>
      <c:dateAx>
        <c:axId val="105964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966208"/>
        <c:crosses val="autoZero"/>
        <c:auto val="1"/>
        <c:lblOffset val="100"/>
        <c:baseTimeUnit val="months"/>
      </c:dateAx>
      <c:valAx>
        <c:axId val="10596620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96467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4D13-498C-BF93-3979D8254A6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4D13-498C-BF93-3979D8254A6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4D13-498C-BF93-3979D8254A6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4D13-498C-BF93-3979D8254A6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4D13-498C-BF93-3979D8254A6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4D13-498C-BF93-3979D8254A6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4D13-498C-BF93-3979D8254A6B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4D13-498C-BF93-3979D8254A6B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4D13-498C-BF93-3979D8254A6B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4D13-498C-BF93-3979D8254A6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4D13-498C-BF93-3979D8254A6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4D13-498C-BF93-3979D8254A6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4D13-498C-BF93-3979D8254A6B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4D13-498C-BF93-3979D8254A6B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4D13-498C-BF93-3979D8254A6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4D13-498C-BF93-3979D8254A6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4D13-498C-BF93-3979D8254A6B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13-498C-BF93-3979D8254A6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D13-498C-BF93-3979D8254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5936"/>
        <c:axId val="10609049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13-498C-BF93-3979D8254A6B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13-498C-BF93-3979D8254A6B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13-498C-BF93-3979D8254A6B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13-498C-BF93-3979D8254A6B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13-498C-BF93-3979D8254A6B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13-498C-BF93-3979D8254A6B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13-498C-BF93-3979D8254A6B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13-498C-BF93-3979D8254A6B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13-498C-BF93-3979D8254A6B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13-498C-BF93-3979D8254A6B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13-498C-BF93-3979D8254A6B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13-498C-BF93-3979D8254A6B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13-498C-BF93-3979D8254A6B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13-498C-BF93-3979D8254A6B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13-498C-BF93-3979D8254A6B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13-498C-BF93-3979D8254A6B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D13-498C-BF93-3979D8254A6B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D13-498C-BF93-3979D8254A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D13-498C-BF93-3979D8254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3568"/>
        <c:axId val="106092032"/>
      </c:lineChart>
      <c:dateAx>
        <c:axId val="10605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090496"/>
        <c:crosses val="autoZero"/>
        <c:auto val="1"/>
        <c:lblOffset val="100"/>
        <c:baseTimeUnit val="months"/>
      </c:dateAx>
      <c:valAx>
        <c:axId val="10609049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055936"/>
        <c:crosses val="autoZero"/>
        <c:crossBetween val="between"/>
      </c:valAx>
      <c:valAx>
        <c:axId val="10609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093568"/>
        <c:crosses val="max"/>
        <c:crossBetween val="between"/>
      </c:valAx>
      <c:dateAx>
        <c:axId val="1060935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09203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6B0-4B9D-B234-88819B513F9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6B0-4B9D-B234-88819B513F9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6B0-4B9D-B234-88819B513F9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6B0-4B9D-B234-88819B513F9C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6B0-4B9D-B234-88819B513F9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6B0-4B9D-B234-88819B513F9C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6B0-4B9D-B234-88819B513F9C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6B0-4B9D-B234-88819B513F9C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A6B0-4B9D-B234-88819B513F9C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6B0-4B9D-B234-88819B513F9C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A6B0-4B9D-B234-88819B513F9C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A6B0-4B9D-B234-88819B513F9C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6B0-4B9D-B234-88819B513F9C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A6B0-4B9D-B234-88819B513F9C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6B0-4B9D-B234-88819B513F9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A6B0-4B9D-B234-88819B513F9C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A6B0-4B9D-B234-88819B513F9C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6B0-4B9D-B234-88819B513F9C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A6B0-4B9D-B234-88819B513F9C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A6B0-4B9D-B234-88819B513F9C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A6B0-4B9D-B234-88819B513F9C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A6B0-4B9D-B234-88819B513F9C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A6B0-4B9D-B234-88819B513F9C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A6B0-4B9D-B234-88819B513F9C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6B0-4B9D-B234-88819B513F9C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B0-4B9D-B234-88819B513F9C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6B0-4B9D-B234-88819B513F9C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B0-4B9D-B234-88819B513F9C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B0-4B9D-B234-88819B513F9C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B0-4B9D-B234-88819B513F9C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6B0-4B9D-B234-88819B513F9C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6B0-4B9D-B234-88819B513F9C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6B0-4B9D-B234-88819B513F9C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6B0-4B9D-B234-88819B513F9C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6B0-4B9D-B234-88819B513F9C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A6B0-4B9D-B234-88819B513F9C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6B0-4B9D-B234-88819B513F9C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6B0-4B9D-B234-88819B513F9C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A6B0-4B9D-B234-88819B513F9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6B0-4B9D-B234-88819B513F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6B0-4B9D-B234-88819B513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964672"/>
        <c:axId val="105966208"/>
        <c:axId val="0"/>
      </c:bar3DChart>
      <c:dateAx>
        <c:axId val="105964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966208"/>
        <c:crosses val="autoZero"/>
        <c:auto val="1"/>
        <c:lblOffset val="100"/>
        <c:baseTimeUnit val="months"/>
      </c:dateAx>
      <c:valAx>
        <c:axId val="10596620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96467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5531-408B-90EC-C8337EF5F08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5531-408B-90EC-C8337EF5F08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5531-408B-90EC-C8337EF5F08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5531-408B-90EC-C8337EF5F08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5531-408B-90EC-C8337EF5F08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5531-408B-90EC-C8337EF5F08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5531-408B-90EC-C8337EF5F08C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5531-408B-90EC-C8337EF5F08C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5531-408B-90EC-C8337EF5F08C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5531-408B-90EC-C8337EF5F08C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5531-408B-90EC-C8337EF5F08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5531-408B-90EC-C8337EF5F08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5531-408B-90EC-C8337EF5F08C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5531-408B-90EC-C8337EF5F08C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5531-408B-90EC-C8337EF5F08C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5531-408B-90EC-C8337EF5F08C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5531-408B-90EC-C8337EF5F08C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531-408B-90EC-C8337EF5F08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531-408B-90EC-C8337EF5F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5936"/>
        <c:axId val="10609049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531-408B-90EC-C8337EF5F08C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531-408B-90EC-C8337EF5F08C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531-408B-90EC-C8337EF5F08C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531-408B-90EC-C8337EF5F08C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531-408B-90EC-C8337EF5F08C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531-408B-90EC-C8337EF5F08C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531-408B-90EC-C8337EF5F08C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531-408B-90EC-C8337EF5F08C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531-408B-90EC-C8337EF5F08C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531-408B-90EC-C8337EF5F08C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531-408B-90EC-C8337EF5F08C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531-408B-90EC-C8337EF5F08C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531-408B-90EC-C8337EF5F08C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531-408B-90EC-C8337EF5F08C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531-408B-90EC-C8337EF5F08C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531-408B-90EC-C8337EF5F08C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531-408B-90EC-C8337EF5F08C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531-408B-90EC-C8337EF5F0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531-408B-90EC-C8337EF5F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3568"/>
        <c:axId val="106092032"/>
      </c:lineChart>
      <c:dateAx>
        <c:axId val="10605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090496"/>
        <c:crosses val="autoZero"/>
        <c:auto val="1"/>
        <c:lblOffset val="100"/>
        <c:baseTimeUnit val="months"/>
      </c:dateAx>
      <c:valAx>
        <c:axId val="10609049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055936"/>
        <c:crosses val="autoZero"/>
        <c:crossBetween val="between"/>
      </c:valAx>
      <c:valAx>
        <c:axId val="10609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093568"/>
        <c:crosses val="max"/>
        <c:crossBetween val="between"/>
      </c:valAx>
      <c:dateAx>
        <c:axId val="1060935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09203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7EB-4B62-B007-3DC1B3D557E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7EB-4B62-B007-3DC1B3D557E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7EB-4B62-B007-3DC1B3D557E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7EB-4B62-B007-3DC1B3D557E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7EB-4B62-B007-3DC1B3D557ED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87EB-4B62-B007-3DC1B3D557ED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87EB-4B62-B007-3DC1B3D557ED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87EB-4B62-B007-3DC1B3D557ED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7EB-4B62-B007-3DC1B3D557ED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7EB-4B62-B007-3DC1B3D557ED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7EB-4B62-B007-3DC1B3D557ED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87EB-4B62-B007-3DC1B3D557ED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7EB-4B62-B007-3DC1B3D557ED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7EB-4B62-B007-3DC1B3D557ED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7EB-4B62-B007-3DC1B3D557ED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7EB-4B62-B007-3DC1B3D557ED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87EB-4B62-B007-3DC1B3D557ED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7EB-4B62-B007-3DC1B3D557ED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7EB-4B62-B007-3DC1B3D557ED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7EB-4B62-B007-3DC1B3D557ED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7EB-4B62-B007-3DC1B3D557ED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7EB-4B62-B007-3DC1B3D557ED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7EB-4B62-B007-3DC1B3D557ED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87EB-4B62-B007-3DC1B3D557E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87EB-4B62-B007-3DC1B3D557E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7EB-4B62-B007-3DC1B3D557E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7EB-4B62-B007-3DC1B3D557ED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EB-4B62-B007-3DC1B3D557ED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EB-4B62-B007-3DC1B3D557ED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EB-4B62-B007-3DC1B3D557ED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7EB-4B62-B007-3DC1B3D557ED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7EB-4B62-B007-3DC1B3D557ED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EB-4B62-B007-3DC1B3D557ED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7EB-4B62-B007-3DC1B3D557ED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7EB-4B62-B007-3DC1B3D557ED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7EB-4B62-B007-3DC1B3D557ED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EB-4B62-B007-3DC1B3D557ED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EB-4B62-B007-3DC1B3D557ED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7EB-4B62-B007-3DC1B3D557E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7EB-4B62-B007-3DC1B3D557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7EB-4B62-B007-3DC1B3D55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964672"/>
        <c:axId val="105966208"/>
        <c:axId val="0"/>
      </c:bar3DChart>
      <c:dateAx>
        <c:axId val="105964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966208"/>
        <c:crosses val="autoZero"/>
        <c:auto val="1"/>
        <c:lblOffset val="100"/>
        <c:baseTimeUnit val="months"/>
      </c:dateAx>
      <c:valAx>
        <c:axId val="10596620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96467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E12E-47BA-8334-3E72B2D8E0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E12E-47BA-8334-3E72B2D8E00D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E12E-47BA-8334-3E72B2D8E00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E12E-47BA-8334-3E72B2D8E00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E12E-47BA-8334-3E72B2D8E00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E12E-47BA-8334-3E72B2D8E00D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E12E-47BA-8334-3E72B2D8E00D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E12E-47BA-8334-3E72B2D8E00D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E12E-47BA-8334-3E72B2D8E00D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E12E-47BA-8334-3E72B2D8E00D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E12E-47BA-8334-3E72B2D8E00D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E12E-47BA-8334-3E72B2D8E00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E12E-47BA-8334-3E72B2D8E00D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E12E-47BA-8334-3E72B2D8E00D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E12E-47BA-8334-3E72B2D8E00D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E12E-47BA-8334-3E72B2D8E00D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E12E-47BA-8334-3E72B2D8E00D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2E-47BA-8334-3E72B2D8E00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12E-47BA-8334-3E72B2D8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5936"/>
        <c:axId val="10609049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12E-47BA-8334-3E72B2D8E00D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12E-47BA-8334-3E72B2D8E00D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12E-47BA-8334-3E72B2D8E00D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12E-47BA-8334-3E72B2D8E00D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12E-47BA-8334-3E72B2D8E00D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12E-47BA-8334-3E72B2D8E00D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12E-47BA-8334-3E72B2D8E00D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12E-47BA-8334-3E72B2D8E00D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12E-47BA-8334-3E72B2D8E00D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12E-47BA-8334-3E72B2D8E00D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12E-47BA-8334-3E72B2D8E00D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12E-47BA-8334-3E72B2D8E00D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12E-47BA-8334-3E72B2D8E00D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E12E-47BA-8334-3E72B2D8E00D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12E-47BA-8334-3E72B2D8E00D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12E-47BA-8334-3E72B2D8E00D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12E-47BA-8334-3E72B2D8E00D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12E-47BA-8334-3E72B2D8E0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12E-47BA-8334-3E72B2D8E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3568"/>
        <c:axId val="106092032"/>
      </c:lineChart>
      <c:dateAx>
        <c:axId val="10605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090496"/>
        <c:crosses val="autoZero"/>
        <c:auto val="1"/>
        <c:lblOffset val="100"/>
        <c:baseTimeUnit val="months"/>
      </c:dateAx>
      <c:valAx>
        <c:axId val="10609049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055936"/>
        <c:crosses val="autoZero"/>
        <c:crossBetween val="between"/>
      </c:valAx>
      <c:valAx>
        <c:axId val="10609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093568"/>
        <c:crosses val="max"/>
        <c:crossBetween val="between"/>
      </c:valAx>
      <c:dateAx>
        <c:axId val="1060935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09203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A50-4AB9-8595-291AC76218CF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A50-4AB9-8595-291AC76218CF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AA50-4AB9-8595-291AC76218CF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AA50-4AB9-8595-291AC76218CF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AA50-4AB9-8595-291AC76218C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AA50-4AB9-8595-291AC76218CF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AA50-4AB9-8595-291AC76218CF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AA50-4AB9-8595-291AC76218CF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AA50-4AB9-8595-291AC76218C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AA50-4AB9-8595-291AC76218CF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AA50-4AB9-8595-291AC76218CF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AA50-4AB9-8595-291AC76218CF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AA50-4AB9-8595-291AC76218CF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AA50-4AB9-8595-291AC76218CF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AA50-4AB9-8595-291AC76218CF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AA50-4AB9-8595-291AC76218CF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AA50-4AB9-8595-291AC76218CF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AA50-4AB9-8595-291AC76218CF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AA50-4AB9-8595-291AC76218CF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AA50-4AB9-8595-291AC76218CF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AA50-4AB9-8595-291AC76218CF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AA50-4AB9-8595-291AC76218CF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AA50-4AB9-8595-291AC76218CF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AA50-4AB9-8595-291AC76218CF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50-4AB9-8595-291AC76218CF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A50-4AB9-8595-291AC76218CF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A50-4AB9-8595-291AC76218CF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50-4AB9-8595-291AC76218CF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50-4AB9-8595-291AC76218CF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A50-4AB9-8595-291AC76218CF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AA50-4AB9-8595-291AC76218CF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AA50-4AB9-8595-291AC76218CF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A50-4AB9-8595-291AC76218CF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AA50-4AB9-8595-291AC76218CF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AA50-4AB9-8595-291AC76218CF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AA50-4AB9-8595-291AC76218CF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A50-4AB9-8595-291AC76218CF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A50-4AB9-8595-291AC76218CF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AA50-4AB9-8595-291AC76218C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AA50-4AB9-8595-291AC76218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A50-4AB9-8595-291AC7621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964672"/>
        <c:axId val="105966208"/>
        <c:axId val="0"/>
      </c:bar3DChart>
      <c:dateAx>
        <c:axId val="105964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966208"/>
        <c:crosses val="autoZero"/>
        <c:auto val="1"/>
        <c:lblOffset val="100"/>
        <c:baseTimeUnit val="months"/>
      </c:dateAx>
      <c:valAx>
        <c:axId val="10596620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96467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BE06-43CC-B51E-8BF677C4D8D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BE06-43CC-B51E-8BF677C4D8D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BE06-43CC-B51E-8BF677C4D8D1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BE06-43CC-B51E-8BF677C4D8D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BE06-43CC-B51E-8BF677C4D8D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BE06-43CC-B51E-8BF677C4D8D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BE06-43CC-B51E-8BF677C4D8D1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BE06-43CC-B51E-8BF677C4D8D1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BE06-43CC-B51E-8BF677C4D8D1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BE06-43CC-B51E-8BF677C4D8D1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BE06-43CC-B51E-8BF677C4D8D1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BE06-43CC-B51E-8BF677C4D8D1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BE06-43CC-B51E-8BF677C4D8D1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BE06-43CC-B51E-8BF677C4D8D1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BE06-43CC-B51E-8BF677C4D8D1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BE06-43CC-B51E-8BF677C4D8D1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BE06-43CC-B51E-8BF677C4D8D1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E06-43CC-B51E-8BF677C4D8D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E06-43CC-B51E-8BF677C4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5936"/>
        <c:axId val="10609049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E06-43CC-B51E-8BF677C4D8D1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E06-43CC-B51E-8BF677C4D8D1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E06-43CC-B51E-8BF677C4D8D1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E06-43CC-B51E-8BF677C4D8D1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E06-43CC-B51E-8BF677C4D8D1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E06-43CC-B51E-8BF677C4D8D1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E06-43CC-B51E-8BF677C4D8D1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E06-43CC-B51E-8BF677C4D8D1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E06-43CC-B51E-8BF677C4D8D1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E06-43CC-B51E-8BF677C4D8D1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E06-43CC-B51E-8BF677C4D8D1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E06-43CC-B51E-8BF677C4D8D1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E06-43CC-B51E-8BF677C4D8D1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E06-43CC-B51E-8BF677C4D8D1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E06-43CC-B51E-8BF677C4D8D1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E06-43CC-B51E-8BF677C4D8D1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E06-43CC-B51E-8BF677C4D8D1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E06-43CC-B51E-8BF677C4D8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BE06-43CC-B51E-8BF677C4D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3568"/>
        <c:axId val="106092032"/>
      </c:lineChart>
      <c:dateAx>
        <c:axId val="10605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090496"/>
        <c:crosses val="autoZero"/>
        <c:auto val="1"/>
        <c:lblOffset val="100"/>
        <c:baseTimeUnit val="months"/>
      </c:dateAx>
      <c:valAx>
        <c:axId val="10609049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055936"/>
        <c:crosses val="autoZero"/>
        <c:crossBetween val="between"/>
      </c:valAx>
      <c:valAx>
        <c:axId val="10609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093568"/>
        <c:crosses val="max"/>
        <c:crossBetween val="between"/>
      </c:valAx>
      <c:dateAx>
        <c:axId val="1060935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09203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VARIAÇÃO COBRE LME - DOLAR</a:t>
            </a:r>
          </a:p>
        </c:rich>
      </c:tx>
      <c:layout>
        <c:manualLayout>
          <c:xMode val="edge"/>
          <c:yMode val="edge"/>
          <c:x val="0.29062710792928942"/>
          <c:y val="6.2119794800908026E-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619828993060009E-2"/>
          <c:y val="6.6653261084299947E-2"/>
          <c:w val="0.933801836547276"/>
          <c:h val="0.9251195104662642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D17-4CBF-88FB-7609E105544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D17-4CBF-88FB-7609E105544A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D17-4CBF-88FB-7609E105544A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D17-4CBF-88FB-7609E105544A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D17-4CBF-88FB-7609E105544A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6-8D17-4CBF-88FB-7609E105544A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8D17-4CBF-88FB-7609E105544A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8D17-4CBF-88FB-7609E105544A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8D17-4CBF-88FB-7609E105544A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D17-4CBF-88FB-7609E105544A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D17-4CBF-88FB-7609E105544A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F-8D17-4CBF-88FB-7609E105544A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D17-4CBF-88FB-7609E105544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8D17-4CBF-88FB-7609E105544A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8D17-4CBF-88FB-7609E105544A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8D17-4CBF-88FB-7609E105544A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16-8D17-4CBF-88FB-7609E105544A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7-8D17-4CBF-88FB-7609E105544A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8-8D17-4CBF-88FB-7609E105544A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9-8D17-4CBF-88FB-7609E105544A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A-8D17-4CBF-88FB-7609E105544A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B-8D17-4CBF-88FB-7609E105544A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C-8D17-4CBF-88FB-7609E105544A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D-8D17-4CBF-88FB-7609E105544A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8D17-4CBF-88FB-7609E105544A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D17-4CBF-88FB-7609E105544A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D17-4CBF-88FB-7609E105544A}"/>
                </c:ext>
              </c:extLst>
            </c:dLbl>
            <c:dLbl>
              <c:idx val="3"/>
              <c:layout>
                <c:manualLayout>
                  <c:x val="1.0582009479855697E-2"/>
                  <c:y val="-1.1695911818350517E-2"/>
                </c:manualLayout>
              </c:layout>
              <c:spPr>
                <a:solidFill>
                  <a:sysClr val="window" lastClr="FFFFFF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17-4CBF-88FB-7609E105544A}"/>
                </c:ext>
              </c:extLst>
            </c:dLbl>
            <c:dLbl>
              <c:idx val="4"/>
              <c:layout>
                <c:manualLayout>
                  <c:x val="5.2910047399278484E-3"/>
                  <c:y val="-1.5594549091134023E-2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17-4CBF-88FB-7609E105544A}"/>
                </c:ext>
              </c:extLst>
            </c:dLbl>
            <c:dLbl>
              <c:idx val="5"/>
              <c:layout>
                <c:manualLayout>
                  <c:x val="1.2689775694809963E-2"/>
                  <c:y val="-6.0606832614484539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17-4CBF-88FB-7609E105544A}"/>
                </c:ext>
              </c:extLst>
            </c:dLbl>
            <c:dLbl>
              <c:idx val="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D17-4CBF-88FB-7609E105544A}"/>
                </c:ext>
              </c:extLst>
            </c:dLbl>
            <c:dLbl>
              <c:idx val="7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D17-4CBF-88FB-7609E105544A}"/>
                </c:ext>
              </c:extLst>
            </c:dLbl>
            <c:dLbl>
              <c:idx val="8"/>
              <c:layout>
                <c:manualLayout>
                  <c:x val="-3.649950697868649E-3"/>
                  <c:y val="-4.6925660426279771E-3"/>
                </c:manualLayout>
              </c:layout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D17-4CBF-88FB-7609E105544A}"/>
                </c:ext>
              </c:extLst>
            </c:dLbl>
            <c:dLbl>
              <c:idx val="9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D17-4CBF-88FB-7609E105544A}"/>
                </c:ext>
              </c:extLst>
            </c:dLbl>
            <c:dLbl>
              <c:idx val="10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D17-4CBF-88FB-7609E105544A}"/>
                </c:ext>
              </c:extLst>
            </c:dLbl>
            <c:dLbl>
              <c:idx val="11"/>
              <c:spPr/>
              <c:txPr>
                <a:bodyPr/>
                <a:lstStyle/>
                <a:p>
                  <a:pPr>
                    <a:defRPr b="1">
                      <a:solidFill>
                        <a:schemeClr val="accent3">
                          <a:lumMod val="50000"/>
                        </a:schemeClr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D17-4CBF-88FB-7609E105544A}"/>
                </c:ext>
              </c:extLst>
            </c:dLbl>
            <c:dLbl>
              <c:idx val="12"/>
              <c:layout>
                <c:manualLayout>
                  <c:x val="1.4331023863395661E-3"/>
                  <c:y val="-1.6686115674389622E-2"/>
                </c:manualLayout>
              </c:layout>
              <c:spPr>
                <a:solidFill>
                  <a:schemeClr val="bg1"/>
                </a:solidFill>
              </c:spPr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D17-4CBF-88FB-7609E105544A}"/>
                </c:ext>
              </c:extLst>
            </c:dLbl>
            <c:dLbl>
              <c:idx val="15"/>
              <c:layout>
                <c:manualLayout>
                  <c:x val="9.285051067780872E-3"/>
                  <c:y val="-1.5739002270584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17-4CBF-88FB-7609E105544A}"/>
                </c:ext>
              </c:extLst>
            </c:dLbl>
            <c:dLbl>
              <c:idx val="16"/>
              <c:spPr/>
              <c:txPr>
                <a:bodyPr/>
                <a:lstStyle/>
                <a:p>
                  <a:pPr>
                    <a:defRPr b="1">
                      <a:solidFill>
                        <a:srgbClr val="FF0000"/>
                      </a:solidFill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D17-4CBF-88FB-7609E105544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 b="1">
                        <a:solidFill>
                          <a:srgbClr val="00B050"/>
                        </a:solidFill>
                      </a:rPr>
                      <a:t>-10%</a:t>
                    </a:r>
                    <a:endParaRPr lang="en-US">
                      <a:solidFill>
                        <a:srgbClr val="3333FF"/>
                      </a:solidFill>
                    </a:endParaRP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D17-4CBF-88FB-7609E10554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rgbClr val="00B050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'2016'!$O$57:$O$69</c:f>
              <c:numCache>
                <c:formatCode>mmm\-yy</c:formatCode>
                <c:ptCount val="13"/>
                <c:pt idx="0">
                  <c:v>42217</c:v>
                </c:pt>
                <c:pt idx="1">
                  <c:v>42248</c:v>
                </c:pt>
                <c:pt idx="2">
                  <c:v>42278</c:v>
                </c:pt>
                <c:pt idx="3">
                  <c:v>42309</c:v>
                </c:pt>
                <c:pt idx="4">
                  <c:v>42339</c:v>
                </c:pt>
                <c:pt idx="5">
                  <c:v>42370</c:v>
                </c:pt>
                <c:pt idx="6">
                  <c:v>42401</c:v>
                </c:pt>
                <c:pt idx="7">
                  <c:v>42430</c:v>
                </c:pt>
                <c:pt idx="8">
                  <c:v>42461</c:v>
                </c:pt>
                <c:pt idx="9">
                  <c:v>42491</c:v>
                </c:pt>
                <c:pt idx="10">
                  <c:v>42522</c:v>
                </c:pt>
                <c:pt idx="11">
                  <c:v>42552</c:v>
                </c:pt>
                <c:pt idx="12">
                  <c:v>42583</c:v>
                </c:pt>
              </c:numCache>
            </c:numRef>
          </c:cat>
          <c:val>
            <c:numRef>
              <c:f>'2016'!$Q$57:$Q$69</c:f>
              <c:numCache>
                <c:formatCode>0.00%</c:formatCode>
                <c:ptCount val="13"/>
                <c:pt idx="0">
                  <c:v>-6.7435203849923075E-2</c:v>
                </c:pt>
                <c:pt idx="1">
                  <c:v>2.3416715532437404E-2</c:v>
                </c:pt>
                <c:pt idx="2">
                  <c:v>2.7884934280577589E-3</c:v>
                </c:pt>
                <c:pt idx="3">
                  <c:v>-7.9342561019707936E-2</c:v>
                </c:pt>
                <c:pt idx="4">
                  <c:v>-3.7277291949333047E-2</c:v>
                </c:pt>
                <c:pt idx="5">
                  <c:v>-3.5914884424281701E-2</c:v>
                </c:pt>
                <c:pt idx="6">
                  <c:v>2.9740897535418975E-2</c:v>
                </c:pt>
                <c:pt idx="7">
                  <c:v>7.6612610745557141E-2</c:v>
                </c:pt>
                <c:pt idx="8">
                  <c:v>-1.944205161768453E-2</c:v>
                </c:pt>
                <c:pt idx="9">
                  <c:v>-2.9477760273266651E-2</c:v>
                </c:pt>
                <c:pt idx="10">
                  <c:v>-1.5540089801773904E-2</c:v>
                </c:pt>
                <c:pt idx="11">
                  <c:v>4.7526587075884086E-2</c:v>
                </c:pt>
                <c:pt idx="12">
                  <c:v>-2.0082537234256015E-2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D17-4CBF-88FB-7609E1055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05964672"/>
        <c:axId val="105966208"/>
        <c:axId val="0"/>
      </c:bar3DChart>
      <c:dateAx>
        <c:axId val="105964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sz="1000" b="1"/>
            </a:pPr>
            <a:endParaRPr lang="pt-BR"/>
          </a:p>
        </c:txPr>
        <c:crossAx val="105966208"/>
        <c:crosses val="autoZero"/>
        <c:auto val="1"/>
        <c:lblOffset val="100"/>
        <c:baseTimeUnit val="months"/>
      </c:dateAx>
      <c:valAx>
        <c:axId val="105966208"/>
        <c:scaling>
          <c:orientation val="minMax"/>
          <c:max val="0.12000000000000001"/>
        </c:scaling>
        <c:delete val="0"/>
        <c:axPos val="l"/>
        <c:numFmt formatCode="0.00%" sourceLinked="1"/>
        <c:majorTickMark val="out"/>
        <c:minorTickMark val="none"/>
        <c:tickLblPos val="nextTo"/>
        <c:crossAx val="10596467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landscape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193498725082987E-2"/>
          <c:y val="1.7419551734033051E-2"/>
          <c:w val="0.86866376152741676"/>
          <c:h val="0.938112554611295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'2016'!$S$2</c:f>
              <c:strCache>
                <c:ptCount val="1"/>
                <c:pt idx="0">
                  <c:v>Var Mês (%)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1-5E83-4A0D-832A-8709B356A60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3-5E83-4A0D-832A-8709B356A60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5-5E83-4A0D-832A-8709B356A60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7-5E83-4A0D-832A-8709B356A60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9-5E83-4A0D-832A-8709B356A6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B-5E83-4A0D-832A-8709B356A60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D-5E83-4A0D-832A-8709B356A60B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0F-5E83-4A0D-832A-8709B356A60B}"/>
              </c:ext>
            </c:extLst>
          </c:dPt>
          <c:dPt>
            <c:idx val="8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1-5E83-4A0D-832A-8709B356A60B}"/>
              </c:ext>
            </c:extLst>
          </c:dPt>
          <c:dPt>
            <c:idx val="9"/>
            <c:invertIfNegative val="0"/>
            <c:bubble3D val="0"/>
            <c:spPr>
              <a:solidFill>
                <a:srgbClr val="C0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3-5E83-4A0D-832A-8709B356A60B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5-5E83-4A0D-832A-8709B356A60B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7-5E83-4A0D-832A-8709B356A60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9-5E83-4A0D-832A-8709B356A60B}"/>
              </c:ext>
            </c:extLst>
          </c:dPt>
          <c:dPt>
            <c:idx val="13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B-5E83-4A0D-832A-8709B356A60B}"/>
              </c:ext>
            </c:extLst>
          </c:dPt>
          <c:dPt>
            <c:idx val="14"/>
            <c:invertIfNegative val="0"/>
            <c:bubble3D val="0"/>
            <c:spPr>
              <a:solidFill>
                <a:srgbClr val="990000"/>
              </a:solidFill>
              <a:effectLst/>
            </c:spPr>
            <c:extLst>
              <c:ext xmlns:c16="http://schemas.microsoft.com/office/drawing/2014/chart" uri="{C3380CC4-5D6E-409C-BE32-E72D297353CC}">
                <c16:uniqueId val="{0000001D-5E83-4A0D-832A-8709B356A60B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E-5E83-4A0D-832A-8709B356A60B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F-5E83-4A0D-832A-8709B356A60B}"/>
              </c:ext>
            </c:extLst>
          </c:dPt>
          <c:dLbls>
            <c:dLbl>
              <c:idx val="4"/>
              <c:layout>
                <c:manualLayout>
                  <c:x val="-2.7155465037338763E-3"/>
                  <c:y val="-1.54337805622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E83-4A0D-832A-8709B356A60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'2016'!$O$32:$O$67</c:f>
              <c:numCache>
                <c:formatCode>mmm\-yy</c:formatCode>
                <c:ptCount val="13"/>
                <c:pt idx="0">
                  <c:v>42156</c:v>
                </c:pt>
                <c:pt idx="1">
                  <c:v>42186</c:v>
                </c:pt>
                <c:pt idx="2">
                  <c:v>42217</c:v>
                </c:pt>
                <c:pt idx="3">
                  <c:v>42248</c:v>
                </c:pt>
                <c:pt idx="4">
                  <c:v>42278</c:v>
                </c:pt>
                <c:pt idx="5">
                  <c:v>42309</c:v>
                </c:pt>
                <c:pt idx="6">
                  <c:v>42339</c:v>
                </c:pt>
                <c:pt idx="7">
                  <c:v>42370</c:v>
                </c:pt>
                <c:pt idx="8">
                  <c:v>42401</c:v>
                </c:pt>
                <c:pt idx="9">
                  <c:v>42430</c:v>
                </c:pt>
                <c:pt idx="10">
                  <c:v>42461</c:v>
                </c:pt>
                <c:pt idx="11">
                  <c:v>42491</c:v>
                </c:pt>
                <c:pt idx="12">
                  <c:v>42522</c:v>
                </c:pt>
              </c:numCache>
            </c:numRef>
          </c:cat>
          <c:val>
            <c:numRef>
              <c:f>'2016'!$S$32:$S$67</c:f>
              <c:numCache>
                <c:formatCode>0.00%</c:formatCode>
                <c:ptCount val="13"/>
                <c:pt idx="0">
                  <c:v>-5.5776743557084174E-2</c:v>
                </c:pt>
                <c:pt idx="1">
                  <c:v>-3.3248112673627928E-2</c:v>
                </c:pt>
                <c:pt idx="2">
                  <c:v>1.6034386609514506E-2</c:v>
                </c:pt>
                <c:pt idx="3">
                  <c:v>0.13688000761348085</c:v>
                </c:pt>
                <c:pt idx="4">
                  <c:v>-3.2091377799084997E-3</c:v>
                </c:pt>
                <c:pt idx="5">
                  <c:v>-0.10173847330974595</c:v>
                </c:pt>
                <c:pt idx="6">
                  <c:v>-1.3146795826206148E-2</c:v>
                </c:pt>
                <c:pt idx="7">
                  <c:v>5.5570307439165578E-3</c:v>
                </c:pt>
                <c:pt idx="8">
                  <c:v>1.14122998048094E-2</c:v>
                </c:pt>
                <c:pt idx="9">
                  <c:v>2.1810049567914103E-3</c:v>
                </c:pt>
                <c:pt idx="10">
                  <c:v>-5.3266296229253163E-2</c:v>
                </c:pt>
                <c:pt idx="11">
                  <c:v>-3.6390815852239466E-2</c:v>
                </c:pt>
                <c:pt idx="12">
                  <c:v>-4.6265360265523081E-2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5E83-4A0D-832A-8709B356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055936"/>
        <c:axId val="106090496"/>
      </c:barChart>
      <c:lineChart>
        <c:grouping val="stacked"/>
        <c:varyColors val="0"/>
        <c:ser>
          <c:idx val="1"/>
          <c:order val="1"/>
          <c:tx>
            <c:strRef>
              <c:f>'2016'!$T$2</c:f>
              <c:strCache>
                <c:ptCount val="1"/>
                <c:pt idx="0">
                  <c:v>Acumulado/Ano</c:v>
                </c:pt>
              </c:strCache>
            </c:strRef>
          </c:tx>
          <c:spPr>
            <a:ln w="12700">
              <a:solidFill>
                <a:schemeClr val="tx2"/>
              </a:solidFill>
              <a:prstDash val="sysDash"/>
            </a:ln>
            <a:effectLst/>
          </c:spPr>
          <c:marker>
            <c:spPr>
              <a:solidFill>
                <a:schemeClr val="tx2"/>
              </a:solidFill>
              <a:ln w="12700">
                <a:solidFill>
                  <a:schemeClr val="tx2"/>
                </a:solidFill>
                <a:prstDash val="sysDash"/>
              </a:ln>
              <a:effectLst/>
            </c:spPr>
          </c:marker>
          <c:dLbls>
            <c:dLbl>
              <c:idx val="0"/>
              <c:layout>
                <c:manualLayout>
                  <c:x val="-3.5307129378685097E-2"/>
                  <c:y val="-2.6223511974251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E83-4A0D-832A-8709B356A60B}"/>
                </c:ext>
              </c:extLst>
            </c:dLbl>
            <c:dLbl>
              <c:idx val="1"/>
              <c:layout>
                <c:manualLayout>
                  <c:x val="-2.1213763758145304E-2"/>
                  <c:y val="-3.4840926391418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E83-4A0D-832A-8709B356A60B}"/>
                </c:ext>
              </c:extLst>
            </c:dLbl>
            <c:dLbl>
              <c:idx val="2"/>
              <c:layout>
                <c:manualLayout>
                  <c:x val="3.8818416537036741E-3"/>
                  <c:y val="1.47155487614527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E83-4A0D-832A-8709B356A60B}"/>
                </c:ext>
              </c:extLst>
            </c:dLbl>
            <c:dLbl>
              <c:idx val="3"/>
              <c:layout>
                <c:manualLayout>
                  <c:x val="-8.3536304397795511E-2"/>
                  <c:y val="6.13216224686240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E83-4A0D-832A-8709B356A60B}"/>
                </c:ext>
              </c:extLst>
            </c:dLbl>
            <c:dLbl>
              <c:idx val="4"/>
              <c:layout>
                <c:manualLayout>
                  <c:x val="3.8514788502760485E-3"/>
                  <c:y val="2.50378522438593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E83-4A0D-832A-8709B356A60B}"/>
                </c:ext>
              </c:extLst>
            </c:dLbl>
            <c:dLbl>
              <c:idx val="5"/>
              <c:layout>
                <c:manualLayout>
                  <c:x val="-1.5430825729268566E-2"/>
                  <c:y val="-2.84792277124453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E83-4A0D-832A-8709B356A60B}"/>
                </c:ext>
              </c:extLst>
            </c:dLbl>
            <c:dLbl>
              <c:idx val="6"/>
              <c:layout>
                <c:manualLayout>
                  <c:x val="-2.5797691785471828E-2"/>
                  <c:y val="-3.0868168765636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E83-4A0D-832A-8709B356A60B}"/>
                </c:ext>
              </c:extLst>
            </c:dLbl>
            <c:dLbl>
              <c:idx val="7"/>
              <c:layout>
                <c:manualLayout>
                  <c:x val="-3.0196235653842659E-2"/>
                  <c:y val="2.14896838488839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E83-4A0D-832A-8709B356A60B}"/>
                </c:ext>
              </c:extLst>
            </c:dLbl>
            <c:dLbl>
              <c:idx val="8"/>
              <c:layout>
                <c:manualLayout>
                  <c:x val="-3.0305178247831039E-2"/>
                  <c:y val="2.3377320980191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E83-4A0D-832A-8709B356A60B}"/>
                </c:ext>
              </c:extLst>
            </c:dLbl>
            <c:dLbl>
              <c:idx val="9"/>
              <c:layout>
                <c:manualLayout>
                  <c:x val="-4.1329655585312527E-2"/>
                  <c:y val="3.20643103053047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E83-4A0D-832A-8709B356A60B}"/>
                </c:ext>
              </c:extLst>
            </c:dLbl>
            <c:dLbl>
              <c:idx val="10"/>
              <c:layout>
                <c:manualLayout>
                  <c:x val="-7.5924328196246352E-2"/>
                  <c:y val="-6.6362005537737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E83-4A0D-832A-8709B356A60B}"/>
                </c:ext>
              </c:extLst>
            </c:dLbl>
            <c:dLbl>
              <c:idx val="11"/>
              <c:layout>
                <c:manualLayout>
                  <c:x val="-3.7573969241624836E-3"/>
                  <c:y val="-1.3211029354686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E83-4A0D-832A-8709B356A60B}"/>
                </c:ext>
              </c:extLst>
            </c:dLbl>
            <c:dLbl>
              <c:idx val="12"/>
              <c:layout>
                <c:manualLayout>
                  <c:x val="-3.1925336027957864E-2"/>
                  <c:y val="1.88931335826087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5E83-4A0D-832A-8709B356A60B}"/>
                </c:ext>
              </c:extLst>
            </c:dLbl>
            <c:dLbl>
              <c:idx val="13"/>
              <c:layout>
                <c:manualLayout>
                  <c:x val="-3.0479871278819272E-2"/>
                  <c:y val="1.8480037394234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5E83-4A0D-832A-8709B356A60B}"/>
                </c:ext>
              </c:extLst>
            </c:dLbl>
            <c:dLbl>
              <c:idx val="14"/>
              <c:layout>
                <c:manualLayout>
                  <c:x val="-2.6835800311111824E-2"/>
                  <c:y val="1.98288487646580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5E83-4A0D-832A-8709B356A60B}"/>
                </c:ext>
              </c:extLst>
            </c:dLbl>
            <c:dLbl>
              <c:idx val="15"/>
              <c:layout>
                <c:manualLayout>
                  <c:x val="-4.5783686407834458E-2"/>
                  <c:y val="2.538952454057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5E83-4A0D-832A-8709B356A60B}"/>
                </c:ext>
              </c:extLst>
            </c:dLbl>
            <c:dLbl>
              <c:idx val="16"/>
              <c:layout>
                <c:manualLayout>
                  <c:x val="-6.517311608961302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5E83-4A0D-832A-8709B356A60B}"/>
                </c:ext>
              </c:extLst>
            </c:dLbl>
            <c:dLbl>
              <c:idx val="17"/>
              <c:layout>
                <c:manualLayout>
                  <c:x val="-6.3815342837745995E-2"/>
                  <c:y val="2.70096476699317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5E83-4A0D-832A-8709B356A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tx2"/>
                    </a:solidFill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'2016'!$O$31:$O$66</c:f>
              <c:numCache>
                <c:formatCode>mmm\-yy</c:formatCode>
                <c:ptCount val="13"/>
                <c:pt idx="0">
                  <c:v>42125</c:v>
                </c:pt>
                <c:pt idx="1">
                  <c:v>42156</c:v>
                </c:pt>
                <c:pt idx="2">
                  <c:v>42186</c:v>
                </c:pt>
                <c:pt idx="3">
                  <c:v>42217</c:v>
                </c:pt>
                <c:pt idx="4">
                  <c:v>42248</c:v>
                </c:pt>
                <c:pt idx="5">
                  <c:v>42278</c:v>
                </c:pt>
                <c:pt idx="6">
                  <c:v>42309</c:v>
                </c:pt>
                <c:pt idx="7">
                  <c:v>42339</c:v>
                </c:pt>
                <c:pt idx="8">
                  <c:v>42370</c:v>
                </c:pt>
                <c:pt idx="9">
                  <c:v>42401</c:v>
                </c:pt>
                <c:pt idx="10">
                  <c:v>42430</c:v>
                </c:pt>
                <c:pt idx="11">
                  <c:v>42461</c:v>
                </c:pt>
                <c:pt idx="12">
                  <c:v>42491</c:v>
                </c:pt>
              </c:numCache>
            </c:numRef>
          </c:cat>
          <c:val>
            <c:numRef>
              <c:f>'2016'!$T$32:$T$67</c:f>
              <c:numCache>
                <c:formatCode>0.00%</c:formatCode>
                <c:ptCount val="13"/>
                <c:pt idx="0">
                  <c:v>7.0717547738204933E-2</c:v>
                </c:pt>
                <c:pt idx="1">
                  <c:v>3.5118210069374545E-2</c:v>
                </c:pt>
                <c:pt idx="2">
                  <c:v>5.1715695636175285E-2</c:v>
                </c:pt>
                <c:pt idx="3">
                  <c:v>0.1956745480620723</c:v>
                </c:pt>
                <c:pt idx="4">
                  <c:v>0.19183746369741139</c:v>
                </c:pt>
                <c:pt idx="5">
                  <c:v>7.0581739707477054E-2</c:v>
                </c:pt>
                <c:pt idx="6">
                  <c:v>5.6507020160278199E-2</c:v>
                </c:pt>
                <c:pt idx="7">
                  <c:v>5.5570307439165578E-3</c:v>
                </c:pt>
                <c:pt idx="8">
                  <c:v>1.7032749049600282E-2</c:v>
                </c:pt>
                <c:pt idx="9">
                  <c:v>1.9250902516496637E-2</c:v>
                </c:pt>
                <c:pt idx="10">
                  <c:v>-3.5040817988880812E-2</c:v>
                </c:pt>
                <c:pt idx="11">
                  <c:v>-7.0156469886375028E-2</c:v>
                </c:pt>
                <c:pt idx="12">
                  <c:v>-0.11317601579764769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5E83-4A0D-832A-8709B356A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093568"/>
        <c:axId val="106092032"/>
      </c:lineChart>
      <c:dateAx>
        <c:axId val="10605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106090496"/>
        <c:crosses val="autoZero"/>
        <c:auto val="1"/>
        <c:lblOffset val="100"/>
        <c:baseTimeUnit val="months"/>
      </c:dateAx>
      <c:valAx>
        <c:axId val="106090496"/>
        <c:scaling>
          <c:orientation val="minMax"/>
          <c:max val="0.16000000000000003"/>
        </c:scaling>
        <c:delete val="0"/>
        <c:axPos val="l"/>
        <c:numFmt formatCode="0.00%" sourceLinked="1"/>
        <c:majorTickMark val="out"/>
        <c:minorTickMark val="none"/>
        <c:tickLblPos val="nextTo"/>
        <c:crossAx val="106055936"/>
        <c:crosses val="autoZero"/>
        <c:crossBetween val="between"/>
      </c:valAx>
      <c:valAx>
        <c:axId val="1060920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06093568"/>
        <c:crosses val="max"/>
        <c:crossBetween val="between"/>
      </c:valAx>
      <c:dateAx>
        <c:axId val="106093568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06092032"/>
        <c:crosses val="autoZero"/>
        <c:auto val="1"/>
        <c:lblOffset val="100"/>
        <c:baseTimeUnit val="months"/>
      </c:dateAx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3584570564117367"/>
          <c:y val="0.89129300409109569"/>
          <c:w val="0.29789898213942767"/>
          <c:h val="6.9583130833362622E-2"/>
        </c:manualLayout>
      </c:layout>
      <c:overlay val="0"/>
      <c:txPr>
        <a:bodyPr/>
        <a:lstStyle/>
        <a:p>
          <a:pPr rtl="0">
            <a:defRPr b="1"/>
          </a:pPr>
          <a:endParaRPr lang="pt-BR"/>
        </a:p>
      </c:txPr>
    </c:legend>
    <c:plotVisOnly val="1"/>
    <c:dispBlanksAs val="gap"/>
    <c:showDLblsOverMax val="0"/>
  </c:chart>
  <c:printSettings>
    <c:headerFooter>
      <c:oddHeader>&amp;C&amp;"-,Negrito"&amp;14ACOMPANHAMENTO MÉDIAS LME (MÊS X MÊS)&amp;R&amp;D</c:oddHeader>
    </c:headerFooter>
    <c:pageMargins b="0.78740157480314965" l="0.51181102362204722" r="0.51181102362204722" t="0.78740157480314965" header="0.31496062992125984" footer="0.31496062992125984"/>
    <c:pageSetup orientation="landscape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ysClr val="windowText" lastClr="000000"/>
                </a:solidFill>
              </a:rPr>
              <a:t>Evolução cotação cobre - 12</a:t>
            </a:r>
            <a:r>
              <a:rPr lang="pt-BR" baseline="0">
                <a:solidFill>
                  <a:sysClr val="windowText" lastClr="000000"/>
                </a:solidFill>
              </a:rPr>
              <a:t> meses</a:t>
            </a:r>
            <a:endParaRPr lang="pt-BR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1999358450658338"/>
          <c:y val="3.9603939812406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Planilha1!$D$5</c:f>
              <c:strCache>
                <c:ptCount val="1"/>
                <c:pt idx="0">
                  <c:v>USD/ton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Planilha1!$C$6:$C$19</c:f>
              <c:numCache>
                <c:formatCode>[$-416]mmm\-yy;@</c:formatCode>
                <c:ptCount val="14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</c:numCache>
            </c:numRef>
          </c:cat>
          <c:val>
            <c:numRef>
              <c:f>Planilha1!$D$6:$D$19</c:f>
              <c:numCache>
                <c:formatCode>[$$-409]#,##0</c:formatCode>
                <c:ptCount val="14"/>
                <c:pt idx="0">
                  <c:v>8795.71052631579</c:v>
                </c:pt>
                <c:pt idx="1">
                  <c:v>8245.4210526315783</c:v>
                </c:pt>
                <c:pt idx="2">
                  <c:v>8385.363636363636</c:v>
                </c:pt>
                <c:pt idx="3">
                  <c:v>8445.2380952380954</c:v>
                </c:pt>
                <c:pt idx="4">
                  <c:v>8351.7727272727279</c:v>
                </c:pt>
                <c:pt idx="5">
                  <c:v>8272</c:v>
                </c:pt>
                <c:pt idx="6">
                  <c:v>7939.340909090909</c:v>
                </c:pt>
                <c:pt idx="7">
                  <c:v>8173.954545454545</c:v>
                </c:pt>
                <c:pt idx="8">
                  <c:v>8394.105263157895</c:v>
                </c:pt>
                <c:pt idx="9">
                  <c:v>8343.681818181818</c:v>
                </c:pt>
                <c:pt idx="10">
                  <c:v>8310.74</c:v>
                </c:pt>
                <c:pt idx="11">
                  <c:v>8690.0952380952385</c:v>
                </c:pt>
                <c:pt idx="12">
                  <c:v>9480.8095238095229</c:v>
                </c:pt>
                <c:pt idx="13">
                  <c:v>10023.26923076923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3-4919-9178-F6818C7D5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164896"/>
        <c:axId val="2014163648"/>
      </c:barChart>
      <c:dateAx>
        <c:axId val="2014164896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163648"/>
        <c:crosses val="autoZero"/>
        <c:auto val="1"/>
        <c:lblOffset val="100"/>
        <c:baseTimeUnit val="months"/>
      </c:dateAx>
      <c:valAx>
        <c:axId val="2014163648"/>
        <c:scaling>
          <c:orientation val="minMax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164896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Evolução cotação frete por container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Planilha1!$D$24</c:f>
              <c:strCache>
                <c:ptCount val="1"/>
                <c:pt idx="0">
                  <c:v>USD/CONT.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Planilha1!$C$25:$C$29</c:f>
            </c:multiLvlStrRef>
          </c:cat>
          <c:val>
            <c:numRef>
              <c:f>Planilha1!$D$25:$D$29</c:f>
            </c:numRef>
          </c:val>
          <c:extLst>
            <c:ext xmlns:c16="http://schemas.microsoft.com/office/drawing/2014/chart" uri="{C3380CC4-5D6E-409C-BE32-E72D297353CC}">
              <c16:uniqueId val="{00000000-420F-47FC-BA84-FC2D6C9F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565248"/>
        <c:axId val="2023565664"/>
      </c:barChart>
      <c:lineChart>
        <c:grouping val="standard"/>
        <c:varyColors val="0"/>
        <c:ser>
          <c:idx val="1"/>
          <c:order val="1"/>
          <c:tx>
            <c:strRef>
              <c:f>Planilha1!$E$24</c:f>
              <c:strCache>
                <c:ptCount val="1"/>
                <c:pt idx="0">
                  <c:v>Var. 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Planilha1!$C$25:$C$29</c:f>
            </c:multiLvlStrRef>
          </c:cat>
          <c:val>
            <c:numRef>
              <c:f>Planilha1!$E$25:$E$29</c:f>
            </c:numRef>
          </c:val>
          <c:smooth val="0"/>
          <c:extLst>
            <c:ext xmlns:c16="http://schemas.microsoft.com/office/drawing/2014/chart" uri="{C3380CC4-5D6E-409C-BE32-E72D297353CC}">
              <c16:uniqueId val="{00000001-420F-47FC-BA84-FC2D6C9F0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23564000"/>
        <c:axId val="2023563584"/>
      </c:lineChart>
      <c:catAx>
        <c:axId val="2023565248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565664"/>
        <c:crosses val="autoZero"/>
        <c:auto val="1"/>
        <c:lblAlgn val="ctr"/>
        <c:lblOffset val="100"/>
        <c:noMultiLvlLbl val="1"/>
      </c:catAx>
      <c:valAx>
        <c:axId val="202356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565248"/>
        <c:crosses val="autoZero"/>
        <c:crossBetween val="between"/>
        <c:majorUnit val="2000"/>
      </c:valAx>
      <c:valAx>
        <c:axId val="202356358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564000"/>
        <c:crosses val="max"/>
        <c:crossBetween val="between"/>
      </c:valAx>
      <c:catAx>
        <c:axId val="2023564000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2023563584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cotação Dólar - 12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Planilha1!$D$37</c:f>
              <c:strCache>
                <c:ptCount val="1"/>
                <c:pt idx="0">
                  <c:v>Cotação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Planilha1!$C$38:$C$51</c:f>
              <c:numCache>
                <c:formatCode>[$-416]mmm\-yy;@</c:formatCode>
                <c:ptCount val="14"/>
                <c:pt idx="0">
                  <c:v>45017</c:v>
                </c:pt>
                <c:pt idx="1">
                  <c:v>45047</c:v>
                </c:pt>
                <c:pt idx="2">
                  <c:v>45078</c:v>
                </c:pt>
                <c:pt idx="3">
                  <c:v>45108</c:v>
                </c:pt>
                <c:pt idx="4">
                  <c:v>45139</c:v>
                </c:pt>
                <c:pt idx="5">
                  <c:v>45170</c:v>
                </c:pt>
                <c:pt idx="6">
                  <c:v>45200</c:v>
                </c:pt>
                <c:pt idx="7">
                  <c:v>45231</c:v>
                </c:pt>
                <c:pt idx="8">
                  <c:v>45261</c:v>
                </c:pt>
                <c:pt idx="9">
                  <c:v>45292</c:v>
                </c:pt>
                <c:pt idx="10">
                  <c:v>45323</c:v>
                </c:pt>
                <c:pt idx="11">
                  <c:v>45352</c:v>
                </c:pt>
                <c:pt idx="12">
                  <c:v>45383</c:v>
                </c:pt>
                <c:pt idx="13">
                  <c:v>45413</c:v>
                </c:pt>
              </c:numCache>
            </c:numRef>
          </c:cat>
          <c:val>
            <c:numRef>
              <c:f>Planilha1!$D$38:$D$51</c:f>
              <c:numCache>
                <c:formatCode>"R$"#,##0.00_);\("R$"#,##0.00\)</c:formatCode>
                <c:ptCount val="14"/>
                <c:pt idx="0">
                  <c:v>5.0202529411764703</c:v>
                </c:pt>
                <c:pt idx="1">
                  <c:v>4.9764200000000001</c:v>
                </c:pt>
                <c:pt idx="2">
                  <c:v>4.8509666666666664</c:v>
                </c:pt>
                <c:pt idx="3">
                  <c:v>4.8031999999999986</c:v>
                </c:pt>
                <c:pt idx="4">
                  <c:v>4.9029434782608687</c:v>
                </c:pt>
                <c:pt idx="5">
                  <c:v>4.9363899999999985</c:v>
                </c:pt>
                <c:pt idx="6">
                  <c:v>5.0643599999999998</c:v>
                </c:pt>
                <c:pt idx="7">
                  <c:v>4.8991681818181823</c:v>
                </c:pt>
                <c:pt idx="8">
                  <c:v>4.896642857142858</c:v>
                </c:pt>
                <c:pt idx="9">
                  <c:v>4.9090454545454554</c:v>
                </c:pt>
                <c:pt idx="10">
                  <c:v>4.9653684210526317</c:v>
                </c:pt>
                <c:pt idx="11">
                  <c:v>4.9834952380952373</c:v>
                </c:pt>
                <c:pt idx="12">
                  <c:v>5.1284863636363633</c:v>
                </c:pt>
                <c:pt idx="13">
                  <c:v>5.1177000000000001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8-495A-8BB1-8FFF9BB72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704224"/>
        <c:axId val="1233706304"/>
      </c:barChart>
      <c:dateAx>
        <c:axId val="1233704224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706304"/>
        <c:crosses val="autoZero"/>
        <c:auto val="1"/>
        <c:lblOffset val="100"/>
        <c:baseTimeUnit val="months"/>
      </c:dateAx>
      <c:valAx>
        <c:axId val="1233706304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70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295275</xdr:colOff>
      <xdr:row>14</xdr:row>
      <xdr:rowOff>57150</xdr:rowOff>
    </xdr:from>
    <xdr:to>
      <xdr:col>11</xdr:col>
      <xdr:colOff>371475</xdr:colOff>
      <xdr:row>15</xdr:row>
      <xdr:rowOff>95250</xdr:rowOff>
    </xdr:to>
    <xdr:sp macro="" textlink="">
      <xdr:nvSpPr>
        <xdr:cNvPr id="2" name="Text 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7239000" y="2324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342900</xdr:colOff>
      <xdr:row>47</xdr:row>
      <xdr:rowOff>57150</xdr:rowOff>
    </xdr:from>
    <xdr:to>
      <xdr:col>3</xdr:col>
      <xdr:colOff>419100</xdr:colOff>
      <xdr:row>48</xdr:row>
      <xdr:rowOff>95250</xdr:rowOff>
    </xdr:to>
    <xdr:sp macro="" textlink="">
      <xdr:nvSpPr>
        <xdr:cNvPr id="3" name="Text Box 2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162175" y="77152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342900</xdr:colOff>
      <xdr:row>47</xdr:row>
      <xdr:rowOff>57150</xdr:rowOff>
    </xdr:from>
    <xdr:to>
      <xdr:col>3</xdr:col>
      <xdr:colOff>419100</xdr:colOff>
      <xdr:row>48</xdr:row>
      <xdr:rowOff>95250</xdr:rowOff>
    </xdr:to>
    <xdr:sp macro="" textlink="">
      <xdr:nvSpPr>
        <xdr:cNvPr id="4" name="Text Box 2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2162175" y="77152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124</xdr:row>
      <xdr:rowOff>28577</xdr:rowOff>
    </xdr:from>
    <xdr:to>
      <xdr:col>11</xdr:col>
      <xdr:colOff>723900</xdr:colOff>
      <xdr:row>150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89</xdr:row>
      <xdr:rowOff>104776</xdr:rowOff>
    </xdr:from>
    <xdr:to>
      <xdr:col>11</xdr:col>
      <xdr:colOff>685801</xdr:colOff>
      <xdr:row>123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485774</xdr:colOff>
      <xdr:row>0</xdr:row>
      <xdr:rowOff>100011</xdr:rowOff>
    </xdr:from>
    <xdr:to>
      <xdr:col>31</xdr:col>
      <xdr:colOff>152399</xdr:colOff>
      <xdr:row>15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457199</xdr:colOff>
      <xdr:row>15</xdr:row>
      <xdr:rowOff>138112</xdr:rowOff>
    </xdr:from>
    <xdr:to>
      <xdr:col>31</xdr:col>
      <xdr:colOff>142874</xdr:colOff>
      <xdr:row>29</xdr:row>
      <xdr:rowOff>9525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125</xdr:row>
      <xdr:rowOff>38102</xdr:rowOff>
    </xdr:from>
    <xdr:to>
      <xdr:col>14</xdr:col>
      <xdr:colOff>552450</xdr:colOff>
      <xdr:row>150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89</xdr:row>
      <xdr:rowOff>37042</xdr:rowOff>
    </xdr:from>
    <xdr:to>
      <xdr:col>14</xdr:col>
      <xdr:colOff>523875</xdr:colOff>
      <xdr:row>123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125</xdr:row>
      <xdr:rowOff>38102</xdr:rowOff>
    </xdr:from>
    <xdr:to>
      <xdr:col>14</xdr:col>
      <xdr:colOff>552450</xdr:colOff>
      <xdr:row>150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89</xdr:row>
      <xdr:rowOff>37041</xdr:rowOff>
    </xdr:from>
    <xdr:to>
      <xdr:col>14</xdr:col>
      <xdr:colOff>533400</xdr:colOff>
      <xdr:row>123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16</xdr:col>
      <xdr:colOff>609599</xdr:colOff>
      <xdr:row>14</xdr:row>
      <xdr:rowOff>38101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66674</xdr:colOff>
      <xdr:row>15</xdr:row>
      <xdr:rowOff>28574</xdr:rowOff>
    </xdr:from>
    <xdr:to>
      <xdr:col>17</xdr:col>
      <xdr:colOff>28574</xdr:colOff>
      <xdr:row>37</xdr:row>
      <xdr:rowOff>57149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121444</xdr:colOff>
      <xdr:row>15</xdr:row>
      <xdr:rowOff>126204</xdr:rowOff>
    </xdr:from>
    <xdr:to>
      <xdr:col>19</xdr:col>
      <xdr:colOff>47625</xdr:colOff>
      <xdr:row>42</xdr:row>
      <xdr:rowOff>119063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157162</xdr:colOff>
      <xdr:row>43</xdr:row>
      <xdr:rowOff>166687</xdr:rowOff>
    </xdr:from>
    <xdr:to>
      <xdr:col>19</xdr:col>
      <xdr:colOff>47625</xdr:colOff>
      <xdr:row>64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19048</xdr:colOff>
      <xdr:row>88</xdr:row>
      <xdr:rowOff>14286</xdr:rowOff>
    </xdr:from>
    <xdr:to>
      <xdr:col>22</xdr:col>
      <xdr:colOff>11905</xdr:colOff>
      <xdr:row>124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154781</xdr:colOff>
      <xdr:row>65</xdr:row>
      <xdr:rowOff>23813</xdr:rowOff>
    </xdr:from>
    <xdr:to>
      <xdr:col>19</xdr:col>
      <xdr:colOff>23812</xdr:colOff>
      <xdr:row>86</xdr:row>
      <xdr:rowOff>35719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0.779</cdr:x>
      <cdr:y>0.36826</cdr:y>
    </cdr:from>
    <cdr:to>
      <cdr:x>0.9516</cdr:x>
      <cdr:y>0.57209</cdr:y>
    </cdr:to>
    <cdr:sp macro="" textlink="">
      <cdr:nvSpPr>
        <cdr:cNvPr id="2" name="Retângulo de cantos arredondados 1">
          <a:extLst xmlns:a="http://schemas.openxmlformats.org/drawingml/2006/main">
            <a:ext uri="{FF2B5EF4-FFF2-40B4-BE49-F238E27FC236}">
              <a16:creationId xmlns:a16="http://schemas.microsoft.com/office/drawing/2014/main" id="{A2FF345E-7BDA-477B-ADAD-C686C7EB1746}"/>
            </a:ext>
          </a:extLst>
        </cdr:cNvPr>
        <cdr:cNvSpPr/>
      </cdr:nvSpPr>
      <cdr:spPr>
        <a:xfrm xmlns:a="http://schemas.openxmlformats.org/drawingml/2006/main">
          <a:off x="9356589" y="1464470"/>
          <a:ext cx="2073103" cy="810554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pt-BR" sz="1800"/>
            <a:t>Variação 2015</a:t>
          </a:r>
        </a:p>
        <a:p xmlns:a="http://schemas.openxmlformats.org/drawingml/2006/main">
          <a:r>
            <a:rPr lang="pt-BR" sz="1800"/>
            <a:t>         + 47%</a:t>
          </a:r>
        </a:p>
      </cdr:txBody>
    </cdr:sp>
  </cdr:relSizeAnchor>
  <cdr:relSizeAnchor xmlns:cdr="http://schemas.openxmlformats.org/drawingml/2006/chartDrawing">
    <cdr:from>
      <cdr:x>0.77713</cdr:x>
      <cdr:y>0.61207</cdr:y>
    </cdr:from>
    <cdr:to>
      <cdr:x>0.94973</cdr:x>
      <cdr:y>0.78739</cdr:y>
    </cdr:to>
    <cdr:sp macro="" textlink="">
      <cdr:nvSpPr>
        <cdr:cNvPr id="3" name="Retângulo de cantos arredondados 2">
          <a:extLst xmlns:a="http://schemas.openxmlformats.org/drawingml/2006/main">
            <a:ext uri="{FF2B5EF4-FFF2-40B4-BE49-F238E27FC236}">
              <a16:creationId xmlns:a16="http://schemas.microsoft.com/office/drawing/2014/main" id="{79C07443-CF94-46F5-B589-DF30E79A72D7}"/>
            </a:ext>
          </a:extLst>
        </cdr:cNvPr>
        <cdr:cNvSpPr/>
      </cdr:nvSpPr>
      <cdr:spPr>
        <a:xfrm xmlns:a="http://schemas.openxmlformats.org/drawingml/2006/main">
          <a:off x="7885113" y="2527300"/>
          <a:ext cx="1751287" cy="723912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accent2"/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800"/>
            <a:t>Variação 2016</a:t>
          </a:r>
        </a:p>
        <a:p xmlns:a="http://schemas.openxmlformats.org/drawingml/2006/main">
          <a:r>
            <a:rPr lang="pt-BR" sz="1800"/>
            <a:t>         - 15%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0.79994</cdr:x>
      <cdr:y>0.48693</cdr:y>
    </cdr:from>
    <cdr:to>
      <cdr:x>0.95531</cdr:x>
      <cdr:y>0.67953</cdr:y>
    </cdr:to>
    <cdr:sp macro="" textlink="">
      <cdr:nvSpPr>
        <cdr:cNvPr id="2" name="Retângulo de cantos arredondados 1">
          <a:extLst xmlns:a="http://schemas.openxmlformats.org/drawingml/2006/main">
            <a:ext uri="{FF2B5EF4-FFF2-40B4-BE49-F238E27FC236}">
              <a16:creationId xmlns:a16="http://schemas.microsoft.com/office/drawing/2014/main" id="{A31F5985-D148-468F-9FB6-4BD641F62A51}"/>
            </a:ext>
          </a:extLst>
        </cdr:cNvPr>
        <cdr:cNvSpPr/>
      </cdr:nvSpPr>
      <cdr:spPr>
        <a:xfrm xmlns:a="http://schemas.openxmlformats.org/drawingml/2006/main">
          <a:off x="9590984" y="1953776"/>
          <a:ext cx="1862829" cy="772756"/>
        </a:xfrm>
        <a:prstGeom xmlns:a="http://schemas.openxmlformats.org/drawingml/2006/main" prst="round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pt-BR" sz="1800"/>
            <a:t>Variação 2016</a:t>
          </a:r>
        </a:p>
        <a:p xmlns:a="http://schemas.openxmlformats.org/drawingml/2006/main">
          <a:r>
            <a:rPr lang="pt-BR" sz="1800"/>
            <a:t>         -15%</a:t>
          </a:r>
        </a:p>
        <a:p xmlns:a="http://schemas.openxmlformats.org/drawingml/2006/main">
          <a:r>
            <a:rPr lang="pt-BR" sz="1800"/>
            <a:t>%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73</xdr:row>
      <xdr:rowOff>14288</xdr:rowOff>
    </xdr:from>
    <xdr:to>
      <xdr:col>18</xdr:col>
      <xdr:colOff>323849</xdr:colOff>
      <xdr:row>88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238125</xdr:colOff>
      <xdr:row>89</xdr:row>
      <xdr:rowOff>119061</xdr:rowOff>
    </xdr:from>
    <xdr:to>
      <xdr:col>18</xdr:col>
      <xdr:colOff>409576</xdr:colOff>
      <xdr:row>108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0</xdr:row>
      <xdr:rowOff>128587</xdr:rowOff>
    </xdr:from>
    <xdr:to>
      <xdr:col>10</xdr:col>
      <xdr:colOff>409575</xdr:colOff>
      <xdr:row>15</xdr:row>
      <xdr:rowOff>14287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41DE97-819F-4397-908C-3C5E43AEA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29EF0E2-7ECB-4D6E-95C2-BF8657838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16F1A8-2998-4738-87FD-1FE8034ED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032DE78-55BB-4282-ABC9-927046BB8E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298474-56DE-443C-AF57-0C440E5397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C9E5857-A728-4246-A691-3C70020CA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134155-9262-49D2-875E-7C5FB9EDD5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65F0BD-76FC-4EC3-AA6A-FEAEEEFFA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110</xdr:row>
      <xdr:rowOff>38102</xdr:rowOff>
    </xdr:from>
    <xdr:to>
      <xdr:col>14</xdr:col>
      <xdr:colOff>552450</xdr:colOff>
      <xdr:row>135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C5B399-98CD-43DB-8F28-8EE518C2E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74</xdr:row>
      <xdr:rowOff>37041</xdr:rowOff>
    </xdr:from>
    <xdr:to>
      <xdr:col>14</xdr:col>
      <xdr:colOff>533400</xdr:colOff>
      <xdr:row>108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A15143-3633-42CD-81C5-74CFD49AD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111</xdr:row>
      <xdr:rowOff>38102</xdr:rowOff>
    </xdr:from>
    <xdr:to>
      <xdr:col>14</xdr:col>
      <xdr:colOff>552450</xdr:colOff>
      <xdr:row>136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81F570-39EC-41F5-82CD-D511501B8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75</xdr:row>
      <xdr:rowOff>37041</xdr:rowOff>
    </xdr:from>
    <xdr:to>
      <xdr:col>14</xdr:col>
      <xdr:colOff>533400</xdr:colOff>
      <xdr:row>109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C99CFA8-648F-4AC6-AF9D-10DFCAB0C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4</xdr:row>
      <xdr:rowOff>111125</xdr:rowOff>
    </xdr:from>
    <xdr:to>
      <xdr:col>15</xdr:col>
      <xdr:colOff>73025</xdr:colOff>
      <xdr:row>19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3D467A-AD7F-4C18-8C82-F60FC28D0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21</xdr:row>
      <xdr:rowOff>107950</xdr:rowOff>
    </xdr:from>
    <xdr:to>
      <xdr:col>13</xdr:col>
      <xdr:colOff>38100</xdr:colOff>
      <xdr:row>31</xdr:row>
      <xdr:rowOff>130174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A38E8E7-988B-48DE-BBB5-7545433E8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466725</xdr:colOff>
      <xdr:row>37</xdr:row>
      <xdr:rowOff>38100</xdr:rowOff>
    </xdr:from>
    <xdr:to>
      <xdr:col>15</xdr:col>
      <xdr:colOff>266700</xdr:colOff>
      <xdr:row>51</xdr:row>
      <xdr:rowOff>92075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C0CFDB8-D1BB-4D5E-9CB1-7697E4798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colms-my.sharepoint.com/personal/cleusa_docol_com_br/Documents/&#193;rea%20de%20Trabalho/cotacao_bcb_lme.xlsx" TargetMode="External"/><Relationship Id="rId1" Type="http://schemas.openxmlformats.org/officeDocument/2006/relationships/externalLinkPath" Target="https://docolms-my.sharepoint.com/personal/cleusa_docol_com_br/Documents/&#193;rea%20de%20Trabalho/cotacao_bcb_lm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MATERIA%20PRIMA\LME\RPA\cotacao_bcb_lme.xlsx" TargetMode="External"/><Relationship Id="rId1" Type="http://schemas.openxmlformats.org/officeDocument/2006/relationships/externalLinkPath" Target="/MATERIA%20PRIMA/LME/RPA/cotacao_bcb_lm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RIUS\compras\Informa&#231;&#245;es%20Diretoria\OR&#199;AMENTO\2020\Pricing_or&#231;ado%202020_Incluso%20saving_Re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_Base RPA"/>
    </sheetNames>
    <sheetDataSet>
      <sheetData sheetId="0" refreshError="1">
        <row r="21">
          <cell r="B21">
            <v>5.6688000000000001</v>
          </cell>
          <cell r="D21">
            <v>6.5696000000000003</v>
          </cell>
          <cell r="H21">
            <v>3428</v>
          </cell>
          <cell r="J21">
            <v>19640</v>
          </cell>
          <cell r="L21">
            <v>2439</v>
          </cell>
          <cell r="N21">
            <v>2055</v>
          </cell>
        </row>
        <row r="22">
          <cell r="B22" t="str">
            <v>FERIADO</v>
          </cell>
          <cell r="D22" t="str">
            <v>FERIADO</v>
          </cell>
          <cell r="H22">
            <v>3394</v>
          </cell>
          <cell r="J22">
            <v>19820</v>
          </cell>
          <cell r="L22">
            <v>2412.5</v>
          </cell>
          <cell r="N22">
            <v>2023</v>
          </cell>
        </row>
        <row r="23">
          <cell r="B23">
            <v>5.6665999999999999</v>
          </cell>
          <cell r="D23">
            <v>6.5641999999999996</v>
          </cell>
          <cell r="H23">
            <v>3369</v>
          </cell>
          <cell r="J23">
            <v>19775</v>
          </cell>
          <cell r="L23">
            <v>2420</v>
          </cell>
          <cell r="N23">
            <v>1984</v>
          </cell>
        </row>
        <row r="24">
          <cell r="B24">
            <v>5.5936000000000003</v>
          </cell>
          <cell r="D24">
            <v>6.4573</v>
          </cell>
          <cell r="H24">
            <v>3341</v>
          </cell>
          <cell r="J24">
            <v>19570</v>
          </cell>
          <cell r="L24">
            <v>2412</v>
          </cell>
          <cell r="N24">
            <v>2028</v>
          </cell>
        </row>
        <row r="25">
          <cell r="B25">
            <v>5.5449000000000002</v>
          </cell>
          <cell r="D25">
            <v>6.4048999999999996</v>
          </cell>
          <cell r="H25">
            <v>3229</v>
          </cell>
          <cell r="J25">
            <v>19250</v>
          </cell>
          <cell r="L25">
            <v>2394</v>
          </cell>
          <cell r="N25">
            <v>2028</v>
          </cell>
        </row>
        <row r="26">
          <cell r="B26">
            <v>5.5621</v>
          </cell>
          <cell r="D26">
            <v>6.4447999999999999</v>
          </cell>
          <cell r="H26">
            <v>3337.5</v>
          </cell>
          <cell r="J26">
            <v>19710</v>
          </cell>
          <cell r="L26">
            <v>2398</v>
          </cell>
          <cell r="N26">
            <v>2035</v>
          </cell>
        </row>
        <row r="27">
          <cell r="B27">
            <v>5.4950999999999999</v>
          </cell>
          <cell r="D27">
            <v>6.3654999999999999</v>
          </cell>
          <cell r="H27">
            <v>3273.5</v>
          </cell>
          <cell r="J27">
            <v>19600</v>
          </cell>
          <cell r="L27">
            <v>2388</v>
          </cell>
          <cell r="N27">
            <v>2069</v>
          </cell>
        </row>
        <row r="28">
          <cell r="B28">
            <v>5.4584000000000001</v>
          </cell>
          <cell r="D28">
            <v>6.2858999999999998</v>
          </cell>
          <cell r="H28">
            <v>3303</v>
          </cell>
          <cell r="J28">
            <v>19630</v>
          </cell>
          <cell r="L28">
            <v>2349</v>
          </cell>
          <cell r="N28">
            <v>2038</v>
          </cell>
        </row>
        <row r="29">
          <cell r="B29">
            <v>5.4165000000000001</v>
          </cell>
          <cell r="D29">
            <v>6.2122000000000002</v>
          </cell>
          <cell r="H29">
            <v>3314.5</v>
          </cell>
          <cell r="J29">
            <v>19845</v>
          </cell>
          <cell r="L29">
            <v>2384</v>
          </cell>
          <cell r="N29">
            <v>2072</v>
          </cell>
        </row>
        <row r="30">
          <cell r="B30">
            <v>5.4192999999999998</v>
          </cell>
          <cell r="D30">
            <v>6.2008000000000001</v>
          </cell>
          <cell r="H30">
            <v>3268</v>
          </cell>
          <cell r="J30">
            <v>19945</v>
          </cell>
          <cell r="L30">
            <v>2390</v>
          </cell>
          <cell r="N30">
            <v>2059</v>
          </cell>
        </row>
        <row r="31">
          <cell r="B31" t="str">
            <v>FERIADO</v>
          </cell>
          <cell r="D31" t="str">
            <v>FERIADO</v>
          </cell>
          <cell r="H31">
            <v>3265</v>
          </cell>
          <cell r="J31">
            <v>19925</v>
          </cell>
          <cell r="L31">
            <v>2388</v>
          </cell>
          <cell r="N31">
            <v>2135</v>
          </cell>
        </row>
        <row r="32">
          <cell r="B32">
            <v>5.4766000000000004</v>
          </cell>
          <cell r="D32">
            <v>6.2159000000000004</v>
          </cell>
          <cell r="H32">
            <v>3211</v>
          </cell>
          <cell r="J32">
            <v>19650</v>
          </cell>
          <cell r="L32">
            <v>2343</v>
          </cell>
          <cell r="N32">
            <v>2143</v>
          </cell>
        </row>
        <row r="33">
          <cell r="B33">
            <v>5.4987000000000004</v>
          </cell>
          <cell r="D33">
            <v>6.2173999999999996</v>
          </cell>
          <cell r="H33">
            <v>3249.5</v>
          </cell>
          <cell r="J33">
            <v>19570</v>
          </cell>
          <cell r="L33">
            <v>2280.5</v>
          </cell>
          <cell r="N33">
            <v>2166</v>
          </cell>
        </row>
        <row r="34">
          <cell r="B34">
            <v>5.5464000000000002</v>
          </cell>
          <cell r="D34">
            <v>6.2934999999999999</v>
          </cell>
          <cell r="H34">
            <v>3200</v>
          </cell>
          <cell r="J34">
            <v>19290</v>
          </cell>
          <cell r="L34">
            <v>2238</v>
          </cell>
          <cell r="N34">
            <v>2171</v>
          </cell>
        </row>
        <row r="35">
          <cell r="B35">
            <v>5.5578000000000003</v>
          </cell>
          <cell r="D35">
            <v>6.2892000000000001</v>
          </cell>
          <cell r="H35">
            <v>3214</v>
          </cell>
          <cell r="J35">
            <v>19975</v>
          </cell>
          <cell r="L35">
            <v>2229.5</v>
          </cell>
          <cell r="N35">
            <v>2079</v>
          </cell>
        </row>
        <row r="36">
          <cell r="B36">
            <v>5.5834999999999999</v>
          </cell>
          <cell r="D36">
            <v>6.2781000000000002</v>
          </cell>
          <cell r="H36">
            <v>3275</v>
          </cell>
          <cell r="J36">
            <v>20260</v>
          </cell>
          <cell r="L36">
            <v>2237</v>
          </cell>
          <cell r="N36">
            <v>2041</v>
          </cell>
        </row>
        <row r="37">
          <cell r="B37">
            <v>5.6449999999999996</v>
          </cell>
          <cell r="D37">
            <v>6.3574000000000002</v>
          </cell>
          <cell r="H37">
            <v>3420</v>
          </cell>
          <cell r="J37">
            <v>20570</v>
          </cell>
          <cell r="L37">
            <v>2276</v>
          </cell>
          <cell r="N37">
            <v>1935</v>
          </cell>
        </row>
        <row r="38">
          <cell r="B38">
            <v>5.6021000000000001</v>
          </cell>
          <cell r="D38">
            <v>6.2709999999999999</v>
          </cell>
          <cell r="H38">
            <v>3429</v>
          </cell>
          <cell r="J38">
            <v>21125</v>
          </cell>
          <cell r="L38">
            <v>2318</v>
          </cell>
          <cell r="N38">
            <v>1870</v>
          </cell>
        </row>
        <row r="39">
          <cell r="B39">
            <v>5.5734000000000004</v>
          </cell>
          <cell r="D39">
            <v>6.2477999999999998</v>
          </cell>
          <cell r="H39">
            <v>3430</v>
          </cell>
          <cell r="J39">
            <v>21050</v>
          </cell>
          <cell r="L39">
            <v>2329</v>
          </cell>
          <cell r="N39">
            <v>1856</v>
          </cell>
        </row>
        <row r="40">
          <cell r="B40">
            <v>5.5858999999999996</v>
          </cell>
          <cell r="D40">
            <v>6.3209999999999997</v>
          </cell>
          <cell r="H40">
            <v>3330</v>
          </cell>
          <cell r="J40">
            <v>20230</v>
          </cell>
          <cell r="L40">
            <v>2295</v>
          </cell>
          <cell r="N40">
            <v>1798</v>
          </cell>
        </row>
        <row r="41">
          <cell r="B41">
            <v>5.6112000000000002</v>
          </cell>
          <cell r="D41">
            <v>6.3216000000000001</v>
          </cell>
          <cell r="H41">
            <v>3323</v>
          </cell>
          <cell r="J41">
            <v>20325</v>
          </cell>
          <cell r="L41">
            <v>2355</v>
          </cell>
          <cell r="N41">
            <v>1797</v>
          </cell>
        </row>
        <row r="42">
          <cell r="B42">
            <v>5.6193</v>
          </cell>
          <cell r="D42">
            <v>6.3255999999999997</v>
          </cell>
          <cell r="H42" t="str">
            <v>FERIADO</v>
          </cell>
          <cell r="J42" t="str">
            <v>FERIADO</v>
          </cell>
          <cell r="L42" t="str">
            <v>FERIADO</v>
          </cell>
          <cell r="N42" t="str">
            <v>FERIADO</v>
          </cell>
        </row>
        <row r="43">
          <cell r="D43">
            <v>6.3654000000000002</v>
          </cell>
          <cell r="H43">
            <v>3295</v>
          </cell>
          <cell r="J43">
            <v>20400</v>
          </cell>
          <cell r="L43">
            <v>2324</v>
          </cell>
          <cell r="N43">
            <v>1751</v>
          </cell>
        </row>
        <row r="44">
          <cell r="D44">
            <v>6.3753000000000002</v>
          </cell>
          <cell r="H44">
            <v>3293.5</v>
          </cell>
          <cell r="J44">
            <v>20185</v>
          </cell>
          <cell r="L44">
            <v>2309.5</v>
          </cell>
          <cell r="N44">
            <v>1722</v>
          </cell>
        </row>
        <row r="45">
          <cell r="D45">
            <v>6.3643000000000001</v>
          </cell>
          <cell r="H45">
            <v>3323.5</v>
          </cell>
          <cell r="J45">
            <v>20280</v>
          </cell>
          <cell r="L45">
            <v>2230</v>
          </cell>
          <cell r="N45">
            <v>1812</v>
          </cell>
        </row>
        <row r="46">
          <cell r="D46">
            <v>6.4093999999999998</v>
          </cell>
          <cell r="H46">
            <v>3224</v>
          </cell>
          <cell r="J46">
            <v>19975</v>
          </cell>
          <cell r="L46">
            <v>2233</v>
          </cell>
          <cell r="N46">
            <v>1786</v>
          </cell>
        </row>
        <row r="47">
          <cell r="D47">
            <v>6.3426999999999998</v>
          </cell>
          <cell r="H47">
            <v>3286.5</v>
          </cell>
          <cell r="J47">
            <v>20300</v>
          </cell>
          <cell r="L47">
            <v>2227</v>
          </cell>
          <cell r="N47">
            <v>1866</v>
          </cell>
        </row>
        <row r="48">
          <cell r="D48">
            <v>6.3190999999999997</v>
          </cell>
          <cell r="H48">
            <v>3333</v>
          </cell>
          <cell r="J48">
            <v>20420</v>
          </cell>
          <cell r="L48">
            <v>2249</v>
          </cell>
          <cell r="N48">
            <v>1848</v>
          </cell>
        </row>
        <row r="49">
          <cell r="D49">
            <v>6.2680999999999996</v>
          </cell>
          <cell r="H49">
            <v>3349</v>
          </cell>
          <cell r="J49">
            <v>19925</v>
          </cell>
          <cell r="L49">
            <v>2329</v>
          </cell>
          <cell r="N49">
            <v>1817</v>
          </cell>
        </row>
        <row r="50">
          <cell r="D50">
            <v>6.319</v>
          </cell>
          <cell r="H50">
            <v>3331</v>
          </cell>
          <cell r="J50">
            <v>19950</v>
          </cell>
          <cell r="L50">
            <v>2279.5</v>
          </cell>
          <cell r="N50">
            <v>1770</v>
          </cell>
        </row>
        <row r="51">
          <cell r="D51">
            <v>6.3536000000000001</v>
          </cell>
          <cell r="H51">
            <v>3363</v>
          </cell>
          <cell r="J51">
            <v>19895</v>
          </cell>
          <cell r="L51">
            <v>2340</v>
          </cell>
          <cell r="N51">
            <v>1762</v>
          </cell>
        </row>
        <row r="52">
          <cell r="D52">
            <v>6.3630000000000004</v>
          </cell>
          <cell r="H52">
            <v>3340</v>
          </cell>
          <cell r="J52">
            <v>19730</v>
          </cell>
          <cell r="L52">
            <v>2323</v>
          </cell>
          <cell r="N52">
            <v>1622</v>
          </cell>
        </row>
        <row r="53">
          <cell r="D53">
            <v>6.4255000000000004</v>
          </cell>
          <cell r="H53">
            <v>3268</v>
          </cell>
          <cell r="J53">
            <v>19325</v>
          </cell>
          <cell r="L53">
            <v>2305</v>
          </cell>
          <cell r="N53">
            <v>1576</v>
          </cell>
        </row>
        <row r="54">
          <cell r="D54">
            <v>6.4390000000000001</v>
          </cell>
          <cell r="H54">
            <v>3394</v>
          </cell>
          <cell r="J54">
            <v>19580</v>
          </cell>
          <cell r="L54">
            <v>2353</v>
          </cell>
          <cell r="N54">
            <v>1671</v>
          </cell>
        </row>
        <row r="55">
          <cell r="D55">
            <v>6.4208999999999996</v>
          </cell>
          <cell r="H55">
            <v>3428</v>
          </cell>
          <cell r="J55">
            <v>19825</v>
          </cell>
          <cell r="L55">
            <v>2323</v>
          </cell>
          <cell r="N55">
            <v>1779</v>
          </cell>
        </row>
        <row r="56">
          <cell r="D56">
            <v>6.4390999999999998</v>
          </cell>
          <cell r="H56">
            <v>3400</v>
          </cell>
          <cell r="J56">
            <v>19360</v>
          </cell>
          <cell r="L56">
            <v>2330</v>
          </cell>
          <cell r="N56">
            <v>1739</v>
          </cell>
        </row>
        <row r="57">
          <cell r="D57">
            <v>6.4611999999999998</v>
          </cell>
          <cell r="H57">
            <v>3444.5</v>
          </cell>
          <cell r="J57">
            <v>19745</v>
          </cell>
          <cell r="L57">
            <v>2321.5</v>
          </cell>
          <cell r="N57">
            <v>1828</v>
          </cell>
        </row>
        <row r="58">
          <cell r="D58">
            <v>6.4749999999999996</v>
          </cell>
          <cell r="H58">
            <v>3543</v>
          </cell>
          <cell r="J58">
            <v>19980</v>
          </cell>
          <cell r="L58">
            <v>2327</v>
          </cell>
          <cell r="N58">
            <v>1834</v>
          </cell>
        </row>
        <row r="59">
          <cell r="D59">
            <v>6.4336000000000002</v>
          </cell>
          <cell r="H59">
            <v>3568.5</v>
          </cell>
          <cell r="J59">
            <v>20175</v>
          </cell>
          <cell r="L59">
            <v>2310</v>
          </cell>
          <cell r="N59">
            <v>1890</v>
          </cell>
        </row>
        <row r="60">
          <cell r="D60">
            <v>6.3998999999999997</v>
          </cell>
          <cell r="H60">
            <v>3579</v>
          </cell>
          <cell r="J60">
            <v>20290</v>
          </cell>
          <cell r="L60">
            <v>2308</v>
          </cell>
          <cell r="N60">
            <v>1890</v>
          </cell>
        </row>
        <row r="61">
          <cell r="D61">
            <v>6.4109999999999996</v>
          </cell>
          <cell r="H61" t="str">
            <v>FERIADO</v>
          </cell>
          <cell r="J61" t="str">
            <v>FERIADO</v>
          </cell>
          <cell r="L61" t="str">
            <v>FERIADO</v>
          </cell>
          <cell r="N61" t="str">
            <v>FERIADO</v>
          </cell>
        </row>
        <row r="62">
          <cell r="D62">
            <v>6.3739999999999997</v>
          </cell>
          <cell r="H62" t="str">
            <v>FERIADO</v>
          </cell>
          <cell r="J62" t="str">
            <v>FERIADO</v>
          </cell>
          <cell r="L62" t="str">
            <v>FERIADO</v>
          </cell>
          <cell r="N62" t="str">
            <v>FERIADO</v>
          </cell>
        </row>
        <row r="63">
          <cell r="D63">
            <v>6.4249999999999998</v>
          </cell>
          <cell r="H63">
            <v>3549</v>
          </cell>
          <cell r="J63">
            <v>20315</v>
          </cell>
          <cell r="L63">
            <v>2308</v>
          </cell>
          <cell r="N63">
            <v>1953</v>
          </cell>
        </row>
        <row r="64">
          <cell r="D64">
            <v>6.3209</v>
          </cell>
          <cell r="H64">
            <v>3600</v>
          </cell>
          <cell r="J64">
            <v>20690</v>
          </cell>
          <cell r="L64">
            <v>2318.5</v>
          </cell>
          <cell r="N64">
            <v>1973</v>
          </cell>
        </row>
        <row r="65">
          <cell r="D65">
            <v>6.3186999999999998</v>
          </cell>
          <cell r="H65">
            <v>3629.5</v>
          </cell>
          <cell r="J65">
            <v>20900</v>
          </cell>
          <cell r="L65">
            <v>2328</v>
          </cell>
          <cell r="N65">
            <v>1973</v>
          </cell>
        </row>
        <row r="66">
          <cell r="D66">
            <v>6.3566000000000003</v>
          </cell>
          <cell r="H66" t="str">
            <v>FERIADO</v>
          </cell>
          <cell r="J66" t="str">
            <v>FERIADO</v>
          </cell>
          <cell r="L66" t="str">
            <v>FERIADO</v>
          </cell>
          <cell r="N66" t="str">
            <v>FERIADO</v>
          </cell>
        </row>
        <row r="67">
          <cell r="B67">
            <v>5.6769999999999996</v>
          </cell>
          <cell r="F67" t="str">
            <v>FERIADO</v>
          </cell>
        </row>
        <row r="68">
          <cell r="B68">
            <v>5.6622000000000003</v>
          </cell>
          <cell r="F68">
            <v>9773</v>
          </cell>
        </row>
        <row r="69">
          <cell r="B69">
            <v>5.7035999999999998</v>
          </cell>
          <cell r="F69">
            <v>9563</v>
          </cell>
        </row>
        <row r="70">
          <cell r="B70">
            <v>5.6746999999999996</v>
          </cell>
          <cell r="F70">
            <v>9610</v>
          </cell>
        </row>
        <row r="71">
          <cell r="B71">
            <v>5.673</v>
          </cell>
          <cell r="F71">
            <v>9664.5</v>
          </cell>
        </row>
        <row r="72">
          <cell r="B72">
            <v>5.6345000000000001</v>
          </cell>
          <cell r="F72">
            <v>9660</v>
          </cell>
        </row>
        <row r="73">
          <cell r="B73">
            <v>5.5605000000000002</v>
          </cell>
          <cell r="F73">
            <v>9943</v>
          </cell>
        </row>
        <row r="74">
          <cell r="B74">
            <v>5.524</v>
          </cell>
          <cell r="F74">
            <v>9971</v>
          </cell>
        </row>
        <row r="75">
          <cell r="B75">
            <v>5.5343</v>
          </cell>
          <cell r="F75">
            <v>9895</v>
          </cell>
        </row>
        <row r="76">
          <cell r="B76">
            <v>5.5052000000000003</v>
          </cell>
          <cell r="F76">
            <v>9674</v>
          </cell>
        </row>
        <row r="77">
          <cell r="B77">
            <v>5.5206999999999997</v>
          </cell>
          <cell r="F77">
            <v>9705</v>
          </cell>
        </row>
        <row r="78">
          <cell r="B78">
            <v>5.4972000000000003</v>
          </cell>
          <cell r="F78">
            <v>9799</v>
          </cell>
        </row>
        <row r="79">
          <cell r="B79">
            <v>5.4160000000000004</v>
          </cell>
          <cell r="F79">
            <v>9920</v>
          </cell>
        </row>
        <row r="80">
          <cell r="B80">
            <v>5.4394999999999998</v>
          </cell>
          <cell r="F80">
            <v>9965</v>
          </cell>
        </row>
        <row r="81">
          <cell r="B81">
            <v>5.4904000000000002</v>
          </cell>
          <cell r="F81">
            <v>9799.5</v>
          </cell>
        </row>
        <row r="82">
          <cell r="B82">
            <v>5.4965000000000002</v>
          </cell>
          <cell r="F82">
            <v>9743</v>
          </cell>
        </row>
        <row r="83">
          <cell r="B83">
            <v>5.4318</v>
          </cell>
          <cell r="F83">
            <v>9960</v>
          </cell>
        </row>
        <row r="84">
          <cell r="B84">
            <v>5.3806000000000003</v>
          </cell>
          <cell r="F84">
            <v>9870</v>
          </cell>
        </row>
        <row r="85">
          <cell r="B85">
            <v>5.3948</v>
          </cell>
          <cell r="F85">
            <v>9677</v>
          </cell>
        </row>
        <row r="86">
          <cell r="B86">
            <v>5.3567999999999998</v>
          </cell>
          <cell r="F86">
            <v>9615</v>
          </cell>
        </row>
        <row r="87">
          <cell r="B87">
            <v>5.2804000000000002</v>
          </cell>
          <cell r="F87">
            <v>9700</v>
          </cell>
        </row>
        <row r="88">
          <cell r="B88">
            <v>5.2949999999999999</v>
          </cell>
          <cell r="F88">
            <v>9875</v>
          </cell>
        </row>
        <row r="89">
          <cell r="B89">
            <v>5.3018999999999998</v>
          </cell>
          <cell r="F89">
            <v>9780</v>
          </cell>
        </row>
        <row r="90">
          <cell r="B90">
            <v>5.3277999999999999</v>
          </cell>
          <cell r="F90">
            <v>9870</v>
          </cell>
        </row>
        <row r="91">
          <cell r="B91">
            <v>5.2907000000000002</v>
          </cell>
          <cell r="F91">
            <v>9849</v>
          </cell>
        </row>
        <row r="92">
          <cell r="B92">
            <v>5.2693000000000003</v>
          </cell>
          <cell r="F92">
            <v>9755</v>
          </cell>
        </row>
        <row r="93">
          <cell r="B93">
            <v>5.2728999999999999</v>
          </cell>
          <cell r="F93">
            <v>9880</v>
          </cell>
        </row>
        <row r="94">
          <cell r="B94">
            <v>5.2095000000000002</v>
          </cell>
          <cell r="F94">
            <v>10219.5</v>
          </cell>
        </row>
        <row r="95">
          <cell r="B95">
            <v>5.1981000000000002</v>
          </cell>
          <cell r="F95">
            <v>10039</v>
          </cell>
        </row>
        <row r="96">
          <cell r="B96">
            <v>5.21</v>
          </cell>
          <cell r="F96">
            <v>9877</v>
          </cell>
        </row>
        <row r="97">
          <cell r="B97">
            <v>5.1875</v>
          </cell>
          <cell r="F97">
            <v>10015</v>
          </cell>
        </row>
        <row r="98">
          <cell r="B98">
            <v>5.1623999999999999</v>
          </cell>
          <cell r="F98">
            <v>10045</v>
          </cell>
        </row>
        <row r="99">
          <cell r="B99">
            <v>5.1558999999999999</v>
          </cell>
          <cell r="F99">
            <v>10005</v>
          </cell>
        </row>
        <row r="100">
          <cell r="B100">
            <v>5.1333000000000002</v>
          </cell>
          <cell r="F100">
            <v>10010</v>
          </cell>
        </row>
        <row r="101">
          <cell r="B101">
            <v>5.0991</v>
          </cell>
          <cell r="F101">
            <v>9959.5</v>
          </cell>
        </row>
        <row r="102">
          <cell r="B102">
            <v>5.0605000000000002</v>
          </cell>
          <cell r="F102">
            <v>10018</v>
          </cell>
        </row>
        <row r="103">
          <cell r="B103">
            <v>5.0137</v>
          </cell>
          <cell r="F103">
            <v>10003</v>
          </cell>
        </row>
        <row r="104">
          <cell r="B104">
            <v>5.1167999999999996</v>
          </cell>
          <cell r="F104">
            <v>9982</v>
          </cell>
        </row>
        <row r="105">
          <cell r="B105">
            <v>5.1387999999999998</v>
          </cell>
          <cell r="F105">
            <v>9918</v>
          </cell>
        </row>
        <row r="106">
          <cell r="B106">
            <v>5.1387999999999998</v>
          </cell>
          <cell r="F106">
            <v>9972</v>
          </cell>
        </row>
        <row r="107">
          <cell r="B107" t="str">
            <v>FERIADO</v>
          </cell>
          <cell r="F107">
            <v>9974</v>
          </cell>
        </row>
        <row r="108">
          <cell r="B108" t="str">
            <v>FERIADO</v>
          </cell>
          <cell r="F108">
            <v>10257</v>
          </cell>
        </row>
        <row r="109">
          <cell r="B109">
            <v>5.0472999999999999</v>
          </cell>
          <cell r="F109">
            <v>10465</v>
          </cell>
        </row>
        <row r="110">
          <cell r="B110">
            <v>5.0751999999999997</v>
          </cell>
          <cell r="F110">
            <v>10465</v>
          </cell>
        </row>
        <row r="111">
          <cell r="B111">
            <v>5.0572999999999997</v>
          </cell>
          <cell r="F111">
            <v>10729</v>
          </cell>
        </row>
        <row r="112">
          <cell r="B112">
            <v>5.0896999999999997</v>
          </cell>
          <cell r="F112">
            <v>10170</v>
          </cell>
        </row>
        <row r="113">
          <cell r="B113">
            <v>5.0087999999999999</v>
          </cell>
          <cell r="F113">
            <v>10050</v>
          </cell>
        </row>
        <row r="114">
          <cell r="B114">
            <v>5.0507</v>
          </cell>
          <cell r="F114">
            <v>10143</v>
          </cell>
        </row>
        <row r="115">
          <cell r="B115">
            <v>5.0248999999999997</v>
          </cell>
          <cell r="F115">
            <v>10140</v>
          </cell>
        </row>
        <row r="116">
          <cell r="B116">
            <v>5.0640999999999998</v>
          </cell>
          <cell r="F116">
            <v>9875</v>
          </cell>
        </row>
        <row r="117">
          <cell r="B117">
            <v>5.1307999999999998</v>
          </cell>
          <cell r="F117">
            <v>9824</v>
          </cell>
        </row>
        <row r="118">
          <cell r="B118">
            <v>5.1280999999999999</v>
          </cell>
          <cell r="F118">
            <v>10100</v>
          </cell>
        </row>
        <row r="119">
          <cell r="B119">
            <v>5.0758000000000001</v>
          </cell>
          <cell r="F119" t="str">
            <v>FERIADO</v>
          </cell>
        </row>
        <row r="120">
          <cell r="B120">
            <v>5.0404999999999998</v>
          </cell>
          <cell r="F120">
            <v>10247</v>
          </cell>
        </row>
        <row r="121">
          <cell r="B121">
            <v>4.9660000000000002</v>
          </cell>
          <cell r="F121">
            <v>10172</v>
          </cell>
        </row>
        <row r="122">
          <cell r="B122">
            <v>4.9202000000000004</v>
          </cell>
          <cell r="F122">
            <v>10340</v>
          </cell>
        </row>
        <row r="123">
          <cell r="B123">
            <v>4.8697999999999997</v>
          </cell>
          <cell r="F123">
            <v>10310</v>
          </cell>
        </row>
        <row r="124">
          <cell r="B124">
            <v>4.8060999999999998</v>
          </cell>
          <cell r="F124">
            <v>10420</v>
          </cell>
        </row>
        <row r="125">
          <cell r="B125">
            <v>4.7775999999999996</v>
          </cell>
          <cell r="F125">
            <v>10278</v>
          </cell>
        </row>
        <row r="126">
          <cell r="B126">
            <v>4.7899000000000003</v>
          </cell>
          <cell r="F126">
            <v>10225</v>
          </cell>
        </row>
        <row r="127">
          <cell r="B127">
            <v>4.7480000000000002</v>
          </cell>
          <cell r="F127">
            <v>10348</v>
          </cell>
        </row>
        <row r="128">
          <cell r="B128">
            <v>4.7491000000000003</v>
          </cell>
          <cell r="F128">
            <v>10390</v>
          </cell>
        </row>
        <row r="129">
          <cell r="B129">
            <v>4.7371999999999996</v>
          </cell>
          <cell r="F129">
            <v>10336.5</v>
          </cell>
        </row>
        <row r="130">
          <cell r="B130">
            <v>4.6978</v>
          </cell>
          <cell r="F130">
            <v>10246</v>
          </cell>
        </row>
        <row r="131">
          <cell r="B131">
            <v>4.6169000000000002</v>
          </cell>
          <cell r="F131">
            <v>10300.5</v>
          </cell>
        </row>
        <row r="132">
          <cell r="B132">
            <v>4.6394000000000002</v>
          </cell>
          <cell r="F132">
            <v>10425</v>
          </cell>
        </row>
        <row r="133">
          <cell r="B133">
            <v>4.6961000000000004</v>
          </cell>
          <cell r="F133">
            <v>10349.5</v>
          </cell>
        </row>
        <row r="134">
          <cell r="B134">
            <v>4.7416</v>
          </cell>
          <cell r="F134">
            <v>10291</v>
          </cell>
        </row>
        <row r="135">
          <cell r="B135">
            <v>4.7507000000000001</v>
          </cell>
          <cell r="F135">
            <v>10385</v>
          </cell>
        </row>
        <row r="136">
          <cell r="B136">
            <v>4.7019000000000002</v>
          </cell>
          <cell r="F136">
            <v>10235</v>
          </cell>
        </row>
        <row r="137">
          <cell r="B137">
            <v>4.6477000000000004</v>
          </cell>
          <cell r="F137">
            <v>10200</v>
          </cell>
        </row>
        <row r="138">
          <cell r="B138">
            <v>4.6805000000000003</v>
          </cell>
          <cell r="F138">
            <v>10290</v>
          </cell>
        </row>
        <row r="139">
          <cell r="B139">
            <v>4.7152000000000003</v>
          </cell>
          <cell r="F139">
            <v>10276</v>
          </cell>
        </row>
        <row r="140">
          <cell r="B140" t="str">
            <v>FERIADO</v>
          </cell>
          <cell r="F140" t="str">
            <v>FERIADO</v>
          </cell>
        </row>
        <row r="141">
          <cell r="B141">
            <v>4.6740000000000004</v>
          </cell>
          <cell r="F141" t="str">
            <v>FERIADO</v>
          </cell>
        </row>
        <row r="142">
          <cell r="B142">
            <v>4.6657999999999999</v>
          </cell>
          <cell r="F142">
            <v>10380.5</v>
          </cell>
        </row>
        <row r="143">
          <cell r="B143">
            <v>4.6391</v>
          </cell>
          <cell r="F143">
            <v>10210</v>
          </cell>
        </row>
        <row r="144">
          <cell r="B144" t="str">
            <v>FERIADO</v>
          </cell>
          <cell r="F144">
            <v>10267</v>
          </cell>
        </row>
        <row r="145">
          <cell r="B145">
            <v>4.7320000000000002</v>
          </cell>
          <cell r="F145">
            <v>10230</v>
          </cell>
        </row>
        <row r="146">
          <cell r="B146">
            <v>4.8811999999999998</v>
          </cell>
          <cell r="F146">
            <v>9917</v>
          </cell>
        </row>
        <row r="147">
          <cell r="B147">
            <v>4.9660000000000002</v>
          </cell>
          <cell r="F147">
            <v>9911.5</v>
          </cell>
        </row>
        <row r="148">
          <cell r="B148">
            <v>5.0160999999999998</v>
          </cell>
          <cell r="F148">
            <v>9905</v>
          </cell>
        </row>
        <row r="149">
          <cell r="B149">
            <v>5.0103999999999997</v>
          </cell>
          <cell r="F149">
            <v>9810</v>
          </cell>
        </row>
        <row r="150">
          <cell r="B150">
            <v>4.9184999999999999</v>
          </cell>
          <cell r="F150">
            <v>9820</v>
          </cell>
        </row>
        <row r="151">
          <cell r="B151">
            <v>5.0259999999999998</v>
          </cell>
          <cell r="F151" t="str">
            <v>FERIADO</v>
          </cell>
        </row>
        <row r="152">
          <cell r="B152">
            <v>5.0160999999999998</v>
          </cell>
          <cell r="F152">
            <v>9510</v>
          </cell>
        </row>
        <row r="153">
          <cell r="B153">
            <v>5.0087000000000002</v>
          </cell>
          <cell r="F153">
            <v>9473</v>
          </cell>
        </row>
        <row r="154">
          <cell r="B154">
            <v>5.0045000000000002</v>
          </cell>
          <cell r="F154">
            <v>9540</v>
          </cell>
        </row>
        <row r="155">
          <cell r="B155">
            <v>5.0743999999999998</v>
          </cell>
          <cell r="F155">
            <v>9427.5</v>
          </cell>
        </row>
        <row r="156">
          <cell r="B156">
            <v>5.1334</v>
          </cell>
          <cell r="F156">
            <v>9159</v>
          </cell>
        </row>
        <row r="157">
          <cell r="B157">
            <v>5.1383999999999999</v>
          </cell>
          <cell r="F157">
            <v>9345</v>
          </cell>
        </row>
        <row r="158">
          <cell r="B158">
            <v>5.1238000000000001</v>
          </cell>
          <cell r="F158">
            <v>9365</v>
          </cell>
        </row>
        <row r="159">
          <cell r="B159">
            <v>5.1475999999999997</v>
          </cell>
          <cell r="F159">
            <v>9018</v>
          </cell>
        </row>
        <row r="160">
          <cell r="B160">
            <v>5.1069000000000004</v>
          </cell>
          <cell r="F160">
            <v>9063</v>
          </cell>
        </row>
        <row r="161">
          <cell r="B161">
            <v>5.0659999999999998</v>
          </cell>
          <cell r="F161">
            <v>9265</v>
          </cell>
        </row>
        <row r="162">
          <cell r="B162">
            <v>4.9669999999999996</v>
          </cell>
          <cell r="F162">
            <v>9394</v>
          </cell>
        </row>
        <row r="163">
          <cell r="B163">
            <v>4.9585999999999997</v>
          </cell>
          <cell r="F163">
            <v>9264</v>
          </cell>
        </row>
        <row r="164">
          <cell r="B164">
            <v>4.9192</v>
          </cell>
          <cell r="F164">
            <v>9286</v>
          </cell>
        </row>
        <row r="165">
          <cell r="B165">
            <v>4.8771000000000004</v>
          </cell>
          <cell r="F165">
            <v>9475</v>
          </cell>
        </row>
        <row r="166">
          <cell r="B166">
            <v>4.7967000000000004</v>
          </cell>
          <cell r="F166">
            <v>9499.5</v>
          </cell>
        </row>
        <row r="167">
          <cell r="B167">
            <v>4.8099999999999996</v>
          </cell>
          <cell r="F167">
            <v>9459.5</v>
          </cell>
        </row>
        <row r="168">
          <cell r="B168">
            <v>4.8353000000000002</v>
          </cell>
          <cell r="F168">
            <v>9285</v>
          </cell>
        </row>
        <row r="169">
          <cell r="B169">
            <v>4.7961</v>
          </cell>
          <cell r="F169">
            <v>9358</v>
          </cell>
        </row>
        <row r="170">
          <cell r="B170">
            <v>4.7427999999999999</v>
          </cell>
          <cell r="F170">
            <v>9382</v>
          </cell>
        </row>
        <row r="171">
          <cell r="B171">
            <v>4.7210000000000001</v>
          </cell>
          <cell r="F171">
            <v>9520</v>
          </cell>
        </row>
        <row r="172">
          <cell r="B172">
            <v>4.7282999999999999</v>
          </cell>
          <cell r="F172">
            <v>9500</v>
          </cell>
        </row>
        <row r="173">
          <cell r="B173">
            <v>4.7759</v>
          </cell>
          <cell r="F173">
            <v>9450</v>
          </cell>
        </row>
        <row r="174">
          <cell r="B174">
            <v>4.7873000000000001</v>
          </cell>
          <cell r="F174" t="str">
            <v>FERIADO</v>
          </cell>
        </row>
        <row r="175">
          <cell r="B175">
            <v>4.7949999999999999</v>
          </cell>
          <cell r="F175" t="str">
            <v>FERIADO</v>
          </cell>
        </row>
        <row r="176">
          <cell r="B176">
            <v>4.7832999999999997</v>
          </cell>
          <cell r="F176">
            <v>9711</v>
          </cell>
        </row>
        <row r="177">
          <cell r="B177">
            <v>4.8902999999999999</v>
          </cell>
          <cell r="F177">
            <v>9610</v>
          </cell>
        </row>
        <row r="178">
          <cell r="B178">
            <v>4.8704999999999998</v>
          </cell>
          <cell r="F178">
            <v>9690</v>
          </cell>
        </row>
        <row r="179">
          <cell r="B179">
            <v>4.8944999999999999</v>
          </cell>
          <cell r="F179">
            <v>9628</v>
          </cell>
        </row>
        <row r="180">
          <cell r="B180">
            <v>4.9829999999999997</v>
          </cell>
          <cell r="F180">
            <v>9536.5</v>
          </cell>
        </row>
        <row r="181">
          <cell r="B181">
            <v>5.1026999999999996</v>
          </cell>
          <cell r="F181">
            <v>9289</v>
          </cell>
        </row>
        <row r="182">
          <cell r="B182">
            <v>5.1196999999999999</v>
          </cell>
          <cell r="F182">
            <v>9262.5</v>
          </cell>
        </row>
        <row r="183">
          <cell r="B183">
            <v>5.1113</v>
          </cell>
          <cell r="F183">
            <v>9256</v>
          </cell>
        </row>
        <row r="184">
          <cell r="B184" t="str">
            <v>FERIADO</v>
          </cell>
          <cell r="F184">
            <v>9100</v>
          </cell>
        </row>
        <row r="185">
          <cell r="B185">
            <v>5.1307</v>
          </cell>
          <cell r="F185">
            <v>9100</v>
          </cell>
        </row>
        <row r="186">
          <cell r="B186">
            <v>5.1635</v>
          </cell>
          <cell r="F186">
            <v>8870</v>
          </cell>
        </row>
        <row r="187">
          <cell r="B187">
            <v>5.1456</v>
          </cell>
          <cell r="F187">
            <v>8995</v>
          </cell>
        </row>
        <row r="188">
          <cell r="B188">
            <v>5.1502999999999997</v>
          </cell>
          <cell r="F188">
            <v>8727</v>
          </cell>
        </row>
        <row r="189">
          <cell r="B189">
            <v>5.1826999999999996</v>
          </cell>
          <cell r="F189">
            <v>8575</v>
          </cell>
        </row>
        <row r="190">
          <cell r="B190">
            <v>5.2328000000000001</v>
          </cell>
          <cell r="F190">
            <v>8280</v>
          </cell>
        </row>
        <row r="191">
          <cell r="B191">
            <v>5.2207999999999997</v>
          </cell>
          <cell r="F191">
            <v>8352</v>
          </cell>
        </row>
        <row r="192">
          <cell r="B192">
            <v>5.2172999999999998</v>
          </cell>
          <cell r="F192">
            <v>8500</v>
          </cell>
        </row>
        <row r="193">
          <cell r="B193">
            <v>5.2262000000000004</v>
          </cell>
          <cell r="F193">
            <v>8445</v>
          </cell>
        </row>
        <row r="194">
          <cell r="B194">
            <v>5.2374000000000001</v>
          </cell>
          <cell r="F194">
            <v>8240</v>
          </cell>
        </row>
        <row r="195">
          <cell r="B195">
            <v>5.3136000000000001</v>
          </cell>
          <cell r="F195">
            <v>7975</v>
          </cell>
        </row>
        <row r="196">
          <cell r="B196">
            <v>5.3032000000000004</v>
          </cell>
          <cell r="F196">
            <v>8034</v>
          </cell>
        </row>
        <row r="197">
          <cell r="B197">
            <v>5.3893000000000004</v>
          </cell>
          <cell r="F197">
            <v>7806</v>
          </cell>
        </row>
        <row r="198">
          <cell r="B198">
            <v>5.4314999999999998</v>
          </cell>
          <cell r="F198">
            <v>7525</v>
          </cell>
        </row>
        <row r="199">
          <cell r="B199">
            <v>5.3634000000000004</v>
          </cell>
          <cell r="F199">
            <v>7833</v>
          </cell>
        </row>
        <row r="200">
          <cell r="B200">
            <v>5.3079999999999998</v>
          </cell>
          <cell r="F200">
            <v>7785</v>
          </cell>
        </row>
        <row r="201">
          <cell r="B201">
            <v>5.3471000000000002</v>
          </cell>
          <cell r="F201">
            <v>7622</v>
          </cell>
        </row>
        <row r="202">
          <cell r="B202">
            <v>5.4114000000000004</v>
          </cell>
          <cell r="F202">
            <v>7370</v>
          </cell>
        </row>
        <row r="203">
          <cell r="B203">
            <v>5.3986999999999998</v>
          </cell>
          <cell r="F203">
            <v>7265</v>
          </cell>
        </row>
        <row r="204">
          <cell r="B204">
            <v>5.4561999999999999</v>
          </cell>
          <cell r="F204">
            <v>7215.5</v>
          </cell>
        </row>
        <row r="205">
          <cell r="B205">
            <v>5.4008000000000003</v>
          </cell>
          <cell r="F205">
            <v>6998</v>
          </cell>
        </row>
        <row r="206">
          <cell r="B206">
            <v>5.3669000000000002</v>
          </cell>
          <cell r="F206">
            <v>7318</v>
          </cell>
        </row>
        <row r="207">
          <cell r="B207">
            <v>5.3898000000000001</v>
          </cell>
          <cell r="F207">
            <v>7280.5</v>
          </cell>
        </row>
        <row r="208">
          <cell r="B208">
            <v>5.4282000000000004</v>
          </cell>
          <cell r="F208">
            <v>7370</v>
          </cell>
        </row>
        <row r="209">
          <cell r="B209">
            <v>5.4744000000000002</v>
          </cell>
          <cell r="F209">
            <v>7231</v>
          </cell>
        </row>
        <row r="210">
          <cell r="B210">
            <v>5.4516</v>
          </cell>
          <cell r="F210">
            <v>7370</v>
          </cell>
        </row>
        <row r="211">
          <cell r="B211">
            <v>5.4138000000000002</v>
          </cell>
          <cell r="F211">
            <v>7446</v>
          </cell>
        </row>
        <row r="212">
          <cell r="B212">
            <v>5.3601999999999999</v>
          </cell>
          <cell r="F212">
            <v>7591</v>
          </cell>
        </row>
        <row r="213">
          <cell r="B213">
            <v>5.3068</v>
          </cell>
          <cell r="F213">
            <v>7551</v>
          </cell>
        </row>
        <row r="214">
          <cell r="B214">
            <v>5.2142999999999997</v>
          </cell>
          <cell r="F214">
            <v>7710</v>
          </cell>
        </row>
        <row r="215">
          <cell r="B215">
            <v>5.1878000000000002</v>
          </cell>
          <cell r="F215">
            <v>7800</v>
          </cell>
        </row>
        <row r="216">
          <cell r="B216">
            <v>5.16</v>
          </cell>
          <cell r="F216">
            <v>7929.5</v>
          </cell>
        </row>
        <row r="217">
          <cell r="B217">
            <v>5.2323000000000004</v>
          </cell>
          <cell r="F217">
            <v>7818</v>
          </cell>
        </row>
        <row r="218">
          <cell r="B218">
            <v>5.2839999999999998</v>
          </cell>
          <cell r="F218">
            <v>7773</v>
          </cell>
        </row>
        <row r="219">
          <cell r="B219">
            <v>5.2403000000000004</v>
          </cell>
          <cell r="F219">
            <v>7640</v>
          </cell>
        </row>
        <row r="220">
          <cell r="B220">
            <v>5.2159000000000004</v>
          </cell>
          <cell r="F220">
            <v>7830</v>
          </cell>
        </row>
        <row r="221">
          <cell r="B221">
            <v>5.1241000000000003</v>
          </cell>
          <cell r="F221">
            <v>7834</v>
          </cell>
        </row>
        <row r="222">
          <cell r="B222">
            <v>5.1218000000000004</v>
          </cell>
          <cell r="F222">
            <v>7971</v>
          </cell>
        </row>
        <row r="223">
          <cell r="B223">
            <v>5.0491000000000001</v>
          </cell>
          <cell r="F223">
            <v>7975</v>
          </cell>
        </row>
        <row r="224">
          <cell r="B224">
            <v>5.1120999999999999</v>
          </cell>
          <cell r="F224">
            <v>8138</v>
          </cell>
        </row>
        <row r="225">
          <cell r="B225">
            <v>5.1017000000000001</v>
          </cell>
          <cell r="F225">
            <v>8060</v>
          </cell>
        </row>
        <row r="226">
          <cell r="B226">
            <v>5.0918999999999999</v>
          </cell>
          <cell r="F226">
            <v>7865</v>
          </cell>
        </row>
        <row r="227">
          <cell r="B227">
            <v>5.1334</v>
          </cell>
          <cell r="F227">
            <v>7991</v>
          </cell>
        </row>
        <row r="228">
          <cell r="B228">
            <v>5.1779000000000002</v>
          </cell>
          <cell r="F228">
            <v>7953</v>
          </cell>
        </row>
        <row r="229">
          <cell r="B229">
            <v>5.1767000000000003</v>
          </cell>
          <cell r="F229">
            <v>8015</v>
          </cell>
        </row>
        <row r="230">
          <cell r="B230">
            <v>5.1955</v>
          </cell>
          <cell r="F230">
            <v>8050</v>
          </cell>
        </row>
        <row r="231">
          <cell r="B231">
            <v>5.1703000000000001</v>
          </cell>
          <cell r="F231">
            <v>8040</v>
          </cell>
        </row>
        <row r="232">
          <cell r="B232">
            <v>5.1024000000000003</v>
          </cell>
          <cell r="F232">
            <v>8100</v>
          </cell>
        </row>
        <row r="233">
          <cell r="B233">
            <v>5.1044</v>
          </cell>
          <cell r="F233">
            <v>8031</v>
          </cell>
        </row>
        <row r="234">
          <cell r="B234">
            <v>5.1166999999999998</v>
          </cell>
          <cell r="F234">
            <v>8154</v>
          </cell>
        </row>
        <row r="235">
          <cell r="B235">
            <v>5.0896999999999997</v>
          </cell>
          <cell r="F235">
            <v>8313</v>
          </cell>
        </row>
        <row r="236">
          <cell r="B236">
            <v>5.0423</v>
          </cell>
          <cell r="F236" t="str">
            <v>FERIADO</v>
          </cell>
        </row>
        <row r="237">
          <cell r="B237">
            <v>5.0610999999999997</v>
          </cell>
          <cell r="F237">
            <v>7909.5</v>
          </cell>
        </row>
        <row r="238">
          <cell r="B238">
            <v>5.1783999999999999</v>
          </cell>
          <cell r="F238">
            <v>7719</v>
          </cell>
        </row>
        <row r="239">
          <cell r="B239">
            <v>5.2000999999999999</v>
          </cell>
          <cell r="F239">
            <v>7701</v>
          </cell>
        </row>
        <row r="240">
          <cell r="B240">
            <v>5.1871999999999998</v>
          </cell>
          <cell r="F240">
            <v>7585</v>
          </cell>
        </row>
        <row r="241">
          <cell r="B241">
            <v>5.1680000000000001</v>
          </cell>
          <cell r="F241">
            <v>7652</v>
          </cell>
        </row>
        <row r="242">
          <cell r="B242">
            <v>5.2222</v>
          </cell>
          <cell r="F242">
            <v>7705</v>
          </cell>
        </row>
        <row r="243">
          <cell r="B243" t="str">
            <v>FERIADO</v>
          </cell>
          <cell r="F243">
            <v>7728</v>
          </cell>
        </row>
        <row r="244">
          <cell r="B244">
            <v>5.2149000000000001</v>
          </cell>
          <cell r="F244">
            <v>7905</v>
          </cell>
        </row>
        <row r="245">
          <cell r="B245">
            <v>5.1627000000000001</v>
          </cell>
          <cell r="F245">
            <v>7984</v>
          </cell>
        </row>
        <row r="246">
          <cell r="B246">
            <v>5.1177000000000001</v>
          </cell>
          <cell r="F246">
            <v>8024</v>
          </cell>
        </row>
        <row r="247">
          <cell r="B247">
            <v>5.1787999999999998</v>
          </cell>
          <cell r="F247">
            <v>8225</v>
          </cell>
        </row>
        <row r="248">
          <cell r="B248">
            <v>5.1768000000000001</v>
          </cell>
          <cell r="F248">
            <v>7860</v>
          </cell>
        </row>
        <row r="249">
          <cell r="B249">
            <v>5.2205000000000004</v>
          </cell>
          <cell r="F249">
            <v>7805.5</v>
          </cell>
        </row>
        <row r="250">
          <cell r="B250">
            <v>5.2876000000000003</v>
          </cell>
          <cell r="F250">
            <v>7790</v>
          </cell>
        </row>
        <row r="251">
          <cell r="B251">
            <v>5.2361000000000004</v>
          </cell>
          <cell r="F251">
            <v>7770</v>
          </cell>
        </row>
        <row r="252">
          <cell r="B252">
            <v>5.1699000000000002</v>
          </cell>
          <cell r="F252">
            <v>7795</v>
          </cell>
        </row>
        <row r="253">
          <cell r="B253">
            <v>5.1685999999999996</v>
          </cell>
          <cell r="F253">
            <v>7761</v>
          </cell>
        </row>
        <row r="254">
          <cell r="B254">
            <v>5.1670999999999996</v>
          </cell>
          <cell r="F254">
            <v>7814</v>
          </cell>
        </row>
        <row r="255">
          <cell r="B255">
            <v>5.2251000000000003</v>
          </cell>
          <cell r="F255">
            <v>7445</v>
          </cell>
        </row>
        <row r="256">
          <cell r="B256">
            <v>5.3541999999999996</v>
          </cell>
          <cell r="F256">
            <v>7448</v>
          </cell>
        </row>
        <row r="257">
          <cell r="B257">
            <v>5.3502000000000001</v>
          </cell>
          <cell r="F257">
            <v>7470</v>
          </cell>
        </row>
        <row r="258">
          <cell r="B258">
            <v>5.3587999999999996</v>
          </cell>
          <cell r="F258">
            <v>7351</v>
          </cell>
        </row>
        <row r="259">
          <cell r="B259">
            <v>5.391</v>
          </cell>
          <cell r="F259">
            <v>7660</v>
          </cell>
        </row>
        <row r="260">
          <cell r="B260">
            <v>5.4059999999999997</v>
          </cell>
          <cell r="F260">
            <v>7646</v>
          </cell>
        </row>
        <row r="261">
          <cell r="B261">
            <v>5.1996000000000002</v>
          </cell>
          <cell r="F261">
            <v>7522</v>
          </cell>
        </row>
        <row r="262">
          <cell r="B262">
            <v>5.1405000000000003</v>
          </cell>
          <cell r="F262">
            <v>7595.5</v>
          </cell>
        </row>
        <row r="263">
          <cell r="B263">
            <v>5.2138</v>
          </cell>
          <cell r="F263">
            <v>7660</v>
          </cell>
        </row>
        <row r="264">
          <cell r="B264">
            <v>5.2001999999999997</v>
          </cell>
          <cell r="F264">
            <v>7743</v>
          </cell>
        </row>
        <row r="265">
          <cell r="B265">
            <v>5.2214999999999998</v>
          </cell>
          <cell r="F265">
            <v>7574.5</v>
          </cell>
        </row>
        <row r="266">
          <cell r="B266">
            <v>5.1935000000000002</v>
          </cell>
          <cell r="F266">
            <v>7650</v>
          </cell>
        </row>
        <row r="267">
          <cell r="B267">
            <v>5.2061000000000002</v>
          </cell>
          <cell r="F267">
            <v>7585</v>
          </cell>
        </row>
        <row r="268">
          <cell r="B268" t="str">
            <v>FERIADO</v>
          </cell>
          <cell r="F268">
            <v>7625</v>
          </cell>
        </row>
        <row r="269">
          <cell r="B269">
            <v>5.3010999999999999</v>
          </cell>
          <cell r="F269">
            <v>7662</v>
          </cell>
        </row>
        <row r="270">
          <cell r="B270">
            <v>5.2817999999999996</v>
          </cell>
          <cell r="F270">
            <v>7687.5</v>
          </cell>
        </row>
        <row r="271">
          <cell r="B271">
            <v>5.2706999999999997</v>
          </cell>
          <cell r="F271">
            <v>7710</v>
          </cell>
        </row>
        <row r="272">
          <cell r="B272">
            <v>5.2690999999999999</v>
          </cell>
          <cell r="F272">
            <v>7535</v>
          </cell>
        </row>
        <row r="273">
          <cell r="B273">
            <v>5.2801999999999998</v>
          </cell>
          <cell r="F273">
            <v>7415</v>
          </cell>
        </row>
        <row r="274">
          <cell r="B274">
            <v>5.2169999999999996</v>
          </cell>
          <cell r="F274">
            <v>7585</v>
          </cell>
        </row>
        <row r="275">
          <cell r="B275">
            <v>5.1913</v>
          </cell>
          <cell r="F275">
            <v>7541</v>
          </cell>
        </row>
        <row r="276">
          <cell r="B276">
            <v>5.2737999999999996</v>
          </cell>
          <cell r="F276">
            <v>7660.5</v>
          </cell>
        </row>
        <row r="277">
          <cell r="B277">
            <v>5.3085000000000004</v>
          </cell>
          <cell r="F277">
            <v>7534</v>
          </cell>
        </row>
        <row r="278">
          <cell r="B278">
            <v>5.3242000000000003</v>
          </cell>
          <cell r="F278">
            <v>7762</v>
          </cell>
        </row>
        <row r="279">
          <cell r="B279">
            <v>5.2996999999999996</v>
          </cell>
          <cell r="F279">
            <v>7775</v>
          </cell>
        </row>
        <row r="280">
          <cell r="B280">
            <v>5.3449</v>
          </cell>
          <cell r="F280">
            <v>7663</v>
          </cell>
        </row>
        <row r="281">
          <cell r="B281">
            <v>5.2564000000000002</v>
          </cell>
          <cell r="F281">
            <v>7520</v>
          </cell>
        </row>
        <row r="282">
          <cell r="B282">
            <v>5.1494</v>
          </cell>
          <cell r="F282">
            <v>7740</v>
          </cell>
        </row>
        <row r="283">
          <cell r="B283" t="str">
            <v>FERIADO</v>
          </cell>
          <cell r="F283">
            <v>7700</v>
          </cell>
        </row>
        <row r="284">
          <cell r="B284">
            <v>5.1342999999999996</v>
          </cell>
          <cell r="F284">
            <v>7509</v>
          </cell>
        </row>
        <row r="285">
          <cell r="B285">
            <v>5.0354000000000001</v>
          </cell>
          <cell r="F285">
            <v>7900</v>
          </cell>
        </row>
        <row r="286">
          <cell r="B286">
            <v>5.0880000000000001</v>
          </cell>
          <cell r="F286">
            <v>7953.5</v>
          </cell>
        </row>
        <row r="287">
          <cell r="B287">
            <v>5.1738</v>
          </cell>
          <cell r="F287">
            <v>7972</v>
          </cell>
        </row>
        <row r="288">
          <cell r="B288">
            <v>5.1623000000000001</v>
          </cell>
          <cell r="F288">
            <v>8033</v>
          </cell>
        </row>
        <row r="289">
          <cell r="B289">
            <v>5.3057999999999996</v>
          </cell>
          <cell r="F289">
            <v>8060</v>
          </cell>
        </row>
        <row r="290">
          <cell r="B290">
            <v>5.3045</v>
          </cell>
          <cell r="F290">
            <v>8440</v>
          </cell>
        </row>
        <row r="291">
          <cell r="B291">
            <v>5.3007</v>
          </cell>
          <cell r="F291">
            <v>8345</v>
          </cell>
        </row>
        <row r="292">
          <cell r="B292" t="str">
            <v>FERIADO</v>
          </cell>
          <cell r="F292">
            <v>8342.5</v>
          </cell>
        </row>
        <row r="293">
          <cell r="B293">
            <v>5.3197999999999999</v>
          </cell>
          <cell r="F293">
            <v>8314</v>
          </cell>
        </row>
        <row r="294">
          <cell r="B294">
            <v>5.4649000000000001</v>
          </cell>
          <cell r="F294">
            <v>8153</v>
          </cell>
        </row>
        <row r="295">
          <cell r="B295">
            <v>5.3471000000000002</v>
          </cell>
          <cell r="F295">
            <v>8046.5</v>
          </cell>
        </row>
        <row r="296">
          <cell r="B296">
            <v>5.3253000000000004</v>
          </cell>
          <cell r="F296">
            <v>7900</v>
          </cell>
        </row>
        <row r="297">
          <cell r="B297">
            <v>5.3333000000000004</v>
          </cell>
          <cell r="F297">
            <v>7900</v>
          </cell>
        </row>
        <row r="298">
          <cell r="B298">
            <v>5.3924000000000003</v>
          </cell>
          <cell r="F298">
            <v>7991</v>
          </cell>
        </row>
        <row r="299">
          <cell r="B299">
            <v>5.3502000000000001</v>
          </cell>
          <cell r="F299">
            <v>8065</v>
          </cell>
        </row>
        <row r="300">
          <cell r="B300">
            <v>5.3791000000000002</v>
          </cell>
          <cell r="F300">
            <v>7965</v>
          </cell>
        </row>
        <row r="301">
          <cell r="B301">
            <v>5.3070000000000004</v>
          </cell>
          <cell r="F301">
            <v>8035</v>
          </cell>
        </row>
        <row r="302">
          <cell r="B302">
            <v>5.2934999999999999</v>
          </cell>
          <cell r="F302" t="str">
            <v>FERIADO</v>
          </cell>
        </row>
        <row r="303">
          <cell r="B303">
            <v>5.1967999999999996</v>
          </cell>
          <cell r="F303">
            <v>8341</v>
          </cell>
        </row>
        <row r="304">
          <cell r="B304">
            <v>5.2457000000000003</v>
          </cell>
          <cell r="F304">
            <v>8439.5</v>
          </cell>
        </row>
        <row r="305">
          <cell r="B305">
            <v>5.2389999999999999</v>
          </cell>
          <cell r="F305">
            <v>8355</v>
          </cell>
        </row>
        <row r="306">
          <cell r="B306">
            <v>5.2202000000000002</v>
          </cell>
          <cell r="F306">
            <v>8333</v>
          </cell>
        </row>
        <row r="307">
          <cell r="B307">
            <v>5.2084999999999999</v>
          </cell>
          <cell r="F307">
            <v>8536.5</v>
          </cell>
        </row>
        <row r="308">
          <cell r="B308">
            <v>5.2389999999999999</v>
          </cell>
          <cell r="F308">
            <v>8490</v>
          </cell>
        </row>
        <row r="309">
          <cell r="B309">
            <v>5.306</v>
          </cell>
          <cell r="F309">
            <v>8370.5</v>
          </cell>
        </row>
        <row r="310">
          <cell r="B310">
            <v>5.2663000000000002</v>
          </cell>
          <cell r="F310">
            <v>8380</v>
          </cell>
        </row>
        <row r="311">
          <cell r="B311">
            <v>5.34</v>
          </cell>
          <cell r="F311">
            <v>8414</v>
          </cell>
        </row>
        <row r="312">
          <cell r="B312">
            <v>5.3177000000000003</v>
          </cell>
          <cell r="F312">
            <v>8414</v>
          </cell>
        </row>
        <row r="313">
          <cell r="B313">
            <v>5.3154000000000003</v>
          </cell>
          <cell r="F313">
            <v>8329</v>
          </cell>
        </row>
        <row r="314">
          <cell r="B314">
            <v>5.2420999999999998</v>
          </cell>
          <cell r="F314">
            <v>8301</v>
          </cell>
        </row>
        <row r="315">
          <cell r="B315">
            <v>5.2024999999999997</v>
          </cell>
          <cell r="F315">
            <v>8326</v>
          </cell>
        </row>
        <row r="316">
          <cell r="B316">
            <v>5.1864999999999997</v>
          </cell>
          <cell r="F316">
            <v>8344.5</v>
          </cell>
        </row>
        <row r="317">
          <cell r="B317">
            <v>5.1439000000000004</v>
          </cell>
          <cell r="F317">
            <v>8344.5</v>
          </cell>
        </row>
        <row r="318">
          <cell r="B318">
            <v>5.1866000000000003</v>
          </cell>
          <cell r="F318" t="str">
            <v>FERIADO</v>
          </cell>
        </row>
        <row r="319">
          <cell r="B319">
            <v>5.2826000000000004</v>
          </cell>
          <cell r="F319" t="str">
            <v>FERIADO</v>
          </cell>
        </row>
        <row r="320">
          <cell r="B320">
            <v>5.2171000000000003</v>
          </cell>
          <cell r="F320">
            <v>8394</v>
          </cell>
        </row>
        <row r="321">
          <cell r="B321">
            <v>5.2171000000000003</v>
          </cell>
          <cell r="F321">
            <v>8386</v>
          </cell>
        </row>
        <row r="322">
          <cell r="B322">
            <v>5.343</v>
          </cell>
          <cell r="F322" t="str">
            <v>FERIADO</v>
          </cell>
        </row>
        <row r="323">
          <cell r="B323">
            <v>5.3753000000000002</v>
          </cell>
          <cell r="F323" t="str">
            <v>FERIADO</v>
          </cell>
        </row>
        <row r="324">
          <cell r="B324">
            <v>5.4452999999999996</v>
          </cell>
          <cell r="F324">
            <v>8208</v>
          </cell>
        </row>
        <row r="325">
          <cell r="B325">
            <v>5.4020000000000001</v>
          </cell>
          <cell r="F325">
            <v>8418</v>
          </cell>
        </row>
        <row r="326">
          <cell r="B326">
            <v>5.2849000000000004</v>
          </cell>
          <cell r="F326">
            <v>8362</v>
          </cell>
        </row>
        <row r="327">
          <cell r="B327">
            <v>5.2961</v>
          </cell>
          <cell r="F327">
            <v>8720</v>
          </cell>
        </row>
        <row r="328">
          <cell r="B328">
            <v>5.2389000000000001</v>
          </cell>
          <cell r="F328">
            <v>8766</v>
          </cell>
        </row>
        <row r="329">
          <cell r="B329">
            <v>5.2013999999999996</v>
          </cell>
          <cell r="F329">
            <v>8986</v>
          </cell>
        </row>
        <row r="330">
          <cell r="B330">
            <v>5.1394000000000002</v>
          </cell>
          <cell r="F330">
            <v>9071</v>
          </cell>
        </row>
        <row r="331">
          <cell r="B331">
            <v>5.1109</v>
          </cell>
        </row>
        <row r="332">
          <cell r="B332">
            <v>5.1196999999999999</v>
          </cell>
          <cell r="F332">
            <v>9112</v>
          </cell>
        </row>
        <row r="333">
          <cell r="B333">
            <v>5.0903</v>
          </cell>
        </row>
        <row r="334">
          <cell r="B334">
            <v>5.2138</v>
          </cell>
          <cell r="F334">
            <v>9188</v>
          </cell>
        </row>
        <row r="335">
          <cell r="B335">
            <v>5.1980000000000004</v>
          </cell>
          <cell r="F335">
            <v>9230</v>
          </cell>
        </row>
        <row r="336">
          <cell r="B336">
            <v>5.1916000000000002</v>
          </cell>
          <cell r="F336">
            <v>9340</v>
          </cell>
        </row>
        <row r="337">
          <cell r="B337">
            <v>5.0945</v>
          </cell>
          <cell r="F337">
            <v>9287.5</v>
          </cell>
        </row>
        <row r="338">
          <cell r="B338">
            <v>5.0761000000000003</v>
          </cell>
          <cell r="F338">
            <v>9345</v>
          </cell>
        </row>
        <row r="339">
          <cell r="B339">
            <v>5.0952999999999999</v>
          </cell>
        </row>
        <row r="340">
          <cell r="B340">
            <v>5.0987</v>
          </cell>
          <cell r="F340">
            <v>9074.5</v>
          </cell>
        </row>
        <row r="341">
          <cell r="F341">
            <v>9175</v>
          </cell>
        </row>
        <row r="342">
          <cell r="F342">
            <v>9114</v>
          </cell>
        </row>
        <row r="343">
          <cell r="F343">
            <v>9060</v>
          </cell>
        </row>
        <row r="344">
          <cell r="F344">
            <v>8891</v>
          </cell>
        </row>
        <row r="345">
          <cell r="F345">
            <v>8665</v>
          </cell>
        </row>
        <row r="346">
          <cell r="F346">
            <v>9005.5</v>
          </cell>
        </row>
        <row r="347">
          <cell r="F347">
            <v>8953</v>
          </cell>
        </row>
        <row r="348">
          <cell r="F348">
            <v>8904</v>
          </cell>
        </row>
        <row r="349">
          <cell r="F349">
            <v>8911</v>
          </cell>
        </row>
        <row r="350">
          <cell r="F350">
            <v>8931</v>
          </cell>
        </row>
        <row r="351">
          <cell r="F351">
            <v>8825</v>
          </cell>
        </row>
        <row r="352">
          <cell r="F352">
            <v>8892</v>
          </cell>
        </row>
        <row r="353">
          <cell r="F353">
            <v>8870</v>
          </cell>
        </row>
        <row r="354">
          <cell r="F354">
            <v>9015</v>
          </cell>
        </row>
        <row r="355">
          <cell r="F355">
            <v>9103.5</v>
          </cell>
        </row>
        <row r="356">
          <cell r="F356">
            <v>9060</v>
          </cell>
        </row>
        <row r="357">
          <cell r="F357">
            <v>9059</v>
          </cell>
        </row>
        <row r="358">
          <cell r="F358">
            <v>8805</v>
          </cell>
        </row>
        <row r="359">
          <cell r="F359">
            <v>8749</v>
          </cell>
        </row>
        <row r="360">
          <cell r="F360">
            <v>8843</v>
          </cell>
        </row>
        <row r="361">
          <cell r="B361">
            <v>5.2064000000000004</v>
          </cell>
          <cell r="F361">
            <v>9066</v>
          </cell>
        </row>
        <row r="362">
          <cell r="B362">
            <v>5.2073999999999998</v>
          </cell>
          <cell r="F362">
            <v>8894</v>
          </cell>
        </row>
        <row r="363">
          <cell r="B363">
            <v>5.2069999999999999</v>
          </cell>
          <cell r="F363">
            <v>8896</v>
          </cell>
        </row>
        <row r="364">
          <cell r="B364">
            <v>5.2080000000000002</v>
          </cell>
          <cell r="F364">
            <v>8945</v>
          </cell>
        </row>
        <row r="365">
          <cell r="B365">
            <v>5.2037000000000004</v>
          </cell>
          <cell r="F365">
            <v>8819</v>
          </cell>
        </row>
        <row r="366">
          <cell r="B366">
            <v>5.1380999999999997</v>
          </cell>
          <cell r="F366">
            <v>8809.5</v>
          </cell>
        </row>
        <row r="367">
          <cell r="B367">
            <v>5.1346999999999996</v>
          </cell>
          <cell r="F367">
            <v>8807</v>
          </cell>
        </row>
        <row r="368">
          <cell r="B368">
            <v>5.1816000000000004</v>
          </cell>
          <cell r="F368">
            <v>8750</v>
          </cell>
        </row>
        <row r="369">
          <cell r="B369">
            <v>5.2393999999999998</v>
          </cell>
          <cell r="F369">
            <v>8650</v>
          </cell>
        </row>
        <row r="370">
          <cell r="B370">
            <v>5.1821999999999999</v>
          </cell>
          <cell r="F370">
            <v>8651</v>
          </cell>
        </row>
        <row r="371">
          <cell r="B371">
            <v>5.2975000000000003</v>
          </cell>
          <cell r="F371">
            <v>8520</v>
          </cell>
        </row>
        <row r="372">
          <cell r="B372">
            <v>5.2885999999999997</v>
          </cell>
          <cell r="F372">
            <v>8530</v>
          </cell>
        </row>
        <row r="373">
          <cell r="B373">
            <v>5.2672999999999996</v>
          </cell>
          <cell r="F373" t="str">
            <v>FERIADO</v>
          </cell>
        </row>
        <row r="374">
          <cell r="B374">
            <v>5.2461000000000002</v>
          </cell>
          <cell r="F374">
            <v>8676</v>
          </cell>
        </row>
        <row r="375">
          <cell r="B375">
            <v>5.2438000000000002</v>
          </cell>
          <cell r="F375">
            <v>8823</v>
          </cell>
        </row>
        <row r="376">
          <cell r="B376">
            <v>5.2466999999999997</v>
          </cell>
          <cell r="F376">
            <v>8880.5</v>
          </cell>
        </row>
        <row r="377">
          <cell r="B377">
            <v>5.2625999999999999</v>
          </cell>
          <cell r="F377">
            <v>8915</v>
          </cell>
        </row>
        <row r="378">
          <cell r="B378">
            <v>5.2915000000000001</v>
          </cell>
          <cell r="F378">
            <v>8926</v>
          </cell>
        </row>
        <row r="379">
          <cell r="B379">
            <v>5.23</v>
          </cell>
          <cell r="F379">
            <v>8875</v>
          </cell>
        </row>
        <row r="380">
          <cell r="B380">
            <v>5.1726999999999999</v>
          </cell>
          <cell r="F380">
            <v>8933</v>
          </cell>
        </row>
        <row r="381">
          <cell r="B381">
            <v>5.1486999999999998</v>
          </cell>
          <cell r="F381">
            <v>9047</v>
          </cell>
        </row>
        <row r="382">
          <cell r="B382">
            <v>5.1247999999999996</v>
          </cell>
          <cell r="F382">
            <v>9037.5</v>
          </cell>
        </row>
        <row r="383">
          <cell r="B383">
            <v>5.0797999999999996</v>
          </cell>
          <cell r="F383">
            <v>8933</v>
          </cell>
        </row>
        <row r="384">
          <cell r="B384">
            <v>5.0631000000000004</v>
          </cell>
          <cell r="F384">
            <v>8965.5</v>
          </cell>
        </row>
        <row r="385">
          <cell r="B385">
            <v>5.0755999999999997</v>
          </cell>
          <cell r="F385">
            <v>8925</v>
          </cell>
        </row>
        <row r="386">
          <cell r="B386">
            <v>5.0441000000000003</v>
          </cell>
          <cell r="F386">
            <v>8778</v>
          </cell>
        </row>
        <row r="387">
          <cell r="B387">
            <v>5.0677000000000003</v>
          </cell>
          <cell r="F387">
            <v>8835.5</v>
          </cell>
        </row>
        <row r="388">
          <cell r="B388" t="str">
            <v>FERIADO</v>
          </cell>
          <cell r="F388" t="str">
            <v>FERIADO</v>
          </cell>
        </row>
        <row r="389">
          <cell r="B389">
            <v>5.0827999999999998</v>
          </cell>
          <cell r="F389" t="str">
            <v>FERIADO</v>
          </cell>
        </row>
        <row r="390">
          <cell r="B390">
            <v>5.0122</v>
          </cell>
          <cell r="F390">
            <v>8837</v>
          </cell>
        </row>
        <row r="391">
          <cell r="B391">
            <v>4.9489999999999998</v>
          </cell>
          <cell r="F391">
            <v>8802</v>
          </cell>
        </row>
        <row r="392">
          <cell r="B392">
            <v>4.9090999999999996</v>
          </cell>
          <cell r="F392">
            <v>9000.5</v>
          </cell>
        </row>
        <row r="393">
          <cell r="B393">
            <v>4.9448999999999996</v>
          </cell>
          <cell r="F393">
            <v>9080</v>
          </cell>
        </row>
        <row r="394">
          <cell r="B394">
            <v>4.9414999999999996</v>
          </cell>
          <cell r="F394">
            <v>8983</v>
          </cell>
        </row>
        <row r="395">
          <cell r="B395">
            <v>4.9672000000000001</v>
          </cell>
          <cell r="F395">
            <v>8965</v>
          </cell>
        </row>
        <row r="396">
          <cell r="B396">
            <v>5.0461</v>
          </cell>
          <cell r="F396">
            <v>8874.5</v>
          </cell>
        </row>
        <row r="397">
          <cell r="B397">
            <v>5.0491000000000001</v>
          </cell>
          <cell r="F397">
            <v>8873</v>
          </cell>
        </row>
        <row r="398">
          <cell r="B398" t="str">
            <v>FERIADO</v>
          </cell>
          <cell r="F398">
            <v>8815</v>
          </cell>
        </row>
        <row r="399">
          <cell r="B399">
            <v>5.0589000000000004</v>
          </cell>
          <cell r="F399">
            <v>8762</v>
          </cell>
        </row>
        <row r="400">
          <cell r="B400">
            <v>5.0606999999999998</v>
          </cell>
          <cell r="F400">
            <v>8520.5</v>
          </cell>
        </row>
        <row r="401">
          <cell r="B401">
            <v>5.0579000000000001</v>
          </cell>
          <cell r="F401">
            <v>8578</v>
          </cell>
        </row>
        <row r="402">
          <cell r="B402">
            <v>5.0144000000000002</v>
          </cell>
          <cell r="F402">
            <v>8465</v>
          </cell>
        </row>
        <row r="403">
          <cell r="F403">
            <v>8573</v>
          </cell>
        </row>
        <row r="404">
          <cell r="F404">
            <v>8486</v>
          </cell>
        </row>
        <row r="405">
          <cell r="B405">
            <v>5.0000999999999998</v>
          </cell>
          <cell r="F405">
            <v>8539</v>
          </cell>
        </row>
        <row r="406">
          <cell r="B406">
            <v>4.9690000000000003</v>
          </cell>
          <cell r="F406">
            <v>8488</v>
          </cell>
        </row>
        <row r="407">
          <cell r="B407">
            <v>4.9690000000000003</v>
          </cell>
        </row>
        <row r="408">
          <cell r="B408">
            <v>5.0000999999999998</v>
          </cell>
          <cell r="F408">
            <v>8583</v>
          </cell>
        </row>
        <row r="409">
          <cell r="B409">
            <v>4.9541000000000004</v>
          </cell>
          <cell r="F409">
            <v>8469</v>
          </cell>
        </row>
        <row r="410">
          <cell r="B410">
            <v>4.9690000000000003</v>
          </cell>
          <cell r="F410">
            <v>8267</v>
          </cell>
        </row>
        <row r="411">
          <cell r="B411">
            <v>4.9227999999999996</v>
          </cell>
          <cell r="F411">
            <v>8240</v>
          </cell>
        </row>
        <row r="412">
          <cell r="B412">
            <v>4.9097</v>
          </cell>
          <cell r="F412">
            <v>8287</v>
          </cell>
        </row>
        <row r="413">
          <cell r="B413">
            <v>4.9116</v>
          </cell>
          <cell r="F413">
            <v>8076</v>
          </cell>
        </row>
        <row r="414">
          <cell r="B414">
            <v>4.9507000000000003</v>
          </cell>
          <cell r="F414">
            <v>8176</v>
          </cell>
        </row>
        <row r="415">
          <cell r="B415">
            <v>4.9641000000000002</v>
          </cell>
          <cell r="F415">
            <v>8171</v>
          </cell>
        </row>
        <row r="416">
          <cell r="B416">
            <v>4.9851999999999999</v>
          </cell>
          <cell r="F416">
            <v>8221</v>
          </cell>
        </row>
        <row r="417">
          <cell r="B417">
            <v>4.9673999999999996</v>
          </cell>
          <cell r="F417">
            <v>8093</v>
          </cell>
        </row>
        <row r="418">
          <cell r="B418">
            <v>4.9668000000000001</v>
          </cell>
          <cell r="F418">
            <v>7960</v>
          </cell>
        </row>
        <row r="419">
          <cell r="B419">
            <v>4.9467999999999996</v>
          </cell>
          <cell r="F419">
            <v>7909</v>
          </cell>
        </row>
        <row r="420">
          <cell r="B420">
            <v>4.9984000000000002</v>
          </cell>
          <cell r="F420">
            <v>7921</v>
          </cell>
        </row>
        <row r="421">
          <cell r="B421">
            <v>4.9947999999999997</v>
          </cell>
          <cell r="F421">
            <v>8082</v>
          </cell>
        </row>
        <row r="422">
          <cell r="B422">
            <v>4.9947999999999997</v>
          </cell>
        </row>
        <row r="423">
          <cell r="B423">
            <v>5.0587</v>
          </cell>
          <cell r="F423">
            <v>8122</v>
          </cell>
        </row>
        <row r="424">
          <cell r="B424">
            <v>5.0952999999999999</v>
          </cell>
          <cell r="F424">
            <v>8017</v>
          </cell>
        </row>
        <row r="425">
          <cell r="B425">
            <v>5.0343999999999998</v>
          </cell>
          <cell r="F425">
            <v>8211</v>
          </cell>
        </row>
        <row r="426">
          <cell r="B426">
            <v>4.9551999999999996</v>
          </cell>
          <cell r="F426">
            <v>8337</v>
          </cell>
        </row>
        <row r="427">
          <cell r="B427">
            <v>4.923</v>
          </cell>
          <cell r="F427">
            <v>8264</v>
          </cell>
        </row>
        <row r="428">
          <cell r="B428">
            <v>4.9286000000000003</v>
          </cell>
          <cell r="F428">
            <v>8311</v>
          </cell>
        </row>
        <row r="429">
          <cell r="B429">
            <v>4.9112999999999998</v>
          </cell>
          <cell r="F429">
            <v>8352</v>
          </cell>
        </row>
        <row r="430">
          <cell r="B430" t="str">
            <v>FERIADO</v>
          </cell>
          <cell r="F430">
            <v>8243</v>
          </cell>
        </row>
        <row r="431">
          <cell r="B431">
            <v>4.8916000000000004</v>
          </cell>
          <cell r="F431">
            <v>8367</v>
          </cell>
        </row>
        <row r="432">
          <cell r="B432">
            <v>4.8826000000000001</v>
          </cell>
          <cell r="F432">
            <v>8286</v>
          </cell>
        </row>
        <row r="433">
          <cell r="B433">
            <v>4.8526999999999996</v>
          </cell>
          <cell r="F433">
            <v>8421</v>
          </cell>
        </row>
        <row r="434">
          <cell r="B434">
            <v>4.8456000000000001</v>
          </cell>
          <cell r="F434">
            <v>8457</v>
          </cell>
        </row>
        <row r="435">
          <cell r="B435">
            <v>4.8216000000000001</v>
          </cell>
          <cell r="F435">
            <v>8479</v>
          </cell>
        </row>
        <row r="436">
          <cell r="B436">
            <v>4.8280000000000003</v>
          </cell>
          <cell r="F436">
            <v>8561</v>
          </cell>
        </row>
        <row r="437">
          <cell r="B437">
            <v>4.7797000000000001</v>
          </cell>
          <cell r="F437">
            <v>8541</v>
          </cell>
        </row>
        <row r="438">
          <cell r="B438">
            <v>4.7923999999999998</v>
          </cell>
          <cell r="F438">
            <v>8560</v>
          </cell>
        </row>
        <row r="439">
          <cell r="B439">
            <v>4.7789000000000001</v>
          </cell>
          <cell r="F439">
            <v>8486</v>
          </cell>
        </row>
        <row r="440">
          <cell r="B440">
            <v>4.7744</v>
          </cell>
          <cell r="F440">
            <v>8670</v>
          </cell>
        </row>
        <row r="441">
          <cell r="B441">
            <v>4.7793000000000001</v>
          </cell>
          <cell r="F441">
            <v>8488</v>
          </cell>
        </row>
        <row r="442">
          <cell r="B442">
            <v>4.7691999999999997</v>
          </cell>
          <cell r="F442">
            <v>8435</v>
          </cell>
        </row>
        <row r="443">
          <cell r="B443">
            <v>4.7896999999999998</v>
          </cell>
          <cell r="F443">
            <v>8366</v>
          </cell>
        </row>
        <row r="444">
          <cell r="B444">
            <v>4.8556999999999997</v>
          </cell>
          <cell r="F444">
            <v>8267</v>
          </cell>
        </row>
        <row r="445">
          <cell r="B445">
            <v>4.8578000000000001</v>
          </cell>
          <cell r="F445">
            <v>8166</v>
          </cell>
        </row>
        <row r="446">
          <cell r="B446">
            <v>4.8186</v>
          </cell>
          <cell r="F446">
            <v>8210</v>
          </cell>
        </row>
        <row r="447">
          <cell r="F447">
            <v>8355</v>
          </cell>
        </row>
        <row r="448">
          <cell r="F448">
            <v>8349</v>
          </cell>
        </row>
        <row r="449">
          <cell r="F449">
            <v>8251</v>
          </cell>
        </row>
        <row r="450">
          <cell r="F450">
            <v>8280</v>
          </cell>
        </row>
        <row r="451">
          <cell r="F451">
            <v>8299</v>
          </cell>
        </row>
        <row r="452">
          <cell r="F452">
            <v>8286</v>
          </cell>
        </row>
        <row r="453">
          <cell r="F453">
            <v>8371</v>
          </cell>
        </row>
        <row r="454">
          <cell r="F454">
            <v>8367</v>
          </cell>
        </row>
        <row r="455">
          <cell r="F455">
            <v>8585</v>
          </cell>
        </row>
        <row r="456">
          <cell r="F456">
            <v>8651</v>
          </cell>
        </row>
        <row r="457">
          <cell r="F457">
            <v>8460</v>
          </cell>
        </row>
        <row r="458">
          <cell r="F458">
            <v>8410</v>
          </cell>
        </row>
        <row r="459">
          <cell r="F459">
            <v>8354</v>
          </cell>
        </row>
        <row r="460">
          <cell r="F460">
            <v>8543</v>
          </cell>
        </row>
        <row r="461">
          <cell r="F461">
            <v>8422</v>
          </cell>
        </row>
        <row r="462">
          <cell r="F462">
            <v>8430</v>
          </cell>
        </row>
        <row r="463">
          <cell r="F463">
            <v>8597</v>
          </cell>
        </row>
        <row r="464">
          <cell r="F464">
            <v>8534</v>
          </cell>
        </row>
        <row r="465">
          <cell r="F465">
            <v>8578.5</v>
          </cell>
        </row>
        <row r="466">
          <cell r="F466">
            <v>8592</v>
          </cell>
        </row>
        <row r="467">
          <cell r="F467">
            <v>8635.5</v>
          </cell>
        </row>
        <row r="468">
          <cell r="F468">
            <v>8720.5</v>
          </cell>
        </row>
        <row r="469">
          <cell r="F469">
            <v>8545</v>
          </cell>
        </row>
        <row r="470">
          <cell r="F470">
            <v>8472</v>
          </cell>
        </row>
        <row r="471">
          <cell r="F471">
            <v>8450.5</v>
          </cell>
        </row>
        <row r="472">
          <cell r="F472">
            <v>8495</v>
          </cell>
        </row>
        <row r="473">
          <cell r="F473">
            <v>8276</v>
          </cell>
        </row>
        <row r="474">
          <cell r="F474">
            <v>8395</v>
          </cell>
        </row>
        <row r="475">
          <cell r="F475">
            <v>8423.5</v>
          </cell>
        </row>
        <row r="476">
          <cell r="F476">
            <v>8242</v>
          </cell>
        </row>
        <row r="477">
          <cell r="F477">
            <v>8242</v>
          </cell>
        </row>
        <row r="478">
          <cell r="F478">
            <v>8126.5</v>
          </cell>
        </row>
        <row r="479">
          <cell r="F479">
            <v>8132</v>
          </cell>
        </row>
        <row r="480">
          <cell r="F480">
            <v>8215</v>
          </cell>
        </row>
        <row r="481">
          <cell r="F481">
            <v>8176</v>
          </cell>
        </row>
        <row r="482">
          <cell r="F482">
            <v>8239.5</v>
          </cell>
        </row>
        <row r="483">
          <cell r="F483">
            <v>8342</v>
          </cell>
        </row>
        <row r="484">
          <cell r="F484">
            <v>8377.5</v>
          </cell>
        </row>
        <row r="485">
          <cell r="F485">
            <v>8358.5</v>
          </cell>
        </row>
        <row r="486">
          <cell r="F486">
            <v>8381.5</v>
          </cell>
        </row>
        <row r="488">
          <cell r="F488">
            <v>8375</v>
          </cell>
        </row>
        <row r="489">
          <cell r="F489">
            <v>8394.5</v>
          </cell>
        </row>
        <row r="490">
          <cell r="F490">
            <v>8359.5</v>
          </cell>
        </row>
        <row r="491">
          <cell r="F491">
            <v>8515</v>
          </cell>
        </row>
        <row r="492">
          <cell r="F492">
            <v>8405</v>
          </cell>
        </row>
        <row r="493">
          <cell r="F493">
            <v>8425</v>
          </cell>
        </row>
        <row r="494">
          <cell r="F494">
            <v>8394</v>
          </cell>
        </row>
        <row r="495">
          <cell r="F495">
            <v>8242</v>
          </cell>
        </row>
        <row r="497">
          <cell r="F497">
            <v>8332</v>
          </cell>
        </row>
        <row r="498">
          <cell r="F498">
            <v>8337</v>
          </cell>
        </row>
        <row r="499">
          <cell r="F499">
            <v>8352.5</v>
          </cell>
        </row>
        <row r="500">
          <cell r="F500">
            <v>8422</v>
          </cell>
        </row>
        <row r="501">
          <cell r="F501">
            <v>8376</v>
          </cell>
        </row>
        <row r="502">
          <cell r="F502">
            <v>8319</v>
          </cell>
        </row>
        <row r="503">
          <cell r="F503">
            <v>8232.5</v>
          </cell>
        </row>
        <row r="504">
          <cell r="F504">
            <v>8275</v>
          </cell>
        </row>
        <row r="505">
          <cell r="F505">
            <v>8100.5</v>
          </cell>
        </row>
        <row r="506">
          <cell r="F506">
            <v>8187.5</v>
          </cell>
        </row>
        <row r="507">
          <cell r="F507">
            <v>8102</v>
          </cell>
        </row>
        <row r="508">
          <cell r="F508">
            <v>8065</v>
          </cell>
        </row>
        <row r="509">
          <cell r="F509">
            <v>8016.5</v>
          </cell>
        </row>
        <row r="510">
          <cell r="F510">
            <v>8111.5</v>
          </cell>
        </row>
        <row r="511">
          <cell r="F511">
            <v>8230</v>
          </cell>
        </row>
        <row r="512">
          <cell r="F512">
            <v>8100</v>
          </cell>
        </row>
        <row r="513">
          <cell r="F513">
            <v>7958</v>
          </cell>
        </row>
        <row r="514">
          <cell r="F514">
            <v>7910</v>
          </cell>
        </row>
        <row r="515">
          <cell r="F515">
            <v>7812</v>
          </cell>
        </row>
        <row r="516">
          <cell r="F516">
            <v>7886</v>
          </cell>
        </row>
        <row r="517">
          <cell r="F517">
            <v>8015</v>
          </cell>
        </row>
        <row r="518">
          <cell r="F518">
            <v>7907</v>
          </cell>
        </row>
        <row r="519">
          <cell r="F519">
            <v>7943</v>
          </cell>
        </row>
        <row r="520">
          <cell r="F520">
            <v>7994</v>
          </cell>
        </row>
        <row r="521">
          <cell r="F521">
            <v>7891</v>
          </cell>
        </row>
        <row r="522">
          <cell r="F522">
            <v>7920</v>
          </cell>
        </row>
        <row r="523">
          <cell r="F523">
            <v>7846.5</v>
          </cell>
        </row>
        <row r="524">
          <cell r="F524">
            <v>7947.5</v>
          </cell>
        </row>
        <row r="525">
          <cell r="F525">
            <v>7938</v>
          </cell>
        </row>
        <row r="526">
          <cell r="F526">
            <v>7876</v>
          </cell>
        </row>
        <row r="527">
          <cell r="F527">
            <v>7824.5</v>
          </cell>
        </row>
        <row r="528">
          <cell r="F528">
            <v>7900.5</v>
          </cell>
        </row>
        <row r="529">
          <cell r="F529">
            <v>7946</v>
          </cell>
        </row>
        <row r="530">
          <cell r="F530">
            <v>7939</v>
          </cell>
        </row>
        <row r="531">
          <cell r="F531">
            <v>7963.5</v>
          </cell>
        </row>
        <row r="532">
          <cell r="F532">
            <v>8110</v>
          </cell>
        </row>
        <row r="533">
          <cell r="F533">
            <v>8038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_Base RPA"/>
    </sheetNames>
    <sheetDataSet>
      <sheetData sheetId="0">
        <row r="67">
          <cell r="D67">
            <v>6.4207000000000001</v>
          </cell>
          <cell r="H67" t="str">
            <v>FERIADO</v>
          </cell>
          <cell r="J67" t="str">
            <v>FERIADO</v>
          </cell>
          <cell r="L67" t="str">
            <v>FERIADO</v>
          </cell>
          <cell r="N67" t="str">
            <v>FERIADO</v>
          </cell>
        </row>
        <row r="68">
          <cell r="D68">
            <v>6.4180999999999999</v>
          </cell>
          <cell r="H68">
            <v>3659</v>
          </cell>
          <cell r="J68">
            <v>20890</v>
          </cell>
          <cell r="L68">
            <v>2342.5</v>
          </cell>
          <cell r="N68">
            <v>1902</v>
          </cell>
        </row>
        <row r="69">
          <cell r="D69">
            <v>6.4416000000000002</v>
          </cell>
          <cell r="H69">
            <v>3589</v>
          </cell>
          <cell r="J69">
            <v>20470</v>
          </cell>
          <cell r="L69">
            <v>2290</v>
          </cell>
          <cell r="N69">
            <v>1854</v>
          </cell>
        </row>
        <row r="70">
          <cell r="D70">
            <v>6.4385000000000003</v>
          </cell>
          <cell r="H70">
            <v>3601.5</v>
          </cell>
          <cell r="J70">
            <v>20700</v>
          </cell>
          <cell r="L70">
            <v>2340</v>
          </cell>
          <cell r="N70">
            <v>1904</v>
          </cell>
        </row>
        <row r="71">
          <cell r="D71">
            <v>6.4196</v>
          </cell>
          <cell r="H71">
            <v>3576</v>
          </cell>
          <cell r="J71">
            <v>21040</v>
          </cell>
          <cell r="L71">
            <v>2301</v>
          </cell>
          <cell r="N71">
            <v>1897</v>
          </cell>
        </row>
        <row r="72">
          <cell r="D72">
            <v>6.3883999999999999</v>
          </cell>
          <cell r="H72">
            <v>3539</v>
          </cell>
          <cell r="J72">
            <v>21670</v>
          </cell>
          <cell r="L72">
            <v>2303</v>
          </cell>
          <cell r="N72">
            <v>1918</v>
          </cell>
        </row>
        <row r="73">
          <cell r="D73">
            <v>6.3494999999999999</v>
          </cell>
          <cell r="H73">
            <v>3581.5</v>
          </cell>
          <cell r="J73">
            <v>22175</v>
          </cell>
          <cell r="L73">
            <v>2344</v>
          </cell>
          <cell r="N73">
            <v>1927</v>
          </cell>
        </row>
        <row r="74">
          <cell r="D74">
            <v>6.3304999999999998</v>
          </cell>
          <cell r="H74">
            <v>3573</v>
          </cell>
          <cell r="J74">
            <v>22125</v>
          </cell>
          <cell r="L74">
            <v>2365</v>
          </cell>
          <cell r="N74">
            <v>1901</v>
          </cell>
        </row>
        <row r="75">
          <cell r="D75">
            <v>6.3273999999999999</v>
          </cell>
          <cell r="H75">
            <v>3558</v>
          </cell>
          <cell r="J75">
            <v>22840</v>
          </cell>
          <cell r="L75">
            <v>2381</v>
          </cell>
          <cell r="N75">
            <v>1870</v>
          </cell>
        </row>
        <row r="76">
          <cell r="D76">
            <v>6.2770000000000001</v>
          </cell>
          <cell r="H76">
            <v>3533</v>
          </cell>
          <cell r="J76">
            <v>22450</v>
          </cell>
          <cell r="L76">
            <v>2356</v>
          </cell>
          <cell r="N76">
            <v>1895</v>
          </cell>
        </row>
        <row r="77">
          <cell r="D77">
            <v>6.2610000000000001</v>
          </cell>
          <cell r="H77">
            <v>3542</v>
          </cell>
          <cell r="J77">
            <v>22735</v>
          </cell>
          <cell r="L77">
            <v>2356</v>
          </cell>
          <cell r="N77">
            <v>1906</v>
          </cell>
        </row>
        <row r="78">
          <cell r="D78">
            <v>6.2355</v>
          </cell>
          <cell r="H78">
            <v>3601.5</v>
          </cell>
          <cell r="J78">
            <v>22790</v>
          </cell>
          <cell r="L78">
            <v>2351</v>
          </cell>
          <cell r="N78">
            <v>1976</v>
          </cell>
        </row>
        <row r="79">
          <cell r="D79">
            <v>6.1449999999999996</v>
          </cell>
          <cell r="H79">
            <v>3673</v>
          </cell>
          <cell r="J79">
            <v>23895</v>
          </cell>
          <cell r="L79">
            <v>2368</v>
          </cell>
          <cell r="N79">
            <v>2039</v>
          </cell>
        </row>
        <row r="80">
          <cell r="D80">
            <v>6.1717000000000004</v>
          </cell>
          <cell r="H80">
            <v>3684</v>
          </cell>
          <cell r="J80">
            <v>23975</v>
          </cell>
          <cell r="L80">
            <v>2393</v>
          </cell>
          <cell r="N80">
            <v>2112</v>
          </cell>
        </row>
        <row r="81">
          <cell r="D81">
            <v>6.2080000000000002</v>
          </cell>
          <cell r="H81">
            <v>3640</v>
          </cell>
          <cell r="J81">
            <v>23490</v>
          </cell>
          <cell r="L81">
            <v>2370</v>
          </cell>
          <cell r="N81">
            <v>2147</v>
          </cell>
        </row>
        <row r="82">
          <cell r="D82">
            <v>6.1957000000000004</v>
          </cell>
          <cell r="H82">
            <v>3614</v>
          </cell>
          <cell r="J82">
            <v>22515</v>
          </cell>
          <cell r="L82">
            <v>2358</v>
          </cell>
          <cell r="N82">
            <v>2175</v>
          </cell>
        </row>
        <row r="83">
          <cell r="D83">
            <v>6.1271000000000004</v>
          </cell>
          <cell r="H83">
            <v>3644</v>
          </cell>
          <cell r="J83">
            <v>23400</v>
          </cell>
          <cell r="L83">
            <v>2365</v>
          </cell>
          <cell r="N83">
            <v>2307</v>
          </cell>
        </row>
        <row r="84">
          <cell r="D84">
            <v>6.9983000000000004</v>
          </cell>
          <cell r="H84">
            <v>3648</v>
          </cell>
          <cell r="J84">
            <v>22855</v>
          </cell>
          <cell r="L84">
            <v>2329</v>
          </cell>
          <cell r="N84">
            <v>2279</v>
          </cell>
        </row>
        <row r="85">
          <cell r="D85">
            <v>6.0217000000000001</v>
          </cell>
          <cell r="H85">
            <v>3642</v>
          </cell>
          <cell r="J85">
            <v>22725</v>
          </cell>
          <cell r="L85">
            <v>2300</v>
          </cell>
          <cell r="N85">
            <v>2328</v>
          </cell>
        </row>
        <row r="86">
          <cell r="D86">
            <v>6.0060000000000002</v>
          </cell>
          <cell r="H86">
            <v>3674</v>
          </cell>
          <cell r="J86">
            <v>22795</v>
          </cell>
          <cell r="L86">
            <v>2288</v>
          </cell>
          <cell r="N86">
            <v>2445</v>
          </cell>
        </row>
        <row r="87">
          <cell r="D87">
            <v>5.9378000000000002</v>
          </cell>
          <cell r="H87">
            <v>3634.5</v>
          </cell>
          <cell r="J87">
            <v>23295</v>
          </cell>
          <cell r="L87">
            <v>2249</v>
          </cell>
          <cell r="N87">
            <v>2385</v>
          </cell>
        </row>
        <row r="88">
          <cell r="D88">
            <v>5.9812000000000003</v>
          </cell>
          <cell r="H88">
            <v>3648</v>
          </cell>
          <cell r="J88">
            <v>23375</v>
          </cell>
          <cell r="L88">
            <v>2245</v>
          </cell>
          <cell r="N88">
            <v>2402</v>
          </cell>
        </row>
        <row r="89">
          <cell r="D89">
            <v>6.0521000000000003</v>
          </cell>
          <cell r="H89">
            <v>3596.5</v>
          </cell>
          <cell r="J89">
            <v>23200</v>
          </cell>
          <cell r="L89">
            <v>2228</v>
          </cell>
          <cell r="N89">
            <v>2377</v>
          </cell>
        </row>
        <row r="90">
          <cell r="D90">
            <v>6.0955000000000004</v>
          </cell>
          <cell r="H90">
            <v>3633</v>
          </cell>
          <cell r="J90">
            <v>23450</v>
          </cell>
          <cell r="L90">
            <v>2223</v>
          </cell>
          <cell r="N90">
            <v>2287</v>
          </cell>
        </row>
        <row r="91">
          <cell r="D91">
            <v>6.0541</v>
          </cell>
          <cell r="H91">
            <v>3622</v>
          </cell>
          <cell r="J91">
            <v>23625</v>
          </cell>
          <cell r="L91">
            <v>2198</v>
          </cell>
          <cell r="N91">
            <v>2230</v>
          </cell>
        </row>
        <row r="92">
          <cell r="D92">
            <v>6.016</v>
          </cell>
          <cell r="H92">
            <v>3652</v>
          </cell>
          <cell r="J92">
            <v>23525</v>
          </cell>
          <cell r="L92">
            <v>2202</v>
          </cell>
          <cell r="N92">
            <v>2261</v>
          </cell>
        </row>
        <row r="93">
          <cell r="D93">
            <v>6.0259</v>
          </cell>
          <cell r="H93">
            <v>3633</v>
          </cell>
          <cell r="J93">
            <v>23540</v>
          </cell>
          <cell r="L93">
            <v>2232</v>
          </cell>
          <cell r="N93">
            <v>2267</v>
          </cell>
        </row>
        <row r="94">
          <cell r="D94">
            <v>5.9732000000000003</v>
          </cell>
          <cell r="H94">
            <v>3737</v>
          </cell>
          <cell r="J94">
            <v>24050</v>
          </cell>
          <cell r="L94">
            <v>2298</v>
          </cell>
          <cell r="N94">
            <v>2292</v>
          </cell>
        </row>
        <row r="95">
          <cell r="D95">
            <v>5.9257999999999997</v>
          </cell>
          <cell r="H95">
            <v>3672</v>
          </cell>
          <cell r="J95">
            <v>23700</v>
          </cell>
          <cell r="L95">
            <v>2288</v>
          </cell>
          <cell r="N95">
            <v>2224</v>
          </cell>
        </row>
        <row r="96">
          <cell r="D96">
            <v>5.8898999999999999</v>
          </cell>
          <cell r="H96">
            <v>3630</v>
          </cell>
          <cell r="J96">
            <v>23625</v>
          </cell>
          <cell r="L96">
            <v>2298</v>
          </cell>
          <cell r="N96">
            <v>2290</v>
          </cell>
        </row>
        <row r="97">
          <cell r="D97">
            <v>5.8903999999999996</v>
          </cell>
          <cell r="H97">
            <v>3612</v>
          </cell>
          <cell r="J97">
            <v>23945</v>
          </cell>
          <cell r="L97">
            <v>2308</v>
          </cell>
          <cell r="N97">
            <v>2252</v>
          </cell>
        </row>
        <row r="98">
          <cell r="D98">
            <v>5.8659999999999997</v>
          </cell>
          <cell r="H98">
            <v>3633</v>
          </cell>
          <cell r="J98">
            <v>23900</v>
          </cell>
          <cell r="L98">
            <v>2339.5</v>
          </cell>
          <cell r="N98">
            <v>2280</v>
          </cell>
        </row>
        <row r="99">
          <cell r="D99">
            <v>5.8612000000000002</v>
          </cell>
          <cell r="H99">
            <v>3620</v>
          </cell>
          <cell r="J99">
            <v>24145</v>
          </cell>
          <cell r="L99">
            <v>2349</v>
          </cell>
          <cell r="N99">
            <v>2372</v>
          </cell>
        </row>
        <row r="100">
          <cell r="D100">
            <v>5.8216999999999999</v>
          </cell>
          <cell r="H100">
            <v>3667.5</v>
          </cell>
          <cell r="J100">
            <v>24495</v>
          </cell>
          <cell r="L100">
            <v>2361</v>
          </cell>
          <cell r="N100">
            <v>2360</v>
          </cell>
        </row>
        <row r="101">
          <cell r="D101">
            <v>5.7793000000000001</v>
          </cell>
          <cell r="H101">
            <v>3598</v>
          </cell>
          <cell r="J101">
            <v>24865</v>
          </cell>
          <cell r="L101">
            <v>2342.5</v>
          </cell>
          <cell r="N101">
            <v>2374</v>
          </cell>
        </row>
        <row r="102">
          <cell r="D102">
            <v>5.7351000000000001</v>
          </cell>
          <cell r="H102">
            <v>3627</v>
          </cell>
          <cell r="J102">
            <v>25645</v>
          </cell>
          <cell r="L102">
            <v>2334.5</v>
          </cell>
          <cell r="N102">
            <v>2417</v>
          </cell>
        </row>
        <row r="103">
          <cell r="D103">
            <v>5.6769999999999996</v>
          </cell>
          <cell r="H103">
            <v>3615</v>
          </cell>
          <cell r="J103">
            <v>24940</v>
          </cell>
          <cell r="L103">
            <v>2347</v>
          </cell>
          <cell r="N103">
            <v>2423</v>
          </cell>
        </row>
        <row r="104">
          <cell r="D104">
            <v>5.6852999999999998</v>
          </cell>
          <cell r="H104">
            <v>3669</v>
          </cell>
          <cell r="J104">
            <v>26100</v>
          </cell>
          <cell r="L104">
            <v>2368</v>
          </cell>
          <cell r="N104">
            <v>2680</v>
          </cell>
        </row>
        <row r="105">
          <cell r="D105">
            <v>5.7775999999999996</v>
          </cell>
          <cell r="H105">
            <v>3638</v>
          </cell>
          <cell r="J105">
            <v>24690</v>
          </cell>
          <cell r="L105">
            <v>2358</v>
          </cell>
          <cell r="N105">
            <v>2320</v>
          </cell>
        </row>
        <row r="106">
          <cell r="D106">
            <v>5.7775999999999996</v>
          </cell>
          <cell r="H106">
            <v>3704.5</v>
          </cell>
          <cell r="J106">
            <v>25230</v>
          </cell>
          <cell r="L106">
            <v>2400</v>
          </cell>
          <cell r="N106">
            <v>2509</v>
          </cell>
        </row>
        <row r="107">
          <cell r="D107" t="str">
            <v>FERIADO</v>
          </cell>
          <cell r="H107">
            <v>3736.5</v>
          </cell>
          <cell r="J107">
            <v>25425</v>
          </cell>
          <cell r="L107">
            <v>2411</v>
          </cell>
          <cell r="N107">
            <v>2691</v>
          </cell>
        </row>
        <row r="108">
          <cell r="D108" t="str">
            <v>FERIADO</v>
          </cell>
          <cell r="H108">
            <v>3925</v>
          </cell>
          <cell r="J108">
            <v>26995</v>
          </cell>
          <cell r="L108">
            <v>2433</v>
          </cell>
          <cell r="N108">
            <v>2595</v>
          </cell>
        </row>
        <row r="109">
          <cell r="D109">
            <v>5.5827999999999998</v>
          </cell>
          <cell r="H109">
            <v>3983</v>
          </cell>
          <cell r="J109">
            <v>28795</v>
          </cell>
          <cell r="L109">
            <v>2423.5</v>
          </cell>
          <cell r="N109">
            <v>2764</v>
          </cell>
        </row>
        <row r="110">
          <cell r="D110">
            <v>5.5406000000000004</v>
          </cell>
          <cell r="H110">
            <v>4024</v>
          </cell>
          <cell r="J110">
            <v>29750</v>
          </cell>
          <cell r="L110">
            <v>2439</v>
          </cell>
          <cell r="N110">
            <v>2965</v>
          </cell>
        </row>
        <row r="111">
          <cell r="D111">
            <v>5.4997999999999996</v>
          </cell>
          <cell r="H111">
            <v>4247</v>
          </cell>
          <cell r="J111">
            <v>42990</v>
          </cell>
          <cell r="L111">
            <v>2511</v>
          </cell>
          <cell r="N111">
            <v>3015</v>
          </cell>
        </row>
        <row r="112">
          <cell r="D112">
            <v>5.5345000000000004</v>
          </cell>
          <cell r="H112">
            <v>4089</v>
          </cell>
          <cell r="J112">
            <v>48201</v>
          </cell>
          <cell r="L112">
            <v>2489</v>
          </cell>
          <cell r="N112">
            <v>3000</v>
          </cell>
        </row>
        <row r="113">
          <cell r="D113">
            <v>5.5312000000000001</v>
          </cell>
          <cell r="H113">
            <v>3939</v>
          </cell>
          <cell r="J113">
            <v>48211</v>
          </cell>
          <cell r="L113">
            <v>2400</v>
          </cell>
          <cell r="N113">
            <v>2970</v>
          </cell>
        </row>
        <row r="114">
          <cell r="D114">
            <v>5.5648999999999997</v>
          </cell>
          <cell r="H114">
            <v>3959</v>
          </cell>
          <cell r="J114">
            <v>48241</v>
          </cell>
          <cell r="L114">
            <v>2400</v>
          </cell>
          <cell r="N114">
            <v>2930</v>
          </cell>
        </row>
        <row r="115">
          <cell r="D115">
            <v>5.5087999999999999</v>
          </cell>
          <cell r="H115">
            <v>3833</v>
          </cell>
          <cell r="J115">
            <v>48226</v>
          </cell>
          <cell r="L115">
            <v>2359</v>
          </cell>
          <cell r="N115">
            <v>2766</v>
          </cell>
        </row>
        <row r="116">
          <cell r="D116">
            <v>5.5589000000000004</v>
          </cell>
          <cell r="H116">
            <v>3780</v>
          </cell>
          <cell r="J116">
            <v>48211</v>
          </cell>
          <cell r="L116">
            <v>2271</v>
          </cell>
          <cell r="N116">
            <v>2374</v>
          </cell>
        </row>
        <row r="117">
          <cell r="D117">
            <v>5.6289999999999996</v>
          </cell>
          <cell r="H117">
            <v>3769</v>
          </cell>
          <cell r="J117">
            <v>48196</v>
          </cell>
          <cell r="L117">
            <v>2229</v>
          </cell>
          <cell r="N117">
            <v>2417</v>
          </cell>
        </row>
        <row r="118">
          <cell r="D118">
            <v>5.6357999999999997</v>
          </cell>
          <cell r="H118">
            <v>3820</v>
          </cell>
          <cell r="J118">
            <v>48241</v>
          </cell>
          <cell r="L118">
            <v>2243</v>
          </cell>
          <cell r="N118">
            <v>2440</v>
          </cell>
        </row>
        <row r="119">
          <cell r="D119">
            <v>5.6382000000000003</v>
          </cell>
          <cell r="H119" t="str">
            <v>FERIADO</v>
          </cell>
          <cell r="J119" t="str">
            <v>FERIADO</v>
          </cell>
          <cell r="L119" t="str">
            <v>FERIADO</v>
          </cell>
          <cell r="N119" t="str">
            <v>FERIADO</v>
          </cell>
        </row>
        <row r="120">
          <cell r="D120">
            <v>5.5677000000000003</v>
          </cell>
          <cell r="H120">
            <v>3849</v>
          </cell>
          <cell r="J120">
            <v>37115</v>
          </cell>
          <cell r="L120">
            <v>2258</v>
          </cell>
          <cell r="N120">
            <v>2535</v>
          </cell>
        </row>
        <row r="121">
          <cell r="D121">
            <v>5.484</v>
          </cell>
          <cell r="H121">
            <v>3895</v>
          </cell>
          <cell r="J121">
            <v>31580</v>
          </cell>
          <cell r="L121">
            <v>2247</v>
          </cell>
          <cell r="N121">
            <v>2547</v>
          </cell>
        </row>
        <row r="122">
          <cell r="D122">
            <v>5.4221000000000004</v>
          </cell>
          <cell r="H122">
            <v>3943</v>
          </cell>
          <cell r="J122">
            <v>30750</v>
          </cell>
          <cell r="L122">
            <v>2268</v>
          </cell>
          <cell r="N122">
            <v>2504</v>
          </cell>
        </row>
        <row r="123">
          <cell r="D123">
            <v>5.3563000000000001</v>
          </cell>
          <cell r="H123">
            <v>4017</v>
          </cell>
          <cell r="J123">
            <v>32355</v>
          </cell>
          <cell r="L123">
            <v>2335.5</v>
          </cell>
          <cell r="N123">
            <v>2526</v>
          </cell>
        </row>
        <row r="124">
          <cell r="D124">
            <v>5.2885999999999997</v>
          </cell>
          <cell r="H124">
            <v>4139</v>
          </cell>
          <cell r="J124">
            <v>37200</v>
          </cell>
          <cell r="L124">
            <v>2348</v>
          </cell>
          <cell r="N124">
            <v>2511</v>
          </cell>
        </row>
        <row r="125">
          <cell r="D125">
            <v>5.2468000000000004</v>
          </cell>
          <cell r="H125">
            <v>4072</v>
          </cell>
          <cell r="J125">
            <v>35500</v>
          </cell>
          <cell r="L125">
            <v>2345</v>
          </cell>
          <cell r="N125">
            <v>2498</v>
          </cell>
        </row>
        <row r="126">
          <cell r="D126">
            <v>5.2573999999999996</v>
          </cell>
          <cell r="H126">
            <v>4062</v>
          </cell>
          <cell r="J126">
            <v>34025</v>
          </cell>
          <cell r="L126">
            <v>2368.5</v>
          </cell>
          <cell r="N126">
            <v>2253</v>
          </cell>
        </row>
        <row r="127">
          <cell r="D127">
            <v>5.2731000000000003</v>
          </cell>
          <cell r="H127">
            <v>4100</v>
          </cell>
          <cell r="J127">
            <v>33050</v>
          </cell>
          <cell r="L127">
            <v>2393</v>
          </cell>
          <cell r="N127">
            <v>2111</v>
          </cell>
        </row>
        <row r="128">
          <cell r="D128">
            <v>5.3</v>
          </cell>
          <cell r="H128">
            <v>4134</v>
          </cell>
          <cell r="J128">
            <v>32700</v>
          </cell>
          <cell r="L128">
            <v>2400</v>
          </cell>
          <cell r="N128">
            <v>2255</v>
          </cell>
        </row>
        <row r="129">
          <cell r="D129">
            <v>5.2549999999999999</v>
          </cell>
          <cell r="H129">
            <v>4258</v>
          </cell>
          <cell r="J129">
            <v>33375</v>
          </cell>
          <cell r="L129">
            <v>2432</v>
          </cell>
          <cell r="N129">
            <v>2259</v>
          </cell>
        </row>
        <row r="130">
          <cell r="D130">
            <v>5.1878000000000002</v>
          </cell>
          <cell r="H130">
            <v>4330</v>
          </cell>
          <cell r="J130">
            <v>32750</v>
          </cell>
          <cell r="L130">
            <v>2445</v>
          </cell>
          <cell r="N130">
            <v>2323</v>
          </cell>
        </row>
        <row r="131">
          <cell r="D131">
            <v>5.0754000000000001</v>
          </cell>
          <cell r="H131">
            <v>4470</v>
          </cell>
          <cell r="J131">
            <v>33680</v>
          </cell>
          <cell r="L131">
            <v>2434</v>
          </cell>
          <cell r="N131">
            <v>2297</v>
          </cell>
        </row>
        <row r="132">
          <cell r="D132">
            <v>5.0658000000000003</v>
          </cell>
          <cell r="H132">
            <v>4309</v>
          </cell>
          <cell r="J132">
            <v>33745</v>
          </cell>
          <cell r="L132">
            <v>2418</v>
          </cell>
          <cell r="N132">
            <v>2294</v>
          </cell>
        </row>
        <row r="133">
          <cell r="D133">
            <v>5.1238999999999999</v>
          </cell>
          <cell r="H133">
            <v>4304</v>
          </cell>
          <cell r="J133">
            <v>33550</v>
          </cell>
          <cell r="L133">
            <v>2388</v>
          </cell>
          <cell r="N133">
            <v>2240</v>
          </cell>
        </row>
        <row r="134">
          <cell r="D134">
            <v>5.1664000000000003</v>
          </cell>
          <cell r="H134">
            <v>4249</v>
          </cell>
          <cell r="J134">
            <v>33490</v>
          </cell>
          <cell r="L134">
            <v>2404.5</v>
          </cell>
          <cell r="N134">
            <v>2258</v>
          </cell>
        </row>
        <row r="135">
          <cell r="D135">
            <v>5.165</v>
          </cell>
          <cell r="H135">
            <v>4279</v>
          </cell>
          <cell r="J135">
            <v>34095</v>
          </cell>
          <cell r="L135">
            <v>2423</v>
          </cell>
          <cell r="N135">
            <v>2442</v>
          </cell>
        </row>
        <row r="136">
          <cell r="D136">
            <v>5.1128</v>
          </cell>
          <cell r="H136">
            <v>4370</v>
          </cell>
          <cell r="J136">
            <v>32900</v>
          </cell>
          <cell r="L136">
            <v>2408</v>
          </cell>
          <cell r="N136">
            <v>2495</v>
          </cell>
        </row>
        <row r="137">
          <cell r="D137">
            <v>5.0431999999999997</v>
          </cell>
          <cell r="H137">
            <v>4344.5</v>
          </cell>
          <cell r="J137">
            <v>32445</v>
          </cell>
          <cell r="L137">
            <v>2417</v>
          </cell>
          <cell r="N137">
            <v>2350</v>
          </cell>
        </row>
        <row r="138">
          <cell r="D138">
            <v>5.0881999999999996</v>
          </cell>
          <cell r="H138">
            <v>4513</v>
          </cell>
          <cell r="J138">
            <v>32990</v>
          </cell>
          <cell r="L138">
            <v>2448</v>
          </cell>
          <cell r="N138">
            <v>2386</v>
          </cell>
        </row>
        <row r="139">
          <cell r="D139">
            <v>5.0895999999999999</v>
          </cell>
          <cell r="H139">
            <v>4471</v>
          </cell>
          <cell r="J139">
            <v>33200</v>
          </cell>
          <cell r="L139">
            <v>2470</v>
          </cell>
          <cell r="N139">
            <v>2381</v>
          </cell>
        </row>
        <row r="140">
          <cell r="D140" t="str">
            <v>FERIADO</v>
          </cell>
          <cell r="H140" t="str">
            <v>FERIADO</v>
          </cell>
          <cell r="J140" t="str">
            <v>FERIADO</v>
          </cell>
          <cell r="L140" t="str">
            <v>FERIADO</v>
          </cell>
          <cell r="N140" t="str">
            <v>FERIADO</v>
          </cell>
        </row>
        <row r="141">
          <cell r="D141">
            <v>5.0395000000000003</v>
          </cell>
          <cell r="H141" t="str">
            <v>FERIADO</v>
          </cell>
          <cell r="J141" t="str">
            <v>FERIADO</v>
          </cell>
          <cell r="L141" t="str">
            <v>FERIADO</v>
          </cell>
          <cell r="N141" t="str">
            <v>FERIADO</v>
          </cell>
        </row>
        <row r="142">
          <cell r="D142">
            <v>5.0335000000000001</v>
          </cell>
          <cell r="H142">
            <v>4528</v>
          </cell>
          <cell r="J142">
            <v>33650</v>
          </cell>
          <cell r="L142">
            <v>2423</v>
          </cell>
          <cell r="N142">
            <v>2358</v>
          </cell>
        </row>
        <row r="143">
          <cell r="D143">
            <v>5.0353000000000003</v>
          </cell>
          <cell r="H143">
            <v>4509</v>
          </cell>
          <cell r="J143">
            <v>33800</v>
          </cell>
          <cell r="L143">
            <v>2423</v>
          </cell>
          <cell r="N143">
            <v>2405</v>
          </cell>
        </row>
        <row r="144">
          <cell r="D144" t="str">
            <v>FERIADO</v>
          </cell>
          <cell r="H144">
            <v>4484.5</v>
          </cell>
          <cell r="J144">
            <v>33750</v>
          </cell>
          <cell r="L144">
            <v>2413</v>
          </cell>
          <cell r="N144">
            <v>2432</v>
          </cell>
        </row>
        <row r="145">
          <cell r="D145">
            <v>5.1044</v>
          </cell>
          <cell r="H145">
            <v>4514</v>
          </cell>
          <cell r="J145">
            <v>33825</v>
          </cell>
          <cell r="L145">
            <v>2399</v>
          </cell>
          <cell r="N145">
            <v>2405</v>
          </cell>
        </row>
        <row r="146">
          <cell r="D146">
            <v>5.2233999999999998</v>
          </cell>
          <cell r="H146">
            <v>4278.5</v>
          </cell>
          <cell r="J146">
            <v>32640</v>
          </cell>
          <cell r="L146">
            <v>2366</v>
          </cell>
          <cell r="N146">
            <v>2115</v>
          </cell>
        </row>
        <row r="147">
          <cell r="D147">
            <v>5.2927999999999997</v>
          </cell>
          <cell r="H147">
            <v>4313</v>
          </cell>
          <cell r="J147">
            <v>32800</v>
          </cell>
          <cell r="L147">
            <v>2358</v>
          </cell>
          <cell r="N147">
            <v>2186</v>
          </cell>
        </row>
        <row r="148">
          <cell r="D148">
            <v>5.2889999999999997</v>
          </cell>
          <cell r="H148">
            <v>4318.5</v>
          </cell>
          <cell r="J148">
            <v>33250</v>
          </cell>
          <cell r="L148">
            <v>2318</v>
          </cell>
          <cell r="N148">
            <v>2254</v>
          </cell>
        </row>
        <row r="149">
          <cell r="D149">
            <v>5.2609000000000004</v>
          </cell>
          <cell r="H149">
            <v>4230</v>
          </cell>
          <cell r="J149">
            <v>33270</v>
          </cell>
          <cell r="L149">
            <v>2278</v>
          </cell>
          <cell r="N149">
            <v>2249</v>
          </cell>
        </row>
        <row r="150">
          <cell r="D150">
            <v>5.1840999999999999</v>
          </cell>
          <cell r="H150">
            <v>4211</v>
          </cell>
          <cell r="J150">
            <v>32420</v>
          </cell>
          <cell r="L150">
            <v>2278.5</v>
          </cell>
          <cell r="N150">
            <v>2312</v>
          </cell>
        </row>
        <row r="151">
          <cell r="D151">
            <v>5.2878999999999996</v>
          </cell>
          <cell r="H151" t="str">
            <v>FERIADO</v>
          </cell>
          <cell r="J151" t="str">
            <v>FERIADO</v>
          </cell>
          <cell r="L151" t="str">
            <v>FERIADO</v>
          </cell>
          <cell r="N151" t="str">
            <v>FERIADO</v>
          </cell>
        </row>
        <row r="152">
          <cell r="D152">
            <v>5.282</v>
          </cell>
          <cell r="H152">
            <v>4044</v>
          </cell>
          <cell r="J152">
            <v>30900</v>
          </cell>
          <cell r="L152">
            <v>2267</v>
          </cell>
          <cell r="N152">
            <v>2230</v>
          </cell>
        </row>
        <row r="153">
          <cell r="D153">
            <v>5.2782</v>
          </cell>
          <cell r="H153">
            <v>3954</v>
          </cell>
          <cell r="J153">
            <v>30375</v>
          </cell>
          <cell r="L153">
            <v>2273</v>
          </cell>
          <cell r="N153">
            <v>2230</v>
          </cell>
        </row>
        <row r="154">
          <cell r="D154">
            <v>5.2572000000000001</v>
          </cell>
          <cell r="H154">
            <v>3992.5</v>
          </cell>
          <cell r="J154">
            <v>30190</v>
          </cell>
          <cell r="L154">
            <v>2303</v>
          </cell>
          <cell r="N154">
            <v>2230</v>
          </cell>
        </row>
        <row r="155">
          <cell r="D155">
            <v>5.3631000000000002</v>
          </cell>
          <cell r="H155">
            <v>3828</v>
          </cell>
          <cell r="J155">
            <v>29930</v>
          </cell>
          <cell r="L155">
            <v>2230</v>
          </cell>
          <cell r="N155">
            <v>2108</v>
          </cell>
        </row>
        <row r="156">
          <cell r="D156">
            <v>5.4183000000000003</v>
          </cell>
          <cell r="H156">
            <v>3654.5</v>
          </cell>
          <cell r="J156">
            <v>28395</v>
          </cell>
          <cell r="L156">
            <v>2127</v>
          </cell>
          <cell r="N156">
            <v>2049</v>
          </cell>
        </row>
        <row r="157">
          <cell r="D157">
            <v>5.4107000000000003</v>
          </cell>
          <cell r="H157">
            <v>3640</v>
          </cell>
          <cell r="J157">
            <v>27750</v>
          </cell>
          <cell r="L157">
            <v>2115</v>
          </cell>
          <cell r="N157">
            <v>2058</v>
          </cell>
        </row>
        <row r="158">
          <cell r="D158">
            <v>5.3978999999999999</v>
          </cell>
          <cell r="H158">
            <v>3659.5</v>
          </cell>
          <cell r="J158">
            <v>27775</v>
          </cell>
          <cell r="L158">
            <v>2105</v>
          </cell>
          <cell r="N158">
            <v>2048</v>
          </cell>
        </row>
        <row r="159">
          <cell r="D159">
            <v>5.3406000000000002</v>
          </cell>
          <cell r="H159">
            <v>3540</v>
          </cell>
          <cell r="J159">
            <v>27575</v>
          </cell>
          <cell r="L159">
            <v>2072.5</v>
          </cell>
          <cell r="N159">
            <v>1912</v>
          </cell>
        </row>
        <row r="160">
          <cell r="D160">
            <v>5.3163</v>
          </cell>
          <cell r="H160">
            <v>3498</v>
          </cell>
          <cell r="J160">
            <v>27375</v>
          </cell>
          <cell r="L160">
            <v>2063</v>
          </cell>
          <cell r="N160">
            <v>1932</v>
          </cell>
        </row>
        <row r="161">
          <cell r="D161">
            <v>5.2782999999999998</v>
          </cell>
          <cell r="H161">
            <v>3583</v>
          </cell>
          <cell r="J161">
            <v>26100</v>
          </cell>
          <cell r="L161">
            <v>2093</v>
          </cell>
          <cell r="N161">
            <v>1970</v>
          </cell>
        </row>
        <row r="162">
          <cell r="D162">
            <v>5.2306999999999997</v>
          </cell>
          <cell r="H162">
            <v>3685</v>
          </cell>
          <cell r="J162">
            <v>26290</v>
          </cell>
          <cell r="L162">
            <v>2101</v>
          </cell>
          <cell r="N162">
            <v>2079</v>
          </cell>
        </row>
        <row r="163">
          <cell r="D163">
            <v>5.2011000000000003</v>
          </cell>
          <cell r="H163">
            <v>3645.5</v>
          </cell>
          <cell r="J163">
            <v>26175</v>
          </cell>
          <cell r="L163">
            <v>2075</v>
          </cell>
          <cell r="N163">
            <v>2080</v>
          </cell>
        </row>
        <row r="164">
          <cell r="D164">
            <v>5.2069999999999999</v>
          </cell>
          <cell r="H164">
            <v>3647</v>
          </cell>
          <cell r="J164">
            <v>26100</v>
          </cell>
          <cell r="L164">
            <v>2032</v>
          </cell>
          <cell r="N164">
            <v>1980</v>
          </cell>
        </row>
        <row r="165">
          <cell r="D165">
            <v>5.1492000000000004</v>
          </cell>
          <cell r="H165">
            <v>3753</v>
          </cell>
          <cell r="J165">
            <v>27900</v>
          </cell>
          <cell r="L165">
            <v>2144</v>
          </cell>
          <cell r="N165">
            <v>2004</v>
          </cell>
        </row>
        <row r="166">
          <cell r="D166">
            <v>5.1166</v>
          </cell>
          <cell r="H166">
            <v>3775</v>
          </cell>
          <cell r="J166">
            <v>26795</v>
          </cell>
          <cell r="L166">
            <v>2165</v>
          </cell>
          <cell r="N166">
            <v>2004</v>
          </cell>
        </row>
        <row r="167">
          <cell r="D167">
            <v>5.1664000000000003</v>
          </cell>
          <cell r="H167">
            <v>3768</v>
          </cell>
          <cell r="J167">
            <v>26250</v>
          </cell>
          <cell r="L167">
            <v>2181</v>
          </cell>
          <cell r="N167">
            <v>1997</v>
          </cell>
        </row>
        <row r="168">
          <cell r="D168">
            <v>5.1520000000000001</v>
          </cell>
          <cell r="H168">
            <v>3748</v>
          </cell>
          <cell r="J168">
            <v>26700</v>
          </cell>
          <cell r="L168">
            <v>2120.5</v>
          </cell>
          <cell r="N168">
            <v>1993</v>
          </cell>
        </row>
        <row r="169">
          <cell r="D169">
            <v>5.1433</v>
          </cell>
          <cell r="H169">
            <v>3742</v>
          </cell>
          <cell r="J169">
            <v>27550</v>
          </cell>
          <cell r="L169">
            <v>2104</v>
          </cell>
          <cell r="N169">
            <v>1993</v>
          </cell>
        </row>
        <row r="170">
          <cell r="D170">
            <v>5.0781000000000001</v>
          </cell>
          <cell r="H170">
            <v>3813</v>
          </cell>
          <cell r="J170">
            <v>27800</v>
          </cell>
          <cell r="L170">
            <v>2090.5</v>
          </cell>
          <cell r="N170">
            <v>2044</v>
          </cell>
        </row>
        <row r="171">
          <cell r="D171">
            <v>5.0888</v>
          </cell>
          <cell r="H171">
            <v>3974</v>
          </cell>
          <cell r="J171">
            <v>29925</v>
          </cell>
          <cell r="L171">
            <v>2175</v>
          </cell>
          <cell r="N171">
            <v>2039</v>
          </cell>
        </row>
        <row r="172">
          <cell r="D172">
            <v>5.0730000000000004</v>
          </cell>
          <cell r="H172">
            <v>3976</v>
          </cell>
          <cell r="J172">
            <v>28650</v>
          </cell>
          <cell r="L172">
            <v>2175</v>
          </cell>
          <cell r="N172">
            <v>2032</v>
          </cell>
        </row>
        <row r="173">
          <cell r="D173">
            <v>5.0824999999999996</v>
          </cell>
          <cell r="H173">
            <v>3895</v>
          </cell>
          <cell r="J173">
            <v>27700</v>
          </cell>
          <cell r="L173">
            <v>2142.5</v>
          </cell>
          <cell r="N173">
            <v>2014</v>
          </cell>
        </row>
        <row r="174">
          <cell r="D174">
            <v>5.1368</v>
          </cell>
          <cell r="H174" t="str">
            <v>FERIADO</v>
          </cell>
          <cell r="J174" t="str">
            <v>FERIADO</v>
          </cell>
          <cell r="L174" t="str">
            <v>FERIADO</v>
          </cell>
          <cell r="N174" t="str">
            <v>FERIADO</v>
          </cell>
        </row>
        <row r="175">
          <cell r="D175">
            <v>5.1349999999999998</v>
          </cell>
          <cell r="H175" t="str">
            <v>FERIADO</v>
          </cell>
          <cell r="J175" t="str">
            <v>FERIADO</v>
          </cell>
          <cell r="L175" t="str">
            <v>FERIADO</v>
          </cell>
          <cell r="N175" t="str">
            <v>FERIADO</v>
          </cell>
        </row>
        <row r="176">
          <cell r="D176">
            <v>5.1157000000000004</v>
          </cell>
          <cell r="H176">
            <v>3911</v>
          </cell>
          <cell r="J176">
            <v>29375</v>
          </cell>
          <cell r="L176">
            <v>2180</v>
          </cell>
          <cell r="N176">
            <v>2015</v>
          </cell>
        </row>
        <row r="177">
          <cell r="D177">
            <v>5.2312000000000003</v>
          </cell>
          <cell r="H177">
            <v>3745</v>
          </cell>
          <cell r="J177">
            <v>29025</v>
          </cell>
          <cell r="L177">
            <v>2168</v>
          </cell>
          <cell r="N177">
            <v>1950</v>
          </cell>
        </row>
        <row r="178">
          <cell r="D178">
            <v>5.2309000000000001</v>
          </cell>
          <cell r="H178">
            <v>3821</v>
          </cell>
          <cell r="J178">
            <v>28850</v>
          </cell>
          <cell r="L178">
            <v>2223</v>
          </cell>
          <cell r="N178">
            <v>1950</v>
          </cell>
        </row>
        <row r="179">
          <cell r="D179">
            <v>5.2156000000000002</v>
          </cell>
          <cell r="H179">
            <v>3790</v>
          </cell>
          <cell r="J179">
            <v>28050</v>
          </cell>
          <cell r="L179">
            <v>2197.5</v>
          </cell>
          <cell r="N179">
            <v>1921</v>
          </cell>
        </row>
        <row r="180">
          <cell r="D180">
            <v>5.2420999999999998</v>
          </cell>
          <cell r="H180">
            <v>3754</v>
          </cell>
          <cell r="J180">
            <v>27565</v>
          </cell>
          <cell r="L180">
            <v>2150</v>
          </cell>
          <cell r="N180">
            <v>1912</v>
          </cell>
        </row>
        <row r="181">
          <cell r="D181">
            <v>5.3235999999999999</v>
          </cell>
          <cell r="H181">
            <v>3605</v>
          </cell>
          <cell r="J181">
            <v>26380</v>
          </cell>
          <cell r="L181">
            <v>2100</v>
          </cell>
          <cell r="N181">
            <v>1860</v>
          </cell>
        </row>
        <row r="182">
          <cell r="D182">
            <v>5.3322000000000003</v>
          </cell>
          <cell r="H182">
            <v>3659</v>
          </cell>
          <cell r="J182">
            <v>25490</v>
          </cell>
          <cell r="L182">
            <v>2073</v>
          </cell>
          <cell r="N182">
            <v>1810</v>
          </cell>
        </row>
        <row r="183">
          <cell r="D183">
            <v>5.3075999999999999</v>
          </cell>
          <cell r="H183">
            <v>3700</v>
          </cell>
          <cell r="J183">
            <v>25600</v>
          </cell>
          <cell r="L183">
            <v>2081</v>
          </cell>
          <cell r="N183">
            <v>1865</v>
          </cell>
        </row>
        <row r="184">
          <cell r="D184" t="str">
            <v>FERIADO</v>
          </cell>
          <cell r="H184">
            <v>3634</v>
          </cell>
          <cell r="J184">
            <v>25375</v>
          </cell>
          <cell r="L184">
            <v>2065</v>
          </cell>
          <cell r="N184">
            <v>1866</v>
          </cell>
        </row>
        <row r="185">
          <cell r="D185">
            <v>5.3723999999999998</v>
          </cell>
          <cell r="H185">
            <v>3579</v>
          </cell>
          <cell r="J185">
            <v>25415</v>
          </cell>
          <cell r="L185">
            <v>2071</v>
          </cell>
          <cell r="N185">
            <v>1860</v>
          </cell>
        </row>
        <row r="186">
          <cell r="D186">
            <v>5.4402999999999997</v>
          </cell>
          <cell r="H186">
            <v>3570</v>
          </cell>
          <cell r="J186">
            <v>25225</v>
          </cell>
          <cell r="L186">
            <v>2045</v>
          </cell>
          <cell r="N186">
            <v>1870</v>
          </cell>
        </row>
        <row r="187">
          <cell r="D187">
            <v>5.4271000000000003</v>
          </cell>
          <cell r="H187">
            <v>3719</v>
          </cell>
          <cell r="J187">
            <v>25500</v>
          </cell>
          <cell r="L187">
            <v>2079.5</v>
          </cell>
          <cell r="N187">
            <v>1885</v>
          </cell>
        </row>
        <row r="188">
          <cell r="D188">
            <v>5.4489999999999998</v>
          </cell>
          <cell r="H188">
            <v>3699</v>
          </cell>
          <cell r="J188">
            <v>24950</v>
          </cell>
          <cell r="L188">
            <v>2038</v>
          </cell>
          <cell r="N188">
            <v>1865</v>
          </cell>
        </row>
        <row r="189">
          <cell r="D189">
            <v>5.4424000000000001</v>
          </cell>
          <cell r="H189">
            <v>3675</v>
          </cell>
          <cell r="J189">
            <v>24100</v>
          </cell>
          <cell r="L189">
            <v>1983</v>
          </cell>
          <cell r="N189">
            <v>1882</v>
          </cell>
        </row>
        <row r="190">
          <cell r="D190">
            <v>5.5137999999999998</v>
          </cell>
          <cell r="H190">
            <v>3538</v>
          </cell>
          <cell r="J190">
            <v>22895</v>
          </cell>
          <cell r="L190">
            <v>1895</v>
          </cell>
          <cell r="N190">
            <v>1861</v>
          </cell>
        </row>
        <row r="191">
          <cell r="D191">
            <v>5.5330000000000004</v>
          </cell>
          <cell r="H191">
            <v>3449.5</v>
          </cell>
          <cell r="J191">
            <v>23150</v>
          </cell>
          <cell r="L191">
            <v>1981</v>
          </cell>
          <cell r="N191">
            <v>1919</v>
          </cell>
        </row>
        <row r="192">
          <cell r="D192">
            <v>5.4958999999999998</v>
          </cell>
          <cell r="H192">
            <v>3449</v>
          </cell>
          <cell r="J192">
            <v>23850</v>
          </cell>
          <cell r="L192">
            <v>1988.5</v>
          </cell>
          <cell r="N192">
            <v>1876</v>
          </cell>
        </row>
        <row r="193">
          <cell r="D193">
            <v>5.4744000000000002</v>
          </cell>
          <cell r="H193">
            <v>3409</v>
          </cell>
          <cell r="J193">
            <v>24700</v>
          </cell>
          <cell r="L193">
            <v>1954.5</v>
          </cell>
          <cell r="N193">
            <v>1990</v>
          </cell>
        </row>
        <row r="194">
          <cell r="D194">
            <v>5.4829999999999997</v>
          </cell>
          <cell r="H194">
            <v>3251</v>
          </cell>
          <cell r="J194">
            <v>23050</v>
          </cell>
          <cell r="L194">
            <v>1906</v>
          </cell>
          <cell r="N194">
            <v>1888</v>
          </cell>
        </row>
        <row r="195">
          <cell r="D195">
            <v>5.5304000000000002</v>
          </cell>
          <cell r="H195">
            <v>3124.5</v>
          </cell>
          <cell r="J195">
            <v>21600</v>
          </cell>
          <cell r="L195">
            <v>1917</v>
          </cell>
          <cell r="N195">
            <v>1914</v>
          </cell>
        </row>
        <row r="196">
          <cell r="D196">
            <v>5.5286</v>
          </cell>
          <cell r="H196">
            <v>3169</v>
          </cell>
          <cell r="J196">
            <v>22675</v>
          </cell>
          <cell r="L196">
            <v>1945</v>
          </cell>
          <cell r="N196">
            <v>1955</v>
          </cell>
        </row>
        <row r="197">
          <cell r="D197">
            <v>5.5262000000000002</v>
          </cell>
          <cell r="H197">
            <v>3039</v>
          </cell>
          <cell r="J197">
            <v>21900</v>
          </cell>
          <cell r="L197">
            <v>1931.5</v>
          </cell>
          <cell r="N197">
            <v>1898</v>
          </cell>
        </row>
        <row r="198">
          <cell r="D198">
            <v>5.5232999999999999</v>
          </cell>
          <cell r="H198">
            <v>3059</v>
          </cell>
          <cell r="J198">
            <v>22200</v>
          </cell>
          <cell r="L198">
            <v>1981</v>
          </cell>
          <cell r="N198">
            <v>1957</v>
          </cell>
        </row>
        <row r="199">
          <cell r="D199">
            <v>5.4470999999999998</v>
          </cell>
          <cell r="H199">
            <v>3160</v>
          </cell>
          <cell r="J199">
            <v>22000</v>
          </cell>
          <cell r="L199">
            <v>2013</v>
          </cell>
          <cell r="N199">
            <v>1970</v>
          </cell>
        </row>
        <row r="200">
          <cell r="D200">
            <v>5.4020000000000001</v>
          </cell>
          <cell r="H200">
            <v>3150</v>
          </cell>
          <cell r="J200">
            <v>21245</v>
          </cell>
          <cell r="L200">
            <v>1946</v>
          </cell>
          <cell r="N200">
            <v>2069</v>
          </cell>
        </row>
        <row r="201">
          <cell r="D201">
            <v>5.3920000000000003</v>
          </cell>
          <cell r="H201">
            <v>3120</v>
          </cell>
          <cell r="J201">
            <v>21490</v>
          </cell>
          <cell r="L201">
            <v>1939</v>
          </cell>
          <cell r="N201">
            <v>2153</v>
          </cell>
        </row>
        <row r="202">
          <cell r="D202">
            <v>5.4477000000000002</v>
          </cell>
          <cell r="H202">
            <v>3135</v>
          </cell>
          <cell r="J202">
            <v>21425</v>
          </cell>
          <cell r="L202">
            <v>1943</v>
          </cell>
          <cell r="N202">
            <v>2123</v>
          </cell>
        </row>
        <row r="203">
          <cell r="D203">
            <v>5.4408000000000003</v>
          </cell>
          <cell r="H203">
            <v>3060</v>
          </cell>
          <cell r="J203">
            <v>21690</v>
          </cell>
          <cell r="L203">
            <v>1979</v>
          </cell>
          <cell r="N203">
            <v>2016</v>
          </cell>
        </row>
        <row r="204">
          <cell r="D204">
            <v>5.4698000000000002</v>
          </cell>
          <cell r="H204">
            <v>2970</v>
          </cell>
          <cell r="J204">
            <v>20330</v>
          </cell>
          <cell r="L204">
            <v>1889</v>
          </cell>
          <cell r="N204">
            <v>1917</v>
          </cell>
        </row>
        <row r="205">
          <cell r="D205">
            <v>5.4493999999999998</v>
          </cell>
          <cell r="H205">
            <v>2920</v>
          </cell>
          <cell r="J205">
            <v>19090</v>
          </cell>
          <cell r="L205">
            <v>1924</v>
          </cell>
          <cell r="N205">
            <v>1864</v>
          </cell>
        </row>
        <row r="206">
          <cell r="D206">
            <v>5.4516999999999998</v>
          </cell>
          <cell r="H206">
            <v>3031</v>
          </cell>
          <cell r="J206">
            <v>20100</v>
          </cell>
          <cell r="L206">
            <v>1992</v>
          </cell>
          <cell r="N206">
            <v>1873</v>
          </cell>
        </row>
        <row r="207">
          <cell r="D207">
            <v>5.5175000000000001</v>
          </cell>
          <cell r="H207">
            <v>3043</v>
          </cell>
          <cell r="J207">
            <v>21300</v>
          </cell>
          <cell r="L207">
            <v>1970</v>
          </cell>
          <cell r="N207">
            <v>1872</v>
          </cell>
        </row>
        <row r="208">
          <cell r="D208">
            <v>5.5438000000000001</v>
          </cell>
          <cell r="H208">
            <v>3088</v>
          </cell>
          <cell r="J208">
            <v>21250</v>
          </cell>
          <cell r="L208">
            <v>2030</v>
          </cell>
          <cell r="N208">
            <v>1874</v>
          </cell>
        </row>
        <row r="209">
          <cell r="D209">
            <v>5.5827999999999998</v>
          </cell>
          <cell r="H209">
            <v>3004</v>
          </cell>
          <cell r="J209">
            <v>21195</v>
          </cell>
          <cell r="L209">
            <v>1995.5</v>
          </cell>
          <cell r="N209">
            <v>1874</v>
          </cell>
        </row>
        <row r="210">
          <cell r="D210">
            <v>5.5736999999999997</v>
          </cell>
          <cell r="H210">
            <v>3044</v>
          </cell>
          <cell r="J210">
            <v>21525</v>
          </cell>
          <cell r="L210">
            <v>2003</v>
          </cell>
          <cell r="N210">
            <v>1945</v>
          </cell>
        </row>
        <row r="211">
          <cell r="D211">
            <v>5.5263999999999998</v>
          </cell>
          <cell r="H211">
            <v>3049.5</v>
          </cell>
          <cell r="J211">
            <v>22545</v>
          </cell>
          <cell r="L211">
            <v>2020</v>
          </cell>
          <cell r="N211">
            <v>2003</v>
          </cell>
        </row>
        <row r="212">
          <cell r="D212">
            <v>5.4218000000000002</v>
          </cell>
          <cell r="H212">
            <v>3139</v>
          </cell>
          <cell r="J212">
            <v>22300</v>
          </cell>
          <cell r="L212">
            <v>2003.5</v>
          </cell>
          <cell r="N212">
            <v>1980</v>
          </cell>
        </row>
        <row r="213">
          <cell r="D213">
            <v>5.3615000000000004</v>
          </cell>
          <cell r="H213">
            <v>3115</v>
          </cell>
          <cell r="J213">
            <v>21275</v>
          </cell>
          <cell r="L213">
            <v>2015.5</v>
          </cell>
          <cell r="N213">
            <v>2016</v>
          </cell>
        </row>
        <row r="214">
          <cell r="D214">
            <v>5.2988</v>
          </cell>
          <cell r="H214">
            <v>3245</v>
          </cell>
          <cell r="J214">
            <v>21450</v>
          </cell>
          <cell r="L214">
            <v>2012</v>
          </cell>
          <cell r="N214">
            <v>2069</v>
          </cell>
        </row>
        <row r="215">
          <cell r="D215">
            <v>5.2910000000000004</v>
          </cell>
          <cell r="H215">
            <v>3350</v>
          </cell>
          <cell r="J215">
            <v>22045</v>
          </cell>
          <cell r="L215">
            <v>2022</v>
          </cell>
          <cell r="N215">
            <v>2093</v>
          </cell>
        </row>
        <row r="216">
          <cell r="D216">
            <v>5.2977999999999996</v>
          </cell>
          <cell r="H216">
            <v>3328</v>
          </cell>
          <cell r="J216">
            <v>24000</v>
          </cell>
          <cell r="L216">
            <v>2055</v>
          </cell>
          <cell r="N216">
            <v>2182</v>
          </cell>
        </row>
        <row r="217">
          <cell r="D217">
            <v>5.3338000000000001</v>
          </cell>
          <cell r="H217">
            <v>3443</v>
          </cell>
          <cell r="J217">
            <v>22775</v>
          </cell>
          <cell r="L217">
            <v>2040</v>
          </cell>
          <cell r="N217">
            <v>2194</v>
          </cell>
        </row>
        <row r="218">
          <cell r="D218">
            <v>5.3596000000000004</v>
          </cell>
          <cell r="H218">
            <v>3353</v>
          </cell>
          <cell r="J218">
            <v>21975</v>
          </cell>
          <cell r="L218">
            <v>2019</v>
          </cell>
          <cell r="N218">
            <v>2020</v>
          </cell>
        </row>
        <row r="219">
          <cell r="D219">
            <v>5.3555999999999999</v>
          </cell>
          <cell r="H219">
            <v>3430</v>
          </cell>
          <cell r="J219">
            <v>22030</v>
          </cell>
          <cell r="L219">
            <v>2018.5</v>
          </cell>
          <cell r="N219">
            <v>2078</v>
          </cell>
        </row>
        <row r="220">
          <cell r="D220">
            <v>5.3029999999999999</v>
          </cell>
          <cell r="H220">
            <v>3548</v>
          </cell>
          <cell r="J220">
            <v>22165</v>
          </cell>
          <cell r="L220">
            <v>2090</v>
          </cell>
          <cell r="N220">
            <v>2096</v>
          </cell>
        </row>
        <row r="221">
          <cell r="D221">
            <v>5.2297000000000002</v>
          </cell>
          <cell r="H221">
            <v>3505</v>
          </cell>
          <cell r="J221">
            <v>21700</v>
          </cell>
          <cell r="L221">
            <v>2140</v>
          </cell>
          <cell r="N221">
            <v>2221</v>
          </cell>
        </row>
        <row r="222">
          <cell r="D222">
            <v>5.2365000000000004</v>
          </cell>
          <cell r="H222">
            <v>3575</v>
          </cell>
          <cell r="J222">
            <v>21350</v>
          </cell>
          <cell r="L222">
            <v>2182</v>
          </cell>
          <cell r="N222">
            <v>2236</v>
          </cell>
        </row>
        <row r="223">
          <cell r="D223">
            <v>5.2167000000000003</v>
          </cell>
          <cell r="H223">
            <v>3631</v>
          </cell>
          <cell r="J223">
            <v>21325</v>
          </cell>
          <cell r="L223">
            <v>2173</v>
          </cell>
          <cell r="N223">
            <v>2230</v>
          </cell>
        </row>
        <row r="224">
          <cell r="D224">
            <v>5.2839</v>
          </cell>
          <cell r="H224">
            <v>3725</v>
          </cell>
          <cell r="J224">
            <v>23105</v>
          </cell>
          <cell r="L224">
            <v>2185</v>
          </cell>
          <cell r="N224">
            <v>2278</v>
          </cell>
        </row>
        <row r="225">
          <cell r="D225">
            <v>5.2317999999999998</v>
          </cell>
          <cell r="H225">
            <v>3670</v>
          </cell>
          <cell r="J225">
            <v>23200</v>
          </cell>
          <cell r="L225">
            <v>2174</v>
          </cell>
          <cell r="N225">
            <v>2260</v>
          </cell>
        </row>
        <row r="226">
          <cell r="D226">
            <v>5.1856</v>
          </cell>
          <cell r="H226">
            <v>3620</v>
          </cell>
          <cell r="J226">
            <v>23200</v>
          </cell>
          <cell r="L226">
            <v>2173</v>
          </cell>
          <cell r="N226">
            <v>2157</v>
          </cell>
        </row>
        <row r="227">
          <cell r="D227">
            <v>5.2222</v>
          </cell>
          <cell r="H227">
            <v>3876</v>
          </cell>
          <cell r="J227">
            <v>22475</v>
          </cell>
          <cell r="L227">
            <v>2191</v>
          </cell>
          <cell r="N227">
            <v>2122</v>
          </cell>
        </row>
        <row r="228">
          <cell r="D228">
            <v>5.2613000000000003</v>
          </cell>
          <cell r="H228">
            <v>3635</v>
          </cell>
          <cell r="J228">
            <v>22030</v>
          </cell>
          <cell r="L228">
            <v>2140.5</v>
          </cell>
          <cell r="N228">
            <v>2139</v>
          </cell>
        </row>
        <row r="229">
          <cell r="D229">
            <v>5.2342000000000004</v>
          </cell>
          <cell r="H229">
            <v>3572</v>
          </cell>
          <cell r="J229">
            <v>21825</v>
          </cell>
          <cell r="L229">
            <v>2125</v>
          </cell>
          <cell r="N229">
            <v>2170</v>
          </cell>
        </row>
        <row r="230">
          <cell r="D230">
            <v>5.2146999999999997</v>
          </cell>
          <cell r="H230">
            <v>3530</v>
          </cell>
          <cell r="J230">
            <v>21525</v>
          </cell>
          <cell r="L230">
            <v>2068</v>
          </cell>
          <cell r="N230">
            <v>2126</v>
          </cell>
        </row>
        <row r="231">
          <cell r="D231">
            <v>5.1361999999999997</v>
          </cell>
          <cell r="H231">
            <v>3549</v>
          </cell>
          <cell r="J231">
            <v>21805</v>
          </cell>
          <cell r="L231">
            <v>2031</v>
          </cell>
          <cell r="N231">
            <v>2011</v>
          </cell>
        </row>
        <row r="232">
          <cell r="D232">
            <v>5.0880999999999998</v>
          </cell>
          <cell r="H232">
            <v>3519</v>
          </cell>
          <cell r="J232">
            <v>21770</v>
          </cell>
          <cell r="L232">
            <v>2004</v>
          </cell>
          <cell r="N232">
            <v>1996</v>
          </cell>
        </row>
        <row r="233">
          <cell r="D233">
            <v>5.0876000000000001</v>
          </cell>
          <cell r="H233">
            <v>3560</v>
          </cell>
          <cell r="J233">
            <v>21300</v>
          </cell>
          <cell r="L233">
            <v>1957</v>
          </cell>
          <cell r="N233">
            <v>2013</v>
          </cell>
        </row>
        <row r="234">
          <cell r="D234">
            <v>5.0941999999999998</v>
          </cell>
          <cell r="H234">
            <v>3620</v>
          </cell>
          <cell r="J234">
            <v>21225</v>
          </cell>
          <cell r="L234">
            <v>1996</v>
          </cell>
          <cell r="N234">
            <v>2093</v>
          </cell>
        </row>
        <row r="235">
          <cell r="D235">
            <v>5.0876999999999999</v>
          </cell>
          <cell r="H235">
            <v>3676</v>
          </cell>
          <cell r="J235">
            <v>21500</v>
          </cell>
          <cell r="L235">
            <v>1996.5</v>
          </cell>
          <cell r="N235">
            <v>2153</v>
          </cell>
        </row>
        <row r="236">
          <cell r="D236">
            <v>5.0412999999999997</v>
          </cell>
          <cell r="H236" t="str">
            <v>FERIADO</v>
          </cell>
          <cell r="J236" t="str">
            <v>FERIADO</v>
          </cell>
          <cell r="L236" t="str">
            <v>FERIADO</v>
          </cell>
          <cell r="N236" t="str">
            <v>FERIADO</v>
          </cell>
        </row>
        <row r="237">
          <cell r="D237">
            <v>5.0692000000000004</v>
          </cell>
          <cell r="H237">
            <v>3590</v>
          </cell>
          <cell r="J237">
            <v>21365</v>
          </cell>
          <cell r="L237">
            <v>1978</v>
          </cell>
          <cell r="N237">
            <v>2109</v>
          </cell>
        </row>
        <row r="238">
          <cell r="D238">
            <v>5.21</v>
          </cell>
          <cell r="H238">
            <v>3538</v>
          </cell>
          <cell r="J238">
            <v>21250</v>
          </cell>
          <cell r="L238">
            <v>1948</v>
          </cell>
          <cell r="N238">
            <v>2080</v>
          </cell>
        </row>
        <row r="239">
          <cell r="D239">
            <v>5.1725000000000003</v>
          </cell>
          <cell r="H239">
            <v>3299.5</v>
          </cell>
          <cell r="J239">
            <v>20520</v>
          </cell>
          <cell r="L239">
            <v>1913</v>
          </cell>
          <cell r="N239">
            <v>2033</v>
          </cell>
        </row>
        <row r="240">
          <cell r="D240">
            <v>5.2016999999999998</v>
          </cell>
          <cell r="H240">
            <v>3143.5</v>
          </cell>
          <cell r="J240">
            <v>20175</v>
          </cell>
          <cell r="L240">
            <v>1888</v>
          </cell>
          <cell r="N240">
            <v>2018</v>
          </cell>
        </row>
        <row r="241">
          <cell r="D241">
            <v>5.1313000000000004</v>
          </cell>
          <cell r="H241">
            <v>3264</v>
          </cell>
          <cell r="J241">
            <v>20960</v>
          </cell>
          <cell r="L241">
            <v>1881</v>
          </cell>
          <cell r="N241">
            <v>2018</v>
          </cell>
        </row>
        <row r="242">
          <cell r="D242">
            <v>5.1757</v>
          </cell>
          <cell r="H242">
            <v>3215</v>
          </cell>
          <cell r="J242">
            <v>21350</v>
          </cell>
          <cell r="L242">
            <v>1893</v>
          </cell>
          <cell r="N242">
            <v>2033</v>
          </cell>
        </row>
        <row r="243">
          <cell r="D243" t="str">
            <v>FERIADO</v>
          </cell>
          <cell r="H243">
            <v>3169</v>
          </cell>
          <cell r="J243">
            <v>21445</v>
          </cell>
          <cell r="L243">
            <v>1893</v>
          </cell>
          <cell r="N243">
            <v>2009</v>
          </cell>
        </row>
        <row r="244">
          <cell r="D244">
            <v>5.1898999999999997</v>
          </cell>
          <cell r="H244">
            <v>3190</v>
          </cell>
          <cell r="J244">
            <v>21375</v>
          </cell>
          <cell r="L244">
            <v>1887</v>
          </cell>
          <cell r="N244">
            <v>2088</v>
          </cell>
        </row>
        <row r="245">
          <cell r="D245">
            <v>5.1844000000000001</v>
          </cell>
          <cell r="H245">
            <v>3222</v>
          </cell>
          <cell r="J245">
            <v>22175</v>
          </cell>
          <cell r="L245">
            <v>1916</v>
          </cell>
          <cell r="N245">
            <v>2161</v>
          </cell>
        </row>
        <row r="246">
          <cell r="D246">
            <v>5.1817000000000002</v>
          </cell>
          <cell r="H246">
            <v>3246</v>
          </cell>
          <cell r="J246">
            <v>23315</v>
          </cell>
          <cell r="L246">
            <v>1928</v>
          </cell>
          <cell r="N246">
            <v>2255</v>
          </cell>
        </row>
        <row r="247">
          <cell r="D247">
            <v>5.1761999999999997</v>
          </cell>
          <cell r="H247">
            <v>3319</v>
          </cell>
          <cell r="J247">
            <v>24650</v>
          </cell>
          <cell r="L247">
            <v>1954</v>
          </cell>
          <cell r="N247">
            <v>2150</v>
          </cell>
        </row>
        <row r="248">
          <cell r="D248">
            <v>5.1731999999999996</v>
          </cell>
          <cell r="H248">
            <v>3213</v>
          </cell>
          <cell r="J248">
            <v>23750</v>
          </cell>
          <cell r="L248">
            <v>1929</v>
          </cell>
          <cell r="N248">
            <v>2124</v>
          </cell>
        </row>
        <row r="249">
          <cell r="D249">
            <v>5.2148000000000003</v>
          </cell>
          <cell r="H249">
            <v>3224</v>
          </cell>
          <cell r="J249">
            <v>23305</v>
          </cell>
          <cell r="L249">
            <v>1935</v>
          </cell>
          <cell r="N249">
            <v>2177</v>
          </cell>
        </row>
        <row r="250">
          <cell r="D250">
            <v>5.2929000000000004</v>
          </cell>
          <cell r="H250">
            <v>3122</v>
          </cell>
          <cell r="J250">
            <v>23475</v>
          </cell>
          <cell r="L250">
            <v>1880</v>
          </cell>
          <cell r="N250">
            <v>2089</v>
          </cell>
        </row>
        <row r="251">
          <cell r="D251">
            <v>5.2366000000000001</v>
          </cell>
          <cell r="H251">
            <v>3144.5</v>
          </cell>
          <cell r="J251">
            <v>24600</v>
          </cell>
          <cell r="L251">
            <v>1880</v>
          </cell>
          <cell r="N251">
            <v>2089</v>
          </cell>
        </row>
        <row r="252">
          <cell r="D252">
            <v>5.1662999999999997</v>
          </cell>
          <cell r="H252">
            <v>3200.5</v>
          </cell>
          <cell r="J252">
            <v>24730</v>
          </cell>
          <cell r="L252">
            <v>1872</v>
          </cell>
          <cell r="N252">
            <v>2155</v>
          </cell>
        </row>
        <row r="253">
          <cell r="D253">
            <v>5.1055000000000001</v>
          </cell>
          <cell r="H253">
            <v>3130</v>
          </cell>
          <cell r="J253">
            <v>24850</v>
          </cell>
          <cell r="L253">
            <v>1846</v>
          </cell>
          <cell r="N253">
            <v>2171</v>
          </cell>
        </row>
        <row r="254">
          <cell r="D254">
            <v>5.0834000000000001</v>
          </cell>
          <cell r="H254">
            <v>3131</v>
          </cell>
          <cell r="J254">
            <v>24520</v>
          </cell>
          <cell r="L254">
            <v>1875</v>
          </cell>
          <cell r="N254">
            <v>2169</v>
          </cell>
        </row>
        <row r="255">
          <cell r="D255">
            <v>5.0772000000000004</v>
          </cell>
          <cell r="H255">
            <v>3033</v>
          </cell>
          <cell r="J255">
            <v>23130</v>
          </cell>
          <cell r="L255">
            <v>1800</v>
          </cell>
          <cell r="N255">
            <v>2098</v>
          </cell>
        </row>
        <row r="256">
          <cell r="D256">
            <v>5.1506999999999996</v>
          </cell>
          <cell r="H256">
            <v>2943</v>
          </cell>
          <cell r="J256">
            <v>22100</v>
          </cell>
          <cell r="L256">
            <v>1775</v>
          </cell>
          <cell r="N256">
            <v>2067</v>
          </cell>
        </row>
        <row r="257">
          <cell r="D257">
            <v>5.1436999999999999</v>
          </cell>
          <cell r="H257">
            <v>2936</v>
          </cell>
          <cell r="J257">
            <v>21875</v>
          </cell>
          <cell r="L257">
            <v>1753</v>
          </cell>
          <cell r="N257">
            <v>2090</v>
          </cell>
        </row>
        <row r="258">
          <cell r="D258">
            <v>5.1862000000000004</v>
          </cell>
          <cell r="H258">
            <v>2828</v>
          </cell>
          <cell r="J258">
            <v>21200</v>
          </cell>
          <cell r="L258">
            <v>1763</v>
          </cell>
          <cell r="N258">
            <v>2093</v>
          </cell>
        </row>
        <row r="259">
          <cell r="D259">
            <v>5.2675000000000001</v>
          </cell>
          <cell r="H259">
            <v>3013</v>
          </cell>
          <cell r="J259">
            <v>22850</v>
          </cell>
          <cell r="L259">
            <v>1855</v>
          </cell>
          <cell r="N259">
            <v>2206</v>
          </cell>
        </row>
        <row r="260">
          <cell r="D260">
            <v>5.2887000000000004</v>
          </cell>
          <cell r="H260">
            <v>2984</v>
          </cell>
          <cell r="J260">
            <v>22245</v>
          </cell>
          <cell r="L260">
            <v>1887</v>
          </cell>
          <cell r="N260">
            <v>2214</v>
          </cell>
        </row>
        <row r="261">
          <cell r="D261">
            <v>5.0987</v>
          </cell>
          <cell r="H261">
            <v>2954</v>
          </cell>
          <cell r="J261">
            <v>21550</v>
          </cell>
          <cell r="L261">
            <v>1865</v>
          </cell>
          <cell r="N261">
            <v>2202</v>
          </cell>
        </row>
        <row r="262">
          <cell r="D262">
            <v>5.1276000000000002</v>
          </cell>
          <cell r="H262">
            <v>2988</v>
          </cell>
          <cell r="J262">
            <v>21250</v>
          </cell>
          <cell r="L262">
            <v>1876</v>
          </cell>
          <cell r="N262">
            <v>2315</v>
          </cell>
        </row>
        <row r="263">
          <cell r="D263">
            <v>5.1429</v>
          </cell>
          <cell r="H263">
            <v>3026</v>
          </cell>
          <cell r="J263">
            <v>22225</v>
          </cell>
          <cell r="L263">
            <v>1965</v>
          </cell>
          <cell r="N263">
            <v>2278</v>
          </cell>
        </row>
        <row r="264">
          <cell r="D264">
            <v>5.0978000000000003</v>
          </cell>
          <cell r="H264">
            <v>3094</v>
          </cell>
          <cell r="J264">
            <v>22340</v>
          </cell>
          <cell r="L264">
            <v>2047</v>
          </cell>
          <cell r="N264">
            <v>2302</v>
          </cell>
        </row>
        <row r="265">
          <cell r="D265">
            <v>5.1077000000000004</v>
          </cell>
          <cell r="H265">
            <v>3060.5</v>
          </cell>
          <cell r="J265">
            <v>22355</v>
          </cell>
          <cell r="L265">
            <v>2076</v>
          </cell>
          <cell r="N265">
            <v>2256</v>
          </cell>
        </row>
        <row r="266">
          <cell r="D266">
            <v>5.0381999999999998</v>
          </cell>
          <cell r="H266">
            <v>3009</v>
          </cell>
          <cell r="J266">
            <v>22060</v>
          </cell>
          <cell r="L266">
            <v>2095</v>
          </cell>
          <cell r="N266">
            <v>2253</v>
          </cell>
        </row>
        <row r="267">
          <cell r="D267">
            <v>5.0774999999999997</v>
          </cell>
          <cell r="H267">
            <v>2965</v>
          </cell>
          <cell r="J267">
            <v>22350</v>
          </cell>
          <cell r="L267">
            <v>2029</v>
          </cell>
          <cell r="N267">
            <v>2187</v>
          </cell>
        </row>
        <row r="268">
          <cell r="D268" t="str">
            <v>FERIADO</v>
          </cell>
          <cell r="H268">
            <v>2970</v>
          </cell>
          <cell r="J268">
            <v>21700</v>
          </cell>
          <cell r="L268">
            <v>2078</v>
          </cell>
          <cell r="N268">
            <v>2125</v>
          </cell>
        </row>
        <row r="269">
          <cell r="D269">
            <v>5.1833999999999998</v>
          </cell>
          <cell r="H269">
            <v>2955</v>
          </cell>
          <cell r="J269">
            <v>21910</v>
          </cell>
          <cell r="L269">
            <v>2078.5</v>
          </cell>
          <cell r="N269">
            <v>2060</v>
          </cell>
        </row>
        <row r="270">
          <cell r="D270">
            <v>5.1424000000000003</v>
          </cell>
          <cell r="H270">
            <v>2960</v>
          </cell>
          <cell r="J270">
            <v>21905</v>
          </cell>
          <cell r="L270">
            <v>2058</v>
          </cell>
          <cell r="N270">
            <v>2086</v>
          </cell>
        </row>
        <row r="271">
          <cell r="D271">
            <v>5.1874000000000002</v>
          </cell>
          <cell r="H271">
            <v>2903</v>
          </cell>
          <cell r="J271">
            <v>21455</v>
          </cell>
          <cell r="L271">
            <v>2075</v>
          </cell>
          <cell r="N271">
            <v>2031</v>
          </cell>
        </row>
        <row r="272">
          <cell r="D272">
            <v>5.1858000000000004</v>
          </cell>
          <cell r="H272">
            <v>2866</v>
          </cell>
          <cell r="J272">
            <v>21490</v>
          </cell>
          <cell r="L272">
            <v>2043</v>
          </cell>
          <cell r="N272">
            <v>2026</v>
          </cell>
        </row>
        <row r="273">
          <cell r="D273">
            <v>5.1624999999999996</v>
          </cell>
          <cell r="H273">
            <v>2888</v>
          </cell>
          <cell r="J273">
            <v>21610</v>
          </cell>
          <cell r="L273">
            <v>2005</v>
          </cell>
          <cell r="N273">
            <v>1970</v>
          </cell>
        </row>
        <row r="274">
          <cell r="D274">
            <v>5.1235999999999997</v>
          </cell>
          <cell r="H274">
            <v>2943</v>
          </cell>
          <cell r="J274">
            <v>21800</v>
          </cell>
          <cell r="L274">
            <v>1987</v>
          </cell>
          <cell r="N274">
            <v>2019</v>
          </cell>
        </row>
        <row r="275">
          <cell r="D275">
            <v>5.1159999999999997</v>
          </cell>
          <cell r="H275">
            <v>2990</v>
          </cell>
          <cell r="J275">
            <v>21545</v>
          </cell>
          <cell r="L275">
            <v>1928</v>
          </cell>
          <cell r="N275">
            <v>1998</v>
          </cell>
        </row>
        <row r="276">
          <cell r="D276">
            <v>5.2058</v>
          </cell>
          <cell r="H276">
            <v>3010</v>
          </cell>
          <cell r="J276">
            <v>22130</v>
          </cell>
          <cell r="L276">
            <v>1935</v>
          </cell>
          <cell r="N276">
            <v>2002</v>
          </cell>
        </row>
        <row r="277">
          <cell r="D277">
            <v>5.2850999999999999</v>
          </cell>
          <cell r="H277">
            <v>2918</v>
          </cell>
          <cell r="J277">
            <v>22070</v>
          </cell>
          <cell r="L277">
            <v>1891</v>
          </cell>
          <cell r="N277">
            <v>1890</v>
          </cell>
        </row>
        <row r="278">
          <cell r="D278">
            <v>5.3604000000000003</v>
          </cell>
          <cell r="H278">
            <v>2976</v>
          </cell>
          <cell r="J278">
            <v>22250</v>
          </cell>
          <cell r="L278">
            <v>1898</v>
          </cell>
          <cell r="N278">
            <v>1965</v>
          </cell>
        </row>
        <row r="279">
          <cell r="D279">
            <v>5.2907000000000002</v>
          </cell>
          <cell r="H279">
            <v>2983</v>
          </cell>
          <cell r="J279">
            <v>22225</v>
          </cell>
          <cell r="L279">
            <v>1883</v>
          </cell>
          <cell r="N279">
            <v>1944</v>
          </cell>
        </row>
        <row r="280">
          <cell r="D280">
            <v>5.3086000000000002</v>
          </cell>
          <cell r="H280">
            <v>2912</v>
          </cell>
          <cell r="J280">
            <v>22250</v>
          </cell>
          <cell r="L280">
            <v>1940</v>
          </cell>
          <cell r="N280">
            <v>1908</v>
          </cell>
        </row>
        <row r="281">
          <cell r="D281">
            <v>5.1948999999999996</v>
          </cell>
          <cell r="H281">
            <v>2754.5</v>
          </cell>
          <cell r="J281">
            <v>21710</v>
          </cell>
          <cell r="L281">
            <v>1965</v>
          </cell>
          <cell r="N281">
            <v>1839</v>
          </cell>
        </row>
        <row r="282">
          <cell r="D282">
            <v>5.0824999999999996</v>
          </cell>
          <cell r="H282">
            <v>2785</v>
          </cell>
          <cell r="J282">
            <v>22700</v>
          </cell>
          <cell r="L282">
            <v>2008</v>
          </cell>
          <cell r="N282">
            <v>1919</v>
          </cell>
        </row>
        <row r="283">
          <cell r="D283" t="str">
            <v>FERIADO</v>
          </cell>
          <cell r="H283">
            <v>2763</v>
          </cell>
          <cell r="J283">
            <v>23355</v>
          </cell>
          <cell r="L283">
            <v>1977</v>
          </cell>
          <cell r="N283">
            <v>1857</v>
          </cell>
        </row>
        <row r="284">
          <cell r="D284">
            <v>5.0095000000000001</v>
          </cell>
          <cell r="H284">
            <v>2680</v>
          </cell>
          <cell r="J284">
            <v>23055</v>
          </cell>
          <cell r="L284">
            <v>1985</v>
          </cell>
          <cell r="N284">
            <v>1786</v>
          </cell>
        </row>
        <row r="285">
          <cell r="D285">
            <v>4.9814999999999996</v>
          </cell>
          <cell r="H285">
            <v>2848</v>
          </cell>
          <cell r="J285">
            <v>23725</v>
          </cell>
          <cell r="L285">
            <v>2020</v>
          </cell>
          <cell r="N285">
            <v>1889</v>
          </cell>
        </row>
        <row r="286">
          <cell r="D286">
            <v>5.0875000000000004</v>
          </cell>
          <cell r="H286">
            <v>2883</v>
          </cell>
          <cell r="J286">
            <v>22900</v>
          </cell>
          <cell r="L286">
            <v>2013</v>
          </cell>
          <cell r="N286">
            <v>1859</v>
          </cell>
        </row>
        <row r="287">
          <cell r="D287">
            <v>5.2073999999999998</v>
          </cell>
          <cell r="H287">
            <v>2901</v>
          </cell>
          <cell r="J287">
            <v>23405</v>
          </cell>
          <cell r="L287">
            <v>2029</v>
          </cell>
          <cell r="N287">
            <v>1870</v>
          </cell>
        </row>
        <row r="288">
          <cell r="D288">
            <v>5.1757</v>
          </cell>
          <cell r="H288">
            <v>2889.5</v>
          </cell>
          <cell r="J288">
            <v>24090</v>
          </cell>
          <cell r="L288">
            <v>2058</v>
          </cell>
          <cell r="N288">
            <v>1888</v>
          </cell>
        </row>
        <row r="289">
          <cell r="D289">
            <v>5.4008000000000003</v>
          </cell>
          <cell r="H289">
            <v>2830</v>
          </cell>
          <cell r="J289">
            <v>24410</v>
          </cell>
          <cell r="L289">
            <v>2064</v>
          </cell>
          <cell r="N289">
            <v>1893</v>
          </cell>
        </row>
        <row r="290">
          <cell r="D290">
            <v>5.4774000000000003</v>
          </cell>
          <cell r="H290">
            <v>3005.5</v>
          </cell>
          <cell r="J290">
            <v>26000</v>
          </cell>
          <cell r="L290">
            <v>2155.5</v>
          </cell>
          <cell r="N290">
            <v>2032</v>
          </cell>
        </row>
        <row r="291">
          <cell r="D291">
            <v>5.4745999999999997</v>
          </cell>
          <cell r="H291">
            <v>3075</v>
          </cell>
          <cell r="J291">
            <v>27000</v>
          </cell>
          <cell r="L291">
            <v>2173</v>
          </cell>
          <cell r="N291">
            <v>2004</v>
          </cell>
        </row>
        <row r="292">
          <cell r="D292" t="str">
            <v>FERIADO</v>
          </cell>
          <cell r="H292">
            <v>3143</v>
          </cell>
          <cell r="J292">
            <v>29595</v>
          </cell>
          <cell r="L292">
            <v>2212</v>
          </cell>
          <cell r="N292">
            <v>2084</v>
          </cell>
        </row>
        <row r="293">
          <cell r="D293">
            <v>5.5336999999999996</v>
          </cell>
          <cell r="H293">
            <v>3086</v>
          </cell>
          <cell r="J293">
            <v>28550</v>
          </cell>
          <cell r="L293">
            <v>2207</v>
          </cell>
          <cell r="N293">
            <v>2070</v>
          </cell>
        </row>
        <row r="294">
          <cell r="D294">
            <v>5.6447000000000003</v>
          </cell>
          <cell r="H294">
            <v>2998</v>
          </cell>
          <cell r="J294">
            <v>26050</v>
          </cell>
          <cell r="L294">
            <v>2145</v>
          </cell>
          <cell r="N294">
            <v>1983</v>
          </cell>
        </row>
        <row r="295">
          <cell r="D295">
            <v>5.5400999999999998</v>
          </cell>
          <cell r="H295">
            <v>3007</v>
          </cell>
          <cell r="J295">
            <v>24800</v>
          </cell>
          <cell r="L295">
            <v>2174</v>
          </cell>
          <cell r="N295">
            <v>1967</v>
          </cell>
        </row>
        <row r="296">
          <cell r="D296">
            <v>5.452</v>
          </cell>
          <cell r="H296">
            <v>2930</v>
          </cell>
          <cell r="J296">
            <v>24400</v>
          </cell>
          <cell r="L296">
            <v>2111</v>
          </cell>
          <cell r="N296">
            <v>1888</v>
          </cell>
        </row>
        <row r="297">
          <cell r="D297">
            <v>5.4842000000000004</v>
          </cell>
          <cell r="H297">
            <v>2930</v>
          </cell>
          <cell r="J297">
            <v>24400</v>
          </cell>
          <cell r="L297">
            <v>2111</v>
          </cell>
          <cell r="N297">
            <v>1879</v>
          </cell>
        </row>
        <row r="298">
          <cell r="D298">
            <v>5.5945999999999998</v>
          </cell>
          <cell r="H298">
            <v>2903.5</v>
          </cell>
          <cell r="J298">
            <v>25695</v>
          </cell>
          <cell r="L298">
            <v>2094.5</v>
          </cell>
          <cell r="N298">
            <v>1880</v>
          </cell>
        </row>
        <row r="299">
          <cell r="D299">
            <v>5.5669000000000004</v>
          </cell>
          <cell r="H299">
            <v>2923</v>
          </cell>
          <cell r="J299">
            <v>25550</v>
          </cell>
          <cell r="L299">
            <v>2133</v>
          </cell>
          <cell r="N299">
            <v>1812</v>
          </cell>
        </row>
        <row r="300">
          <cell r="D300">
            <v>5.5926999999999998</v>
          </cell>
          <cell r="H300">
            <v>2911</v>
          </cell>
          <cell r="J300">
            <v>25200</v>
          </cell>
          <cell r="L300">
            <v>2105</v>
          </cell>
          <cell r="N300">
            <v>1855</v>
          </cell>
        </row>
        <row r="301">
          <cell r="D301">
            <v>5.4954000000000001</v>
          </cell>
          <cell r="H301">
            <v>2955</v>
          </cell>
          <cell r="J301">
            <v>26250</v>
          </cell>
          <cell r="L301">
            <v>2121</v>
          </cell>
          <cell r="N301">
            <v>1831</v>
          </cell>
        </row>
        <row r="302">
          <cell r="D302">
            <v>5.4507000000000003</v>
          </cell>
          <cell r="H302" t="str">
            <v>FERIADO</v>
          </cell>
          <cell r="J302" t="str">
            <v>FERIADO</v>
          </cell>
          <cell r="L302" t="str">
            <v>FERIADO</v>
          </cell>
          <cell r="N302" t="str">
            <v>FERIADO</v>
          </cell>
        </row>
        <row r="303">
          <cell r="D303">
            <v>5.4420999999999999</v>
          </cell>
          <cell r="H303">
            <v>3065.5</v>
          </cell>
          <cell r="J303">
            <v>27125</v>
          </cell>
          <cell r="L303">
            <v>2170</v>
          </cell>
          <cell r="N303">
            <v>1874</v>
          </cell>
        </row>
        <row r="304">
          <cell r="D304">
            <v>5.5201000000000002</v>
          </cell>
          <cell r="H304">
            <v>3120</v>
          </cell>
          <cell r="J304">
            <v>28355</v>
          </cell>
          <cell r="L304">
            <v>2193.5</v>
          </cell>
          <cell r="N304">
            <v>1905</v>
          </cell>
        </row>
        <row r="305">
          <cell r="D305">
            <v>5.5004</v>
          </cell>
          <cell r="H305">
            <v>3185</v>
          </cell>
          <cell r="J305">
            <v>28200</v>
          </cell>
          <cell r="L305">
            <v>2209</v>
          </cell>
          <cell r="N305">
            <v>1872</v>
          </cell>
        </row>
        <row r="306">
          <cell r="D306">
            <v>5.4823000000000004</v>
          </cell>
          <cell r="H306">
            <v>3138</v>
          </cell>
          <cell r="J306">
            <v>28700</v>
          </cell>
          <cell r="L306">
            <v>2205</v>
          </cell>
          <cell r="N306">
            <v>1842</v>
          </cell>
        </row>
        <row r="307">
          <cell r="D307">
            <v>5.4912999999999998</v>
          </cell>
          <cell r="H307">
            <v>3240</v>
          </cell>
          <cell r="J307">
            <v>31050</v>
          </cell>
          <cell r="L307">
            <v>2197</v>
          </cell>
          <cell r="N307">
            <v>1859</v>
          </cell>
        </row>
        <row r="308">
          <cell r="D308">
            <v>5.5209000000000001</v>
          </cell>
          <cell r="H308">
            <v>3245</v>
          </cell>
          <cell r="J308">
            <v>29825</v>
          </cell>
          <cell r="L308">
            <v>2206</v>
          </cell>
          <cell r="N308">
            <v>1923</v>
          </cell>
        </row>
        <row r="309">
          <cell r="D309">
            <v>5.5834999999999999</v>
          </cell>
          <cell r="H309">
            <v>3282</v>
          </cell>
          <cell r="J309">
            <v>29300</v>
          </cell>
          <cell r="L309">
            <v>2189</v>
          </cell>
          <cell r="N309">
            <v>1895</v>
          </cell>
        </row>
        <row r="310">
          <cell r="D310">
            <v>5.6012000000000004</v>
          </cell>
          <cell r="H310">
            <v>3288</v>
          </cell>
          <cell r="J310">
            <v>28760</v>
          </cell>
          <cell r="L310">
            <v>2200</v>
          </cell>
          <cell r="N310">
            <v>1952</v>
          </cell>
        </row>
        <row r="311">
          <cell r="D311">
            <v>5.6844000000000001</v>
          </cell>
          <cell r="H311">
            <v>3275</v>
          </cell>
          <cell r="J311">
            <v>27825</v>
          </cell>
          <cell r="L311">
            <v>2145</v>
          </cell>
          <cell r="N311">
            <v>1919</v>
          </cell>
        </row>
        <row r="312">
          <cell r="D312">
            <v>5.6623000000000001</v>
          </cell>
          <cell r="H312">
            <v>3275</v>
          </cell>
          <cell r="J312">
            <v>27825</v>
          </cell>
          <cell r="L312">
            <v>2145</v>
          </cell>
          <cell r="N312">
            <v>1895</v>
          </cell>
        </row>
        <row r="313">
          <cell r="D313">
            <v>5.6226000000000003</v>
          </cell>
          <cell r="H313">
            <v>3058</v>
          </cell>
          <cell r="J313">
            <v>27475</v>
          </cell>
          <cell r="L313">
            <v>2178</v>
          </cell>
          <cell r="N313">
            <v>1726</v>
          </cell>
        </row>
        <row r="314">
          <cell r="D314">
            <v>5.5765000000000002</v>
          </cell>
          <cell r="H314">
            <v>3074.5</v>
          </cell>
          <cell r="J314">
            <v>28375</v>
          </cell>
          <cell r="L314">
            <v>2173</v>
          </cell>
          <cell r="N314">
            <v>1675</v>
          </cell>
        </row>
        <row r="315">
          <cell r="D315">
            <v>5.5218999999999996</v>
          </cell>
          <cell r="H315">
            <v>3065</v>
          </cell>
          <cell r="J315">
            <v>28150</v>
          </cell>
          <cell r="L315">
            <v>2215</v>
          </cell>
          <cell r="N315">
            <v>1700</v>
          </cell>
        </row>
        <row r="316">
          <cell r="D316">
            <v>5.4977</v>
          </cell>
          <cell r="H316">
            <v>3006</v>
          </cell>
          <cell r="J316">
            <v>28600</v>
          </cell>
          <cell r="L316">
            <v>2275</v>
          </cell>
          <cell r="N316">
            <v>1692</v>
          </cell>
        </row>
        <row r="317">
          <cell r="D317">
            <v>5.4581999999999997</v>
          </cell>
          <cell r="H317">
            <v>3006</v>
          </cell>
          <cell r="J317">
            <v>28600</v>
          </cell>
          <cell r="L317">
            <v>2275</v>
          </cell>
          <cell r="N317">
            <v>1692</v>
          </cell>
        </row>
        <row r="318">
          <cell r="D318">
            <v>5.5118</v>
          </cell>
          <cell r="H318" t="str">
            <v>FERIADO</v>
          </cell>
          <cell r="J318" t="str">
            <v>FERIADO</v>
          </cell>
          <cell r="L318" t="str">
            <v>FERIADO</v>
          </cell>
          <cell r="N318" t="str">
            <v>FERIADO</v>
          </cell>
        </row>
        <row r="319">
          <cell r="D319">
            <v>5.6243999999999996</v>
          </cell>
          <cell r="H319" t="str">
            <v>FERIADO</v>
          </cell>
          <cell r="J319" t="str">
            <v>FERIADO</v>
          </cell>
          <cell r="L319" t="str">
            <v>FERIADO</v>
          </cell>
          <cell r="N319" t="str">
            <v>FERIADO</v>
          </cell>
        </row>
        <row r="320">
          <cell r="D320">
            <v>5.5640000000000001</v>
          </cell>
          <cell r="H320">
            <v>3018</v>
          </cell>
          <cell r="J320">
            <v>29950</v>
          </cell>
          <cell r="L320">
            <v>2313</v>
          </cell>
          <cell r="N320">
            <v>1692</v>
          </cell>
        </row>
        <row r="321">
          <cell r="D321">
            <v>5.5666000000000002</v>
          </cell>
          <cell r="H321">
            <v>3023</v>
          </cell>
          <cell r="J321">
            <v>30400</v>
          </cell>
          <cell r="L321">
            <v>2333</v>
          </cell>
          <cell r="N321">
            <v>1692</v>
          </cell>
        </row>
        <row r="322">
          <cell r="D322">
            <v>5.6951000000000001</v>
          </cell>
          <cell r="H322" t="str">
            <v>FERIADO</v>
          </cell>
          <cell r="J322" t="str">
            <v>FERIADO</v>
          </cell>
          <cell r="L322" t="str">
            <v>FERIADO</v>
          </cell>
          <cell r="N322" t="str">
            <v>FERIADO</v>
          </cell>
        </row>
        <row r="323">
          <cell r="D323">
            <v>5.6726000000000001</v>
          </cell>
          <cell r="L323" t="str">
            <v>FERIADO</v>
          </cell>
          <cell r="N323" t="str">
            <v>FERIADO</v>
          </cell>
        </row>
        <row r="324">
          <cell r="D324">
            <v>5.7736999999999998</v>
          </cell>
          <cell r="L324">
            <v>2330</v>
          </cell>
          <cell r="N324">
            <v>1736</v>
          </cell>
        </row>
        <row r="325">
          <cell r="D325">
            <v>5.6813000000000002</v>
          </cell>
          <cell r="L325">
            <v>2297.5</v>
          </cell>
          <cell r="N325">
            <v>1783</v>
          </cell>
        </row>
        <row r="326">
          <cell r="D326">
            <v>5.6031000000000004</v>
          </cell>
          <cell r="L326">
            <v>2234</v>
          </cell>
          <cell r="N326">
            <v>1784</v>
          </cell>
        </row>
        <row r="327">
          <cell r="D327">
            <v>5.6885000000000003</v>
          </cell>
          <cell r="L327">
            <v>2317</v>
          </cell>
          <cell r="N327">
            <v>1793</v>
          </cell>
        </row>
        <row r="328">
          <cell r="D328">
            <v>5.6197999999999997</v>
          </cell>
          <cell r="L328">
            <v>2207</v>
          </cell>
          <cell r="N328">
            <v>1802</v>
          </cell>
        </row>
        <row r="329">
          <cell r="D329">
            <v>5.5930999999999997</v>
          </cell>
          <cell r="L329">
            <v>2200</v>
          </cell>
          <cell r="N329">
            <v>1764</v>
          </cell>
        </row>
        <row r="330">
          <cell r="D330">
            <v>5.5536000000000003</v>
          </cell>
          <cell r="L330">
            <v>2154</v>
          </cell>
          <cell r="N330">
            <v>1777</v>
          </cell>
        </row>
        <row r="331">
          <cell r="D331">
            <v>5.5324999999999998</v>
          </cell>
          <cell r="L331">
            <v>2287</v>
          </cell>
          <cell r="N331">
            <v>1755</v>
          </cell>
        </row>
        <row r="332">
          <cell r="D332">
            <v>5.5288000000000004</v>
          </cell>
          <cell r="L332">
            <v>2239</v>
          </cell>
          <cell r="N332">
            <v>1728</v>
          </cell>
        </row>
        <row r="333">
          <cell r="D333">
            <v>5.5137999999999998</v>
          </cell>
          <cell r="L333">
            <v>2239</v>
          </cell>
          <cell r="N333">
            <v>1778</v>
          </cell>
        </row>
        <row r="334">
          <cell r="D334">
            <v>5.6252000000000004</v>
          </cell>
          <cell r="L334">
            <v>2161</v>
          </cell>
          <cell r="N334">
            <v>1683</v>
          </cell>
        </row>
        <row r="335">
          <cell r="D335">
            <v>5.6294000000000004</v>
          </cell>
          <cell r="L335">
            <v>2141.5</v>
          </cell>
          <cell r="N335">
            <v>1731</v>
          </cell>
        </row>
        <row r="336">
          <cell r="D336">
            <v>5.6391</v>
          </cell>
          <cell r="L336">
            <v>2104.5</v>
          </cell>
          <cell r="N336">
            <v>1708</v>
          </cell>
        </row>
        <row r="337">
          <cell r="D337">
            <v>5.5290999999999997</v>
          </cell>
          <cell r="L337">
            <v>2197</v>
          </cell>
          <cell r="N337">
            <v>1697</v>
          </cell>
        </row>
        <row r="338">
          <cell r="D338">
            <v>5.5004999999999997</v>
          </cell>
          <cell r="L338">
            <v>2206</v>
          </cell>
          <cell r="N338">
            <v>1642</v>
          </cell>
        </row>
        <row r="339">
          <cell r="D339">
            <v>5.5381</v>
          </cell>
          <cell r="L339">
            <v>2206</v>
          </cell>
          <cell r="N339">
            <v>1630</v>
          </cell>
        </row>
        <row r="340">
          <cell r="D340">
            <v>5.5366999999999997</v>
          </cell>
          <cell r="L340">
            <v>2140</v>
          </cell>
          <cell r="N340">
            <v>1618</v>
          </cell>
        </row>
        <row r="341">
          <cell r="D341">
            <v>5.5366</v>
          </cell>
          <cell r="H341">
            <v>3439</v>
          </cell>
          <cell r="J341">
            <v>30055</v>
          </cell>
          <cell r="L341">
            <v>2143</v>
          </cell>
          <cell r="N341">
            <v>1686</v>
          </cell>
        </row>
        <row r="342">
          <cell r="D342">
            <v>5.4569999999999999</v>
          </cell>
          <cell r="H342">
            <v>3350</v>
          </cell>
          <cell r="J342">
            <v>30055</v>
          </cell>
          <cell r="L342">
            <v>2143</v>
          </cell>
          <cell r="N342">
            <v>1680</v>
          </cell>
        </row>
        <row r="343">
          <cell r="D343">
            <v>5.5392000000000001</v>
          </cell>
          <cell r="H343">
            <v>3360.5</v>
          </cell>
          <cell r="J343">
            <v>29105</v>
          </cell>
          <cell r="L343">
            <v>2112.5</v>
          </cell>
          <cell r="N343">
            <v>1625</v>
          </cell>
        </row>
        <row r="344">
          <cell r="D344">
            <v>5.5529999999999999</v>
          </cell>
          <cell r="H344">
            <v>3198</v>
          </cell>
          <cell r="J344">
            <v>27400</v>
          </cell>
          <cell r="L344">
            <v>2101</v>
          </cell>
          <cell r="N344">
            <v>1572</v>
          </cell>
        </row>
        <row r="345">
          <cell r="D345">
            <v>5.5260999999999996</v>
          </cell>
          <cell r="H345">
            <v>3135</v>
          </cell>
          <cell r="J345">
            <v>26805</v>
          </cell>
          <cell r="L345">
            <v>2067</v>
          </cell>
          <cell r="N345">
            <v>1636</v>
          </cell>
        </row>
        <row r="346">
          <cell r="D346">
            <v>5.5787000000000004</v>
          </cell>
          <cell r="H346">
            <v>3200</v>
          </cell>
          <cell r="J346">
            <v>27250</v>
          </cell>
          <cell r="L346">
            <v>2129</v>
          </cell>
          <cell r="N346">
            <v>1660</v>
          </cell>
        </row>
        <row r="347">
          <cell r="D347">
            <v>5.6289999999999996</v>
          </cell>
          <cell r="H347">
            <v>3178</v>
          </cell>
          <cell r="J347">
            <v>27010</v>
          </cell>
          <cell r="L347">
            <v>2129</v>
          </cell>
          <cell r="N347">
            <v>1647</v>
          </cell>
        </row>
        <row r="348">
          <cell r="D348">
            <v>5.6070000000000002</v>
          </cell>
          <cell r="H348">
            <v>3118</v>
          </cell>
          <cell r="J348">
            <v>27705</v>
          </cell>
          <cell r="L348">
            <v>2095</v>
          </cell>
          <cell r="N348">
            <v>1553</v>
          </cell>
        </row>
        <row r="349">
          <cell r="D349">
            <v>5.5553999999999997</v>
          </cell>
          <cell r="H349">
            <v>3041</v>
          </cell>
          <cell r="J349">
            <v>26750</v>
          </cell>
          <cell r="L349">
            <v>2088</v>
          </cell>
          <cell r="N349">
            <v>1555</v>
          </cell>
        </row>
        <row r="350">
          <cell r="D350">
            <v>5.5178000000000003</v>
          </cell>
          <cell r="H350">
            <v>3133</v>
          </cell>
          <cell r="J350">
            <v>26890</v>
          </cell>
          <cell r="L350">
            <v>2095.5</v>
          </cell>
          <cell r="N350">
            <v>1580</v>
          </cell>
        </row>
        <row r="351">
          <cell r="D351">
            <v>5.5758000000000001</v>
          </cell>
          <cell r="H351">
            <v>3066</v>
          </cell>
          <cell r="J351">
            <v>25800</v>
          </cell>
          <cell r="L351">
            <v>2062</v>
          </cell>
          <cell r="N351">
            <v>1448</v>
          </cell>
        </row>
        <row r="352">
          <cell r="D352">
            <v>5.5944000000000003</v>
          </cell>
          <cell r="H352">
            <v>3035</v>
          </cell>
          <cell r="J352">
            <v>25800</v>
          </cell>
          <cell r="L352">
            <v>2062</v>
          </cell>
          <cell r="N352">
            <v>1468</v>
          </cell>
        </row>
        <row r="353">
          <cell r="D353">
            <v>5.5438000000000001</v>
          </cell>
          <cell r="H353">
            <v>3037</v>
          </cell>
          <cell r="J353">
            <v>25575</v>
          </cell>
          <cell r="L353">
            <v>2047</v>
          </cell>
          <cell r="N353">
            <v>1481</v>
          </cell>
        </row>
        <row r="354">
          <cell r="D354">
            <v>5.5438000000000001</v>
          </cell>
          <cell r="H354">
            <v>3110</v>
          </cell>
          <cell r="J354">
            <v>25575</v>
          </cell>
          <cell r="L354">
            <v>2047</v>
          </cell>
          <cell r="N354">
            <v>1515</v>
          </cell>
        </row>
        <row r="355">
          <cell r="H355">
            <v>3170</v>
          </cell>
        </row>
        <row r="356">
          <cell r="H356">
            <v>3106.5</v>
          </cell>
        </row>
        <row r="357">
          <cell r="D357">
            <v>5.4378000000000002</v>
          </cell>
          <cell r="H357">
            <v>3085</v>
          </cell>
          <cell r="J357">
            <v>25550</v>
          </cell>
          <cell r="L357">
            <v>2089</v>
          </cell>
          <cell r="N357">
            <v>1462</v>
          </cell>
        </row>
        <row r="358">
          <cell r="D358">
            <v>5.4581</v>
          </cell>
          <cell r="H358">
            <v>3019</v>
          </cell>
          <cell r="J358">
            <v>24800</v>
          </cell>
          <cell r="L358">
            <v>2064</v>
          </cell>
          <cell r="N358">
            <v>1394</v>
          </cell>
        </row>
        <row r="359">
          <cell r="D359">
            <v>5.5065999999999997</v>
          </cell>
          <cell r="H359">
            <v>3034</v>
          </cell>
          <cell r="J359">
            <v>24595</v>
          </cell>
          <cell r="L359">
            <v>2106.5</v>
          </cell>
          <cell r="N359">
            <v>1465</v>
          </cell>
        </row>
        <row r="360">
          <cell r="D360">
            <v>5.5217000000000001</v>
          </cell>
          <cell r="H360">
            <v>3042</v>
          </cell>
          <cell r="J360">
            <v>24810</v>
          </cell>
          <cell r="L360">
            <v>2081</v>
          </cell>
          <cell r="N360">
            <v>1413</v>
          </cell>
        </row>
        <row r="361">
          <cell r="D361">
            <v>5.5552000000000001</v>
          </cell>
          <cell r="H361">
            <v>3091</v>
          </cell>
          <cell r="J361">
            <v>24975</v>
          </cell>
          <cell r="L361">
            <v>2137</v>
          </cell>
          <cell r="N361">
            <v>1416</v>
          </cell>
        </row>
        <row r="362">
          <cell r="D362">
            <v>5.5235000000000003</v>
          </cell>
          <cell r="H362">
            <v>3073</v>
          </cell>
          <cell r="J362">
            <v>24110</v>
          </cell>
          <cell r="L362">
            <v>2106</v>
          </cell>
          <cell r="N362">
            <v>1421</v>
          </cell>
        </row>
        <row r="363">
          <cell r="D363">
            <v>5.5132000000000003</v>
          </cell>
          <cell r="H363">
            <v>3075</v>
          </cell>
          <cell r="J363">
            <v>24160</v>
          </cell>
          <cell r="L363">
            <v>2108</v>
          </cell>
          <cell r="N363">
            <v>1451</v>
          </cell>
        </row>
        <row r="364">
          <cell r="D364">
            <v>5.5481999999999996</v>
          </cell>
          <cell r="H364">
            <v>3090</v>
          </cell>
          <cell r="J364">
            <v>24405</v>
          </cell>
          <cell r="L364">
            <v>2138</v>
          </cell>
          <cell r="N364">
            <v>1420</v>
          </cell>
        </row>
        <row r="365">
          <cell r="D365">
            <v>5.492</v>
          </cell>
          <cell r="H365">
            <v>3030</v>
          </cell>
          <cell r="J365">
            <v>24450</v>
          </cell>
          <cell r="L365">
            <v>2117</v>
          </cell>
        </row>
        <row r="366">
          <cell r="D366">
            <v>5.4217000000000004</v>
          </cell>
          <cell r="H366">
            <v>2988</v>
          </cell>
          <cell r="J366">
            <v>23450</v>
          </cell>
          <cell r="L366">
            <v>2085</v>
          </cell>
          <cell r="N366">
            <v>1407</v>
          </cell>
        </row>
        <row r="367">
          <cell r="D367">
            <v>5.4257999999999997</v>
          </cell>
          <cell r="H367">
            <v>2966.5</v>
          </cell>
          <cell r="J367">
            <v>23200</v>
          </cell>
          <cell r="L367">
            <v>2075</v>
          </cell>
          <cell r="N367">
            <v>1361</v>
          </cell>
        </row>
        <row r="368">
          <cell r="D368">
            <v>5.5365000000000002</v>
          </cell>
          <cell r="H368">
            <v>2940</v>
          </cell>
          <cell r="J368">
            <v>22650</v>
          </cell>
          <cell r="L368">
            <v>2075</v>
          </cell>
          <cell r="N368">
            <v>1389</v>
          </cell>
        </row>
        <row r="369">
          <cell r="D369">
            <v>5.6219000000000001</v>
          </cell>
          <cell r="H369">
            <v>2904</v>
          </cell>
          <cell r="J369">
            <v>22575</v>
          </cell>
          <cell r="L369">
            <v>2062</v>
          </cell>
          <cell r="N369">
            <v>1432</v>
          </cell>
        </row>
        <row r="370">
          <cell r="D370">
            <v>5.6120000000000001</v>
          </cell>
          <cell r="H370">
            <v>2954</v>
          </cell>
          <cell r="J370">
            <v>23255</v>
          </cell>
          <cell r="L370">
            <v>2099</v>
          </cell>
          <cell r="N370">
            <v>1495</v>
          </cell>
        </row>
        <row r="371">
          <cell r="D371">
            <v>5.5792999999999999</v>
          </cell>
          <cell r="H371">
            <v>2864</v>
          </cell>
          <cell r="J371">
            <v>22700</v>
          </cell>
          <cell r="L371">
            <v>2077</v>
          </cell>
          <cell r="N371">
            <v>1437</v>
          </cell>
        </row>
        <row r="372">
          <cell r="D372">
            <v>5.6154000000000002</v>
          </cell>
          <cell r="H372">
            <v>2862</v>
          </cell>
          <cell r="J372">
            <v>22600</v>
          </cell>
          <cell r="L372">
            <v>2053</v>
          </cell>
          <cell r="N372">
            <v>1437</v>
          </cell>
        </row>
        <row r="373">
          <cell r="D373">
            <v>5.6064999999999996</v>
          </cell>
          <cell r="H373" t="str">
            <v>FERIADO</v>
          </cell>
          <cell r="J373" t="str">
            <v>FERIADO</v>
          </cell>
          <cell r="L373" t="str">
            <v>FERIADO</v>
          </cell>
          <cell r="N373" t="str">
            <v>FERIADO</v>
          </cell>
        </row>
        <row r="374">
          <cell r="D374">
            <v>5.6242999999999999</v>
          </cell>
          <cell r="H374">
            <v>2924</v>
          </cell>
          <cell r="J374">
            <v>22650</v>
          </cell>
          <cell r="L374">
            <v>2102</v>
          </cell>
          <cell r="N374">
            <v>1398</v>
          </cell>
        </row>
        <row r="375">
          <cell r="D375">
            <v>5.6455000000000002</v>
          </cell>
          <cell r="H375">
            <v>2896.5</v>
          </cell>
          <cell r="J375">
            <v>22500</v>
          </cell>
          <cell r="L375">
            <v>2128</v>
          </cell>
          <cell r="N375">
            <v>1406</v>
          </cell>
        </row>
        <row r="376">
          <cell r="D376">
            <v>5.6795</v>
          </cell>
          <cell r="H376">
            <v>2888</v>
          </cell>
          <cell r="J376">
            <v>22300</v>
          </cell>
          <cell r="L376">
            <v>2150</v>
          </cell>
          <cell r="N376">
            <v>1428</v>
          </cell>
        </row>
        <row r="377">
          <cell r="D377">
            <v>5.7289000000000003</v>
          </cell>
          <cell r="H377">
            <v>2892</v>
          </cell>
          <cell r="J377">
            <v>21850</v>
          </cell>
          <cell r="L377">
            <v>2146</v>
          </cell>
          <cell r="N377">
            <v>1435</v>
          </cell>
        </row>
        <row r="378">
          <cell r="D378">
            <v>5.6942000000000004</v>
          </cell>
          <cell r="H378">
            <v>2898</v>
          </cell>
          <cell r="J378">
            <v>22775</v>
          </cell>
          <cell r="L378">
            <v>2133</v>
          </cell>
          <cell r="N378">
            <v>1418</v>
          </cell>
        </row>
        <row r="379">
          <cell r="D379">
            <v>5.6416000000000004</v>
          </cell>
          <cell r="H379">
            <v>2913.5</v>
          </cell>
          <cell r="J379">
            <v>23825</v>
          </cell>
          <cell r="L379">
            <v>2123</v>
          </cell>
          <cell r="N379">
            <v>1406</v>
          </cell>
        </row>
        <row r="380">
          <cell r="D380">
            <v>5.6082000000000001</v>
          </cell>
          <cell r="H380">
            <v>2935</v>
          </cell>
          <cell r="J380">
            <v>23575</v>
          </cell>
          <cell r="L380">
            <v>2155</v>
          </cell>
          <cell r="N380">
            <v>1416</v>
          </cell>
        </row>
        <row r="381">
          <cell r="D381">
            <v>5.5735000000000001</v>
          </cell>
          <cell r="H381">
            <v>3034.5</v>
          </cell>
          <cell r="J381">
            <v>24150</v>
          </cell>
          <cell r="L381">
            <v>2180</v>
          </cell>
          <cell r="N381">
            <v>1431</v>
          </cell>
        </row>
        <row r="382">
          <cell r="D382">
            <v>5.5839999999999996</v>
          </cell>
          <cell r="H382">
            <v>2978</v>
          </cell>
          <cell r="J382">
            <v>23165</v>
          </cell>
          <cell r="L382">
            <v>2173</v>
          </cell>
          <cell r="N382">
            <v>1495</v>
          </cell>
        </row>
        <row r="383">
          <cell r="D383">
            <v>5.5217000000000001</v>
          </cell>
          <cell r="H383">
            <v>2906</v>
          </cell>
          <cell r="J383">
            <v>23050</v>
          </cell>
          <cell r="L383">
            <v>2144.5</v>
          </cell>
          <cell r="N383">
            <v>1490</v>
          </cell>
        </row>
        <row r="384">
          <cell r="D384">
            <v>5.5132000000000003</v>
          </cell>
          <cell r="H384">
            <v>2936</v>
          </cell>
          <cell r="J384">
            <v>23555</v>
          </cell>
          <cell r="L384">
            <v>2135</v>
          </cell>
          <cell r="N384">
            <v>1482</v>
          </cell>
        </row>
        <row r="385">
          <cell r="D385">
            <v>5.5568</v>
          </cell>
          <cell r="H385">
            <v>2891</v>
          </cell>
          <cell r="J385">
            <v>22905</v>
          </cell>
          <cell r="L385">
            <v>2120</v>
          </cell>
          <cell r="N385">
            <v>1482</v>
          </cell>
        </row>
        <row r="386">
          <cell r="D386">
            <v>5.5065999999999997</v>
          </cell>
          <cell r="H386">
            <v>2847</v>
          </cell>
          <cell r="J386">
            <v>22700</v>
          </cell>
          <cell r="L386">
            <v>2118.5</v>
          </cell>
          <cell r="N386">
            <v>1467</v>
          </cell>
        </row>
        <row r="387">
          <cell r="D387">
            <v>5.5369999999999999</v>
          </cell>
          <cell r="H387">
            <v>2810</v>
          </cell>
          <cell r="J387">
            <v>22450</v>
          </cell>
          <cell r="L387">
            <v>2126</v>
          </cell>
          <cell r="N387">
            <v>1445</v>
          </cell>
        </row>
        <row r="388">
          <cell r="D388" t="str">
            <v>FERIADO</v>
          </cell>
          <cell r="H388" t="str">
            <v>FERIADO</v>
          </cell>
          <cell r="J388" t="str">
            <v>FERIADO</v>
          </cell>
          <cell r="L388" t="str">
            <v>FERIADO</v>
          </cell>
          <cell r="N388" t="str">
            <v>FERIADO</v>
          </cell>
        </row>
        <row r="389">
          <cell r="D389">
            <v>5.5091999999999999</v>
          </cell>
          <cell r="H389" t="str">
            <v>FERIADO</v>
          </cell>
          <cell r="J389" t="str">
            <v>FERIADO</v>
          </cell>
          <cell r="L389" t="str">
            <v>FERIADO</v>
          </cell>
          <cell r="N389" t="str">
            <v>FERIADO</v>
          </cell>
        </row>
        <row r="390">
          <cell r="D390">
            <v>5.4648000000000003</v>
          </cell>
          <cell r="H390">
            <v>2782</v>
          </cell>
          <cell r="J390">
            <v>22800</v>
          </cell>
          <cell r="L390">
            <v>2119</v>
          </cell>
          <cell r="N390">
            <v>1432</v>
          </cell>
        </row>
        <row r="391">
          <cell r="D391">
            <v>5.4359999999999999</v>
          </cell>
          <cell r="H391">
            <v>2749</v>
          </cell>
          <cell r="J391">
            <v>22870</v>
          </cell>
          <cell r="L391">
            <v>2140</v>
          </cell>
          <cell r="N391">
            <v>1452</v>
          </cell>
        </row>
        <row r="392">
          <cell r="D392">
            <v>5.4260000000000002</v>
          </cell>
          <cell r="H392">
            <v>2828</v>
          </cell>
          <cell r="J392">
            <v>23200</v>
          </cell>
          <cell r="L392">
            <v>2161</v>
          </cell>
          <cell r="N392">
            <v>1482</v>
          </cell>
        </row>
        <row r="393">
          <cell r="D393">
            <v>5.4284999999999997</v>
          </cell>
          <cell r="H393">
            <v>2900</v>
          </cell>
          <cell r="J393">
            <v>24155</v>
          </cell>
          <cell r="L393">
            <v>2184</v>
          </cell>
          <cell r="N393">
            <v>1484</v>
          </cell>
        </row>
        <row r="394">
          <cell r="D394">
            <v>5.3926999999999996</v>
          </cell>
          <cell r="H394">
            <v>2844</v>
          </cell>
          <cell r="J394">
            <v>24450</v>
          </cell>
          <cell r="L394">
            <v>2131</v>
          </cell>
          <cell r="N394">
            <v>1520</v>
          </cell>
        </row>
        <row r="395">
          <cell r="D395">
            <v>5.4420999999999999</v>
          </cell>
          <cell r="H395">
            <v>2853</v>
          </cell>
          <cell r="J395">
            <v>24955</v>
          </cell>
          <cell r="L395">
            <v>2157</v>
          </cell>
          <cell r="N395">
            <v>1628</v>
          </cell>
        </row>
        <row r="396">
          <cell r="D396">
            <v>5.5259999999999998</v>
          </cell>
          <cell r="H396">
            <v>2766</v>
          </cell>
          <cell r="J396">
            <v>24460</v>
          </cell>
          <cell r="L396">
            <v>2155</v>
          </cell>
          <cell r="N396">
            <v>1609</v>
          </cell>
        </row>
        <row r="397">
          <cell r="D397">
            <v>5.5373000000000001</v>
          </cell>
          <cell r="H397">
            <v>2754.5</v>
          </cell>
          <cell r="J397">
            <v>25530</v>
          </cell>
          <cell r="L397">
            <v>2182</v>
          </cell>
          <cell r="N397">
            <v>1618</v>
          </cell>
        </row>
        <row r="398">
          <cell r="D398" t="str">
            <v>FERIADO</v>
          </cell>
          <cell r="H398">
            <v>2738</v>
          </cell>
          <cell r="J398">
            <v>24325</v>
          </cell>
          <cell r="L398">
            <v>2203</v>
          </cell>
          <cell r="N398">
            <v>1628</v>
          </cell>
        </row>
        <row r="399">
          <cell r="D399">
            <v>5.5773999999999999</v>
          </cell>
          <cell r="H399">
            <v>2668</v>
          </cell>
          <cell r="J399">
            <v>24125</v>
          </cell>
          <cell r="L399">
            <v>2162</v>
          </cell>
          <cell r="N399">
            <v>1545</v>
          </cell>
        </row>
        <row r="400">
          <cell r="D400">
            <v>5.5495999999999999</v>
          </cell>
          <cell r="H400">
            <v>2617</v>
          </cell>
          <cell r="J400">
            <v>23860</v>
          </cell>
          <cell r="L400">
            <v>2160</v>
          </cell>
          <cell r="N400">
            <v>1494</v>
          </cell>
        </row>
        <row r="401">
          <cell r="D401">
            <v>5.5884999999999998</v>
          </cell>
          <cell r="H401">
            <v>2614</v>
          </cell>
          <cell r="J401">
            <v>23600</v>
          </cell>
          <cell r="L401">
            <v>2121</v>
          </cell>
          <cell r="N401">
            <v>1509</v>
          </cell>
        </row>
        <row r="402">
          <cell r="D402">
            <v>5.5224000000000002</v>
          </cell>
          <cell r="H402">
            <v>2608</v>
          </cell>
          <cell r="J402">
            <v>23650</v>
          </cell>
          <cell r="L402">
            <v>2120</v>
          </cell>
          <cell r="N402">
            <v>1496</v>
          </cell>
        </row>
        <row r="403">
          <cell r="D403">
            <v>5.5336999999999996</v>
          </cell>
          <cell r="H403">
            <v>2620</v>
          </cell>
          <cell r="J403">
            <v>24235</v>
          </cell>
          <cell r="L403">
            <v>2171</v>
          </cell>
          <cell r="N403">
            <v>1453</v>
          </cell>
        </row>
        <row r="404">
          <cell r="D404">
            <v>5.5473999999999997</v>
          </cell>
          <cell r="H404">
            <v>2609</v>
          </cell>
          <cell r="J404">
            <v>25100</v>
          </cell>
          <cell r="L404">
            <v>2145</v>
          </cell>
          <cell r="N404">
            <v>1441</v>
          </cell>
        </row>
        <row r="405">
          <cell r="D405">
            <v>5.5149999999999997</v>
          </cell>
          <cell r="H405">
            <v>2611</v>
          </cell>
          <cell r="J405">
            <v>25100</v>
          </cell>
          <cell r="L405">
            <v>2126</v>
          </cell>
          <cell r="N405">
            <v>1426</v>
          </cell>
        </row>
        <row r="406">
          <cell r="D406">
            <v>5.4772999999999996</v>
          </cell>
          <cell r="H406">
            <v>2630</v>
          </cell>
          <cell r="J406">
            <v>23800</v>
          </cell>
          <cell r="L406">
            <v>2104</v>
          </cell>
          <cell r="N406">
            <v>1455</v>
          </cell>
        </row>
        <row r="407">
          <cell r="D407">
            <v>5.4748000000000001</v>
          </cell>
        </row>
        <row r="408">
          <cell r="D408">
            <v>5.4756</v>
          </cell>
          <cell r="H408">
            <v>2658</v>
          </cell>
          <cell r="J408">
            <v>23930</v>
          </cell>
          <cell r="L408">
            <v>2118</v>
          </cell>
          <cell r="N408">
            <v>1570</v>
          </cell>
        </row>
        <row r="409">
          <cell r="D409">
            <v>5.4311999999999996</v>
          </cell>
          <cell r="H409">
            <v>2612</v>
          </cell>
          <cell r="J409">
            <v>23035</v>
          </cell>
          <cell r="L409">
            <v>2123</v>
          </cell>
          <cell r="N409">
            <v>1620</v>
          </cell>
        </row>
        <row r="410">
          <cell r="D410">
            <v>5.4231999999999996</v>
          </cell>
          <cell r="H410">
            <v>2575</v>
          </cell>
          <cell r="J410">
            <v>22250</v>
          </cell>
          <cell r="L410">
            <v>2120</v>
          </cell>
          <cell r="N410">
            <v>1607</v>
          </cell>
        </row>
        <row r="411">
          <cell r="D411">
            <v>5.3426999999999998</v>
          </cell>
          <cell r="H411">
            <v>2516</v>
          </cell>
          <cell r="J411">
            <v>22285</v>
          </cell>
          <cell r="L411">
            <v>2094</v>
          </cell>
          <cell r="N411">
            <v>1546</v>
          </cell>
        </row>
        <row r="412">
          <cell r="D412">
            <v>5.3372999999999999</v>
          </cell>
          <cell r="H412">
            <v>2558</v>
          </cell>
          <cell r="J412">
            <v>22200</v>
          </cell>
          <cell r="L412">
            <v>2064</v>
          </cell>
          <cell r="N412">
            <v>1534</v>
          </cell>
        </row>
        <row r="413">
          <cell r="D413">
            <v>5.3360000000000003</v>
          </cell>
          <cell r="H413">
            <v>2473</v>
          </cell>
          <cell r="J413">
            <v>21400</v>
          </cell>
          <cell r="L413">
            <v>2060</v>
          </cell>
          <cell r="N413">
            <v>1521</v>
          </cell>
        </row>
        <row r="414">
          <cell r="D414">
            <v>5.3601000000000001</v>
          </cell>
          <cell r="H414">
            <v>2521</v>
          </cell>
          <cell r="J414">
            <v>21320</v>
          </cell>
          <cell r="L414">
            <v>2049</v>
          </cell>
          <cell r="N414">
            <v>1490</v>
          </cell>
        </row>
        <row r="415">
          <cell r="D415">
            <v>5.3483000000000001</v>
          </cell>
          <cell r="H415">
            <v>2481</v>
          </cell>
          <cell r="J415">
            <v>21275</v>
          </cell>
          <cell r="L415">
            <v>2049</v>
          </cell>
          <cell r="N415">
            <v>1464</v>
          </cell>
        </row>
        <row r="416">
          <cell r="D416">
            <v>5.3925000000000001</v>
          </cell>
          <cell r="H416">
            <v>2490</v>
          </cell>
          <cell r="J416">
            <v>21465</v>
          </cell>
          <cell r="L416">
            <v>2096</v>
          </cell>
          <cell r="N416">
            <v>1518</v>
          </cell>
        </row>
        <row r="417">
          <cell r="D417">
            <v>5.3662999999999998</v>
          </cell>
          <cell r="H417">
            <v>2433</v>
          </cell>
          <cell r="J417">
            <v>21275</v>
          </cell>
          <cell r="L417">
            <v>2095</v>
          </cell>
          <cell r="N417">
            <v>1513</v>
          </cell>
        </row>
        <row r="418">
          <cell r="D418">
            <v>5.3487</v>
          </cell>
          <cell r="H418">
            <v>2362</v>
          </cell>
          <cell r="J418">
            <v>20760</v>
          </cell>
          <cell r="L418">
            <v>2072</v>
          </cell>
          <cell r="N418">
            <v>1460</v>
          </cell>
        </row>
        <row r="419">
          <cell r="D419">
            <v>5.3208000000000002</v>
          </cell>
          <cell r="H419">
            <v>2305</v>
          </cell>
          <cell r="J419">
            <v>20900</v>
          </cell>
          <cell r="L419">
            <v>2057</v>
          </cell>
          <cell r="N419">
            <v>1425</v>
          </cell>
        </row>
        <row r="420">
          <cell r="D420">
            <v>5.3593000000000002</v>
          </cell>
          <cell r="H420">
            <v>2224</v>
          </cell>
          <cell r="J420">
            <v>21125</v>
          </cell>
          <cell r="L420">
            <v>2032</v>
          </cell>
          <cell r="N420">
            <v>1414</v>
          </cell>
        </row>
        <row r="421">
          <cell r="D421">
            <v>5.3670999999999998</v>
          </cell>
          <cell r="H421">
            <v>2320</v>
          </cell>
          <cell r="J421">
            <v>21450</v>
          </cell>
          <cell r="L421">
            <v>2059</v>
          </cell>
          <cell r="N421">
            <v>1442</v>
          </cell>
        </row>
        <row r="422">
          <cell r="D422">
            <v>5.3498999999999999</v>
          </cell>
        </row>
        <row r="423">
          <cell r="D423">
            <v>5.4229000000000003</v>
          </cell>
          <cell r="H423">
            <v>2323</v>
          </cell>
          <cell r="J423">
            <v>21235</v>
          </cell>
          <cell r="L423">
            <v>2078</v>
          </cell>
          <cell r="N423">
            <v>1417</v>
          </cell>
        </row>
        <row r="424">
          <cell r="D424">
            <v>5.4275000000000002</v>
          </cell>
          <cell r="H424">
            <v>2227</v>
          </cell>
          <cell r="J424">
            <v>20450</v>
          </cell>
          <cell r="L424">
            <v>2035</v>
          </cell>
          <cell r="N424">
            <v>1390</v>
          </cell>
        </row>
        <row r="425">
          <cell r="D425">
            <v>5.4115000000000002</v>
          </cell>
          <cell r="H425">
            <v>2271</v>
          </cell>
          <cell r="J425">
            <v>20850</v>
          </cell>
          <cell r="L425">
            <v>1989</v>
          </cell>
          <cell r="N425">
            <v>1372</v>
          </cell>
        </row>
        <row r="426">
          <cell r="D426">
            <v>5.3135000000000003</v>
          </cell>
          <cell r="H426">
            <v>2302</v>
          </cell>
          <cell r="J426">
            <v>21490</v>
          </cell>
          <cell r="L426">
            <v>2010</v>
          </cell>
          <cell r="N426">
            <v>1419</v>
          </cell>
        </row>
        <row r="427">
          <cell r="D427">
            <v>5.2774999999999999</v>
          </cell>
          <cell r="H427">
            <v>2271</v>
          </cell>
          <cell r="J427">
            <v>20610</v>
          </cell>
          <cell r="L427">
            <v>2040</v>
          </cell>
          <cell r="N427">
            <v>1410</v>
          </cell>
        </row>
        <row r="428">
          <cell r="D428">
            <v>5.2706</v>
          </cell>
          <cell r="H428">
            <v>2290</v>
          </cell>
          <cell r="J428">
            <v>21050</v>
          </cell>
          <cell r="L428">
            <v>2035</v>
          </cell>
          <cell r="N428">
            <v>1407</v>
          </cell>
        </row>
        <row r="429">
          <cell r="D429">
            <v>5.2545999999999999</v>
          </cell>
          <cell r="H429">
            <v>2381</v>
          </cell>
          <cell r="J429">
            <v>21005</v>
          </cell>
          <cell r="L429">
            <v>2057</v>
          </cell>
          <cell r="N429">
            <v>1411</v>
          </cell>
        </row>
        <row r="430">
          <cell r="D430" t="str">
            <v>FERIADO</v>
          </cell>
          <cell r="H430">
            <v>2370</v>
          </cell>
          <cell r="J430">
            <v>21110</v>
          </cell>
          <cell r="L430">
            <v>2029</v>
          </cell>
          <cell r="N430">
            <v>1381</v>
          </cell>
        </row>
        <row r="431">
          <cell r="D431">
            <v>5.2565</v>
          </cell>
          <cell r="H431">
            <v>2396</v>
          </cell>
          <cell r="J431">
            <v>21390</v>
          </cell>
          <cell r="L431">
            <v>2060</v>
          </cell>
          <cell r="N431">
            <v>1324</v>
          </cell>
        </row>
        <row r="432">
          <cell r="D432">
            <v>5.2458999999999998</v>
          </cell>
          <cell r="H432">
            <v>2356</v>
          </cell>
          <cell r="J432">
            <v>21100</v>
          </cell>
          <cell r="L432">
            <v>2090</v>
          </cell>
          <cell r="N432">
            <v>1330</v>
          </cell>
        </row>
        <row r="433">
          <cell r="D433">
            <v>5.2355999999999998</v>
          </cell>
          <cell r="H433">
            <v>2381</v>
          </cell>
          <cell r="J433">
            <v>21250</v>
          </cell>
          <cell r="L433">
            <v>2106</v>
          </cell>
          <cell r="N433">
            <v>1372</v>
          </cell>
        </row>
        <row r="434">
          <cell r="D434">
            <v>5.2603999999999997</v>
          </cell>
          <cell r="H434">
            <v>2450</v>
          </cell>
          <cell r="J434">
            <v>22155</v>
          </cell>
          <cell r="L434">
            <v>2147</v>
          </cell>
          <cell r="N434">
            <v>1395</v>
          </cell>
        </row>
        <row r="435">
          <cell r="D435">
            <v>5.2705000000000002</v>
          </cell>
          <cell r="H435">
            <v>2461</v>
          </cell>
          <cell r="J435">
            <v>22725</v>
          </cell>
          <cell r="L435">
            <v>2165</v>
          </cell>
          <cell r="N435">
            <v>1368</v>
          </cell>
        </row>
        <row r="436">
          <cell r="D436">
            <v>5.2736000000000001</v>
          </cell>
          <cell r="H436">
            <v>2485</v>
          </cell>
          <cell r="J436">
            <v>23140</v>
          </cell>
          <cell r="L436">
            <v>2174</v>
          </cell>
          <cell r="N436">
            <v>1398</v>
          </cell>
        </row>
        <row r="437">
          <cell r="D437">
            <v>5.2194000000000003</v>
          </cell>
          <cell r="H437">
            <v>2431</v>
          </cell>
          <cell r="J437">
            <v>22455</v>
          </cell>
          <cell r="L437">
            <v>2195</v>
          </cell>
        </row>
        <row r="438">
          <cell r="D438">
            <v>5.2228000000000003</v>
          </cell>
          <cell r="H438">
            <v>2374</v>
          </cell>
          <cell r="J438">
            <v>21825</v>
          </cell>
          <cell r="L438">
            <v>2183</v>
          </cell>
        </row>
        <row r="439">
          <cell r="D439">
            <v>5.2324000000000002</v>
          </cell>
          <cell r="H439">
            <v>2337.5</v>
          </cell>
          <cell r="J439">
            <v>21325</v>
          </cell>
          <cell r="L439">
            <v>2240</v>
          </cell>
        </row>
        <row r="440">
          <cell r="D440">
            <v>5.2279999999999998</v>
          </cell>
          <cell r="H440">
            <v>2442</v>
          </cell>
          <cell r="J440">
            <v>21200</v>
          </cell>
          <cell r="L440">
            <v>2221</v>
          </cell>
        </row>
        <row r="441">
          <cell r="D441">
            <v>5.2027000000000001</v>
          </cell>
          <cell r="H441">
            <v>2362</v>
          </cell>
          <cell r="J441">
            <v>20875</v>
          </cell>
          <cell r="L441">
            <v>2189</v>
          </cell>
        </row>
        <row r="442">
          <cell r="D442">
            <v>5.2022000000000004</v>
          </cell>
          <cell r="H442">
            <v>2331</v>
          </cell>
          <cell r="J442">
            <v>20550</v>
          </cell>
          <cell r="L442">
            <v>2158.5</v>
          </cell>
        </row>
        <row r="443">
          <cell r="D443">
            <v>5.2485999999999997</v>
          </cell>
          <cell r="H443">
            <v>2361</v>
          </cell>
          <cell r="J443">
            <v>20315</v>
          </cell>
          <cell r="L443">
            <v>2168</v>
          </cell>
        </row>
        <row r="444">
          <cell r="D444">
            <v>5.2946999999999997</v>
          </cell>
          <cell r="H444">
            <v>2346</v>
          </cell>
          <cell r="J444">
            <v>19845</v>
          </cell>
          <cell r="L444">
            <v>2129.5</v>
          </cell>
        </row>
        <row r="445">
          <cell r="D445">
            <v>5.2843</v>
          </cell>
          <cell r="H445">
            <v>2326</v>
          </cell>
          <cell r="J445">
            <v>19745</v>
          </cell>
          <cell r="L445">
            <v>2102</v>
          </cell>
        </row>
        <row r="446">
          <cell r="D446">
            <v>5.2614000000000001</v>
          </cell>
          <cell r="H446">
            <v>2363</v>
          </cell>
          <cell r="J446">
            <v>20125</v>
          </cell>
          <cell r="L446">
            <v>2105</v>
          </cell>
        </row>
        <row r="447">
          <cell r="B447">
            <v>4.7869999999999999</v>
          </cell>
          <cell r="D447">
            <v>5.2255000000000003</v>
          </cell>
          <cell r="H447">
            <v>2361.5</v>
          </cell>
          <cell r="J447">
            <v>20160</v>
          </cell>
          <cell r="L447">
            <v>2118</v>
          </cell>
          <cell r="N447">
            <v>1233</v>
          </cell>
        </row>
        <row r="448">
          <cell r="B448">
            <v>4.8049999999999997</v>
          </cell>
          <cell r="D448">
            <v>5.2378999999999998</v>
          </cell>
          <cell r="H448">
            <v>2370</v>
          </cell>
          <cell r="J448">
            <v>20300</v>
          </cell>
          <cell r="L448">
            <v>2115</v>
          </cell>
          <cell r="N448">
            <v>1241</v>
          </cell>
        </row>
        <row r="449">
          <cell r="B449">
            <v>4.8571</v>
          </cell>
          <cell r="D449">
            <v>5.2771999999999997</v>
          </cell>
          <cell r="H449">
            <v>2357</v>
          </cell>
          <cell r="J449">
            <v>20175</v>
          </cell>
          <cell r="L449">
            <v>2092</v>
          </cell>
          <cell r="N449">
            <v>1246</v>
          </cell>
        </row>
        <row r="450">
          <cell r="B450">
            <v>4.8971</v>
          </cell>
          <cell r="D450">
            <v>5.3235999999999999</v>
          </cell>
          <cell r="H450">
            <v>2365</v>
          </cell>
          <cell r="J450">
            <v>21135</v>
          </cell>
          <cell r="L450">
            <v>2059</v>
          </cell>
          <cell r="N450">
            <v>1249</v>
          </cell>
        </row>
        <row r="451">
          <cell r="B451">
            <v>4.8792999999999997</v>
          </cell>
          <cell r="D451">
            <v>5.3482000000000003</v>
          </cell>
          <cell r="H451">
            <v>2337.5</v>
          </cell>
          <cell r="J451">
            <v>20370</v>
          </cell>
          <cell r="L451">
            <v>2038</v>
          </cell>
          <cell r="N451">
            <v>1239</v>
          </cell>
        </row>
        <row r="452">
          <cell r="B452">
            <v>4.8728999999999996</v>
          </cell>
          <cell r="D452">
            <v>5.3543000000000003</v>
          </cell>
          <cell r="H452">
            <v>2341.5</v>
          </cell>
          <cell r="J452">
            <v>20685</v>
          </cell>
          <cell r="L452">
            <v>2066</v>
          </cell>
          <cell r="N452">
            <v>1200</v>
          </cell>
        </row>
        <row r="453">
          <cell r="B453">
            <v>4.8943000000000003</v>
          </cell>
          <cell r="D453">
            <v>5.3788</v>
          </cell>
          <cell r="H453">
            <v>2361</v>
          </cell>
          <cell r="J453">
            <v>20460</v>
          </cell>
          <cell r="L453">
            <v>2072</v>
          </cell>
          <cell r="N453">
            <v>1236</v>
          </cell>
        </row>
        <row r="454">
          <cell r="B454">
            <v>4.8052000000000001</v>
          </cell>
          <cell r="D454">
            <v>5.3438999999999997</v>
          </cell>
          <cell r="H454">
            <v>2360</v>
          </cell>
          <cell r="J454">
            <v>20950</v>
          </cell>
          <cell r="L454">
            <v>2077</v>
          </cell>
          <cell r="N454">
            <v>1279</v>
          </cell>
        </row>
        <row r="455">
          <cell r="B455">
            <v>4.8032000000000004</v>
          </cell>
          <cell r="D455">
            <v>5.3753000000000002</v>
          </cell>
          <cell r="H455">
            <v>2462</v>
          </cell>
          <cell r="J455">
            <v>21150</v>
          </cell>
          <cell r="L455">
            <v>2115</v>
          </cell>
          <cell r="N455">
            <v>1280</v>
          </cell>
        </row>
        <row r="456">
          <cell r="B456">
            <v>4.7950999999999997</v>
          </cell>
          <cell r="D456">
            <v>5.3868</v>
          </cell>
          <cell r="H456">
            <v>2413</v>
          </cell>
          <cell r="J456">
            <v>21305</v>
          </cell>
          <cell r="L456">
            <v>2114</v>
          </cell>
          <cell r="N456">
            <v>1267</v>
          </cell>
        </row>
        <row r="457">
          <cell r="B457">
            <v>4.8296000000000001</v>
          </cell>
          <cell r="D457">
            <v>5.4256000000000002</v>
          </cell>
          <cell r="H457">
            <v>2354</v>
          </cell>
          <cell r="J457">
            <v>20710</v>
          </cell>
          <cell r="L457">
            <v>2080.5</v>
          </cell>
          <cell r="N457">
            <v>1270</v>
          </cell>
        </row>
        <row r="458">
          <cell r="B458">
            <v>4.8033999999999999</v>
          </cell>
          <cell r="D458">
            <v>5.3903999999999996</v>
          </cell>
          <cell r="H458">
            <v>2348</v>
          </cell>
          <cell r="J458">
            <v>20600</v>
          </cell>
          <cell r="L458">
            <v>2094</v>
          </cell>
          <cell r="N458">
            <v>1318</v>
          </cell>
        </row>
        <row r="459">
          <cell r="B459">
            <v>4.7994000000000003</v>
          </cell>
          <cell r="D459">
            <v>5.3715000000000002</v>
          </cell>
          <cell r="H459">
            <v>2350</v>
          </cell>
          <cell r="J459">
            <v>20700</v>
          </cell>
          <cell r="L459">
            <v>2082</v>
          </cell>
          <cell r="N459">
            <v>1309</v>
          </cell>
        </row>
        <row r="460">
          <cell r="B460">
            <v>4.7881999999999998</v>
          </cell>
          <cell r="D460">
            <v>5.3316999999999997</v>
          </cell>
          <cell r="H460">
            <v>2402</v>
          </cell>
          <cell r="J460">
            <v>21155</v>
          </cell>
          <cell r="L460">
            <v>2082</v>
          </cell>
          <cell r="N460">
            <v>1207</v>
          </cell>
        </row>
        <row r="461">
          <cell r="B461">
            <v>4.7725999999999997</v>
          </cell>
          <cell r="D461">
            <v>5.3056999999999999</v>
          </cell>
          <cell r="H461">
            <v>2358</v>
          </cell>
          <cell r="J461">
            <v>20810</v>
          </cell>
          <cell r="L461">
            <v>2130</v>
          </cell>
          <cell r="N461">
            <v>1298</v>
          </cell>
        </row>
        <row r="462">
          <cell r="B462">
            <v>4.7450999999999999</v>
          </cell>
          <cell r="D462">
            <v>5.258</v>
          </cell>
          <cell r="H462">
            <v>2366</v>
          </cell>
          <cell r="J462">
            <v>20605</v>
          </cell>
          <cell r="L462">
            <v>2136.5</v>
          </cell>
          <cell r="N462">
            <v>1287</v>
          </cell>
        </row>
        <row r="463">
          <cell r="B463">
            <v>4.7489999999999997</v>
          </cell>
          <cell r="D463">
            <v>5.2472000000000003</v>
          </cell>
          <cell r="H463">
            <v>2447</v>
          </cell>
          <cell r="J463">
            <v>21350</v>
          </cell>
          <cell r="L463">
            <v>2157</v>
          </cell>
          <cell r="N463">
            <v>1290</v>
          </cell>
        </row>
        <row r="464">
          <cell r="B464">
            <v>4.7362000000000002</v>
          </cell>
          <cell r="D464">
            <v>5.2462999999999997</v>
          </cell>
          <cell r="H464">
            <v>2455</v>
          </cell>
          <cell r="J464">
            <v>21575</v>
          </cell>
          <cell r="L464">
            <v>2140</v>
          </cell>
          <cell r="N464">
            <v>1254</v>
          </cell>
        </row>
        <row r="465">
          <cell r="B465">
            <v>4.7195999999999998</v>
          </cell>
          <cell r="D465">
            <v>5.1897000000000002</v>
          </cell>
          <cell r="H465">
            <v>2485</v>
          </cell>
          <cell r="J465">
            <v>21395</v>
          </cell>
          <cell r="L465">
            <v>2170</v>
          </cell>
          <cell r="N465">
            <v>1246</v>
          </cell>
        </row>
        <row r="466">
          <cell r="B466">
            <v>4.7247000000000003</v>
          </cell>
          <cell r="D466">
            <v>5.2141999999999999</v>
          </cell>
          <cell r="H466">
            <v>2485</v>
          </cell>
          <cell r="J466">
            <v>21650</v>
          </cell>
          <cell r="L466">
            <v>2157</v>
          </cell>
          <cell r="N466">
            <v>1241</v>
          </cell>
        </row>
        <row r="467">
          <cell r="D467">
            <v>5.2225999999999999</v>
          </cell>
          <cell r="H467">
            <v>2550</v>
          </cell>
          <cell r="J467">
            <v>21625</v>
          </cell>
          <cell r="L467">
            <v>2150</v>
          </cell>
          <cell r="N467">
            <v>1274</v>
          </cell>
        </row>
        <row r="468">
          <cell r="B468">
            <v>4.7746000000000004</v>
          </cell>
          <cell r="D468">
            <v>5.2373000000000003</v>
          </cell>
          <cell r="H468">
            <v>2554</v>
          </cell>
          <cell r="J468">
            <v>22355</v>
          </cell>
          <cell r="L468">
            <v>2152</v>
          </cell>
          <cell r="N468">
            <v>1238</v>
          </cell>
        </row>
        <row r="469">
          <cell r="B469">
            <v>4.8076999999999996</v>
          </cell>
          <cell r="D469">
            <v>5.2576999999999998</v>
          </cell>
          <cell r="H469">
            <v>2527</v>
          </cell>
          <cell r="J469">
            <v>21700</v>
          </cell>
          <cell r="L469">
            <v>2144</v>
          </cell>
          <cell r="N469">
            <v>1244</v>
          </cell>
        </row>
        <row r="470">
          <cell r="B470">
            <v>4.8791000000000002</v>
          </cell>
          <cell r="D470">
            <v>5.3402000000000003</v>
          </cell>
          <cell r="H470">
            <v>2462.5</v>
          </cell>
          <cell r="J470">
            <v>21300</v>
          </cell>
          <cell r="L470">
            <v>2136.5</v>
          </cell>
          <cell r="N470">
            <v>1250</v>
          </cell>
        </row>
        <row r="471">
          <cell r="B471">
            <v>4.8602999999999996</v>
          </cell>
          <cell r="D471">
            <v>5.3624000000000001</v>
          </cell>
          <cell r="H471">
            <v>2482</v>
          </cell>
          <cell r="J471">
            <v>20980</v>
          </cell>
          <cell r="L471">
            <v>2125</v>
          </cell>
          <cell r="N471">
            <v>1258</v>
          </cell>
        </row>
        <row r="472">
          <cell r="B472">
            <v>4.9004000000000003</v>
          </cell>
          <cell r="D472">
            <v>5.3890000000000002</v>
          </cell>
          <cell r="H472">
            <v>2500</v>
          </cell>
          <cell r="J472">
            <v>21250</v>
          </cell>
          <cell r="L472">
            <v>2143</v>
          </cell>
          <cell r="N472">
            <v>1261</v>
          </cell>
        </row>
        <row r="473">
          <cell r="B473">
            <v>4.9211</v>
          </cell>
          <cell r="D473">
            <v>5.3875999999999999</v>
          </cell>
          <cell r="H473">
            <v>2448</v>
          </cell>
          <cell r="J473">
            <v>20650</v>
          </cell>
          <cell r="L473">
            <v>2110</v>
          </cell>
          <cell r="N473">
            <v>1214</v>
          </cell>
        </row>
        <row r="474">
          <cell r="B474">
            <v>4.9009</v>
          </cell>
          <cell r="D474">
            <v>5.3773</v>
          </cell>
          <cell r="H474">
            <v>2500</v>
          </cell>
          <cell r="J474">
            <v>20450</v>
          </cell>
          <cell r="L474">
            <v>2119</v>
          </cell>
          <cell r="N474">
            <v>1222</v>
          </cell>
        </row>
        <row r="475">
          <cell r="B475">
            <v>4.8512000000000004</v>
          </cell>
          <cell r="D475">
            <v>5.3430999999999997</v>
          </cell>
          <cell r="H475">
            <v>2477</v>
          </cell>
          <cell r="J475">
            <v>20225</v>
          </cell>
          <cell r="L475">
            <v>2122</v>
          </cell>
          <cell r="N475">
            <v>1269</v>
          </cell>
        </row>
        <row r="476">
          <cell r="B476">
            <v>4.8912000000000004</v>
          </cell>
          <cell r="D476">
            <v>5.3582999999999998</v>
          </cell>
          <cell r="H476">
            <v>2415.5</v>
          </cell>
          <cell r="J476">
            <v>20000</v>
          </cell>
          <cell r="L476">
            <v>2118</v>
          </cell>
          <cell r="N476">
            <v>1222</v>
          </cell>
        </row>
        <row r="477">
          <cell r="B477">
            <v>4.9474999999999998</v>
          </cell>
          <cell r="D477">
            <v>5.4027000000000003</v>
          </cell>
          <cell r="H477">
            <v>2357</v>
          </cell>
          <cell r="J477">
            <v>19825</v>
          </cell>
          <cell r="L477">
            <v>2088</v>
          </cell>
          <cell r="N477">
            <v>1275</v>
          </cell>
        </row>
        <row r="478">
          <cell r="B478">
            <v>4.9805999999999999</v>
          </cell>
          <cell r="D478">
            <v>5.4413</v>
          </cell>
          <cell r="H478">
            <v>2313</v>
          </cell>
          <cell r="J478">
            <v>19685</v>
          </cell>
          <cell r="L478">
            <v>2099</v>
          </cell>
          <cell r="N478">
            <v>1246</v>
          </cell>
        </row>
        <row r="479">
          <cell r="B479">
            <v>4.9764999999999997</v>
          </cell>
          <cell r="D479">
            <v>5.4244000000000003</v>
          </cell>
          <cell r="H479">
            <v>2282</v>
          </cell>
          <cell r="J479">
            <v>19850</v>
          </cell>
          <cell r="L479">
            <v>2123</v>
          </cell>
          <cell r="N479">
            <v>1218</v>
          </cell>
        </row>
        <row r="480">
          <cell r="B480">
            <v>4.9809999999999999</v>
          </cell>
          <cell r="D480">
            <v>5.4153000000000002</v>
          </cell>
          <cell r="H480">
            <v>2312</v>
          </cell>
          <cell r="J480">
            <v>19850</v>
          </cell>
          <cell r="L480">
            <v>2144</v>
          </cell>
          <cell r="N480">
            <v>1233</v>
          </cell>
        </row>
        <row r="481">
          <cell r="B481">
            <v>4.9718</v>
          </cell>
          <cell r="D481">
            <v>5.4053000000000004</v>
          </cell>
          <cell r="H481">
            <v>2261</v>
          </cell>
          <cell r="J481">
            <v>19925</v>
          </cell>
          <cell r="L481">
            <v>2154</v>
          </cell>
          <cell r="N481">
            <v>1229</v>
          </cell>
        </row>
        <row r="482">
          <cell r="B482">
            <v>4.9840999999999998</v>
          </cell>
          <cell r="D482">
            <v>5.4257</v>
          </cell>
          <cell r="H482">
            <v>2270.5</v>
          </cell>
          <cell r="J482">
            <v>20050</v>
          </cell>
          <cell r="L482">
            <v>2168</v>
          </cell>
          <cell r="N482">
            <v>1240</v>
          </cell>
        </row>
        <row r="483">
          <cell r="B483">
            <v>4.9424999999999999</v>
          </cell>
          <cell r="D483">
            <v>5.3596000000000004</v>
          </cell>
          <cell r="H483">
            <v>2336</v>
          </cell>
          <cell r="J483">
            <v>20215</v>
          </cell>
          <cell r="L483">
            <v>2195</v>
          </cell>
          <cell r="N483">
            <v>1289</v>
          </cell>
        </row>
        <row r="484">
          <cell r="B484">
            <v>4.8971</v>
          </cell>
          <cell r="D484">
            <v>5.3186999999999998</v>
          </cell>
          <cell r="H484">
            <v>2328.5</v>
          </cell>
          <cell r="J484">
            <v>20525</v>
          </cell>
          <cell r="L484">
            <v>2190</v>
          </cell>
          <cell r="N484">
            <v>1282</v>
          </cell>
        </row>
        <row r="485">
          <cell r="B485">
            <v>4.8742000000000001</v>
          </cell>
          <cell r="D485">
            <v>5.2758000000000003</v>
          </cell>
          <cell r="H485">
            <v>2363</v>
          </cell>
          <cell r="J485">
            <v>20400</v>
          </cell>
          <cell r="L485">
            <v>2214</v>
          </cell>
          <cell r="N485">
            <v>1244</v>
          </cell>
        </row>
        <row r="486">
          <cell r="B486">
            <v>4.8765999999999998</v>
          </cell>
          <cell r="D486">
            <v>5.2594000000000003</v>
          </cell>
          <cell r="H486">
            <v>2375.5</v>
          </cell>
          <cell r="J486">
            <v>20900</v>
          </cell>
          <cell r="L486">
            <v>2178</v>
          </cell>
          <cell r="N486">
            <v>1233</v>
          </cell>
        </row>
        <row r="487">
          <cell r="B487">
            <v>4.8933</v>
          </cell>
          <cell r="D487">
            <v>5.2892000000000001</v>
          </cell>
        </row>
        <row r="488">
          <cell r="B488">
            <v>4.87</v>
          </cell>
          <cell r="D488">
            <v>5.2824999999999998</v>
          </cell>
          <cell r="H488">
            <v>2420</v>
          </cell>
          <cell r="J488">
            <v>20355</v>
          </cell>
          <cell r="L488">
            <v>2175</v>
          </cell>
          <cell r="N488">
            <v>1224</v>
          </cell>
        </row>
        <row r="489">
          <cell r="B489">
            <v>4.8647</v>
          </cell>
          <cell r="D489">
            <v>5.3136999999999999</v>
          </cell>
          <cell r="H489">
            <v>2425.5</v>
          </cell>
          <cell r="J489">
            <v>20235</v>
          </cell>
          <cell r="L489">
            <v>2221</v>
          </cell>
          <cell r="N489">
            <v>1237</v>
          </cell>
        </row>
        <row r="490">
          <cell r="B490">
            <v>4.9212999999999996</v>
          </cell>
          <cell r="D490">
            <v>5.3337000000000003</v>
          </cell>
          <cell r="H490">
            <v>2412.5</v>
          </cell>
          <cell r="J490">
            <v>20225</v>
          </cell>
          <cell r="L490">
            <v>2213.5</v>
          </cell>
          <cell r="N490">
            <v>1225</v>
          </cell>
        </row>
        <row r="491">
          <cell r="B491">
            <v>4.9311999999999996</v>
          </cell>
          <cell r="D491">
            <v>5.3173000000000004</v>
          </cell>
          <cell r="H491">
            <v>2457</v>
          </cell>
          <cell r="J491">
            <v>20475</v>
          </cell>
          <cell r="L491">
            <v>2306</v>
          </cell>
          <cell r="N491">
            <v>1227</v>
          </cell>
        </row>
        <row r="492">
          <cell r="B492">
            <v>4.9169999999999998</v>
          </cell>
          <cell r="D492">
            <v>5.3089000000000004</v>
          </cell>
          <cell r="H492">
            <v>2454.5</v>
          </cell>
          <cell r="J492">
            <v>20550</v>
          </cell>
          <cell r="L492">
            <v>2237.5</v>
          </cell>
          <cell r="N492">
            <v>1231</v>
          </cell>
        </row>
        <row r="493">
          <cell r="B493">
            <v>4.9699</v>
          </cell>
          <cell r="D493">
            <v>5.3301999999999996</v>
          </cell>
          <cell r="H493">
            <v>2455</v>
          </cell>
          <cell r="J493">
            <v>20800</v>
          </cell>
          <cell r="L493">
            <v>2273</v>
          </cell>
          <cell r="N493">
            <v>1205</v>
          </cell>
        </row>
        <row r="494">
          <cell r="B494">
            <v>4.9756</v>
          </cell>
          <cell r="D494">
            <v>5.3293999999999997</v>
          </cell>
          <cell r="H494">
            <v>2435</v>
          </cell>
          <cell r="J494">
            <v>20550</v>
          </cell>
          <cell r="L494">
            <v>2298</v>
          </cell>
          <cell r="N494">
            <v>1201</v>
          </cell>
        </row>
        <row r="495">
          <cell r="B495" t="str">
            <v>FERIADO</v>
          </cell>
          <cell r="D495" t="str">
            <v>FERIADO</v>
          </cell>
          <cell r="H495">
            <v>2428</v>
          </cell>
          <cell r="J495">
            <v>20130</v>
          </cell>
          <cell r="L495">
            <v>2285</v>
          </cell>
          <cell r="N495">
            <v>1207</v>
          </cell>
        </row>
        <row r="496">
          <cell r="B496">
            <v>4.9828999999999999</v>
          </cell>
          <cell r="D496">
            <v>5.3357000000000001</v>
          </cell>
          <cell r="H496">
            <v>2406</v>
          </cell>
          <cell r="J496">
            <v>19905</v>
          </cell>
          <cell r="L496">
            <v>2285</v>
          </cell>
        </row>
        <row r="497">
          <cell r="B497">
            <v>4.9359999999999999</v>
          </cell>
          <cell r="D497">
            <v>5.3026999999999997</v>
          </cell>
          <cell r="H497">
            <v>2437</v>
          </cell>
          <cell r="J497">
            <v>20050</v>
          </cell>
          <cell r="L497">
            <v>2312</v>
          </cell>
          <cell r="N497">
            <v>1215</v>
          </cell>
        </row>
        <row r="498">
          <cell r="B498">
            <v>4.9499000000000004</v>
          </cell>
          <cell r="D498">
            <v>5.3087999999999997</v>
          </cell>
          <cell r="H498">
            <v>2473.5</v>
          </cell>
          <cell r="J498">
            <v>19830</v>
          </cell>
          <cell r="L498">
            <v>2286</v>
          </cell>
          <cell r="N498">
            <v>1212</v>
          </cell>
        </row>
        <row r="499">
          <cell r="B499">
            <v>4.9165000000000001</v>
          </cell>
          <cell r="D499">
            <v>5.2778999999999998</v>
          </cell>
          <cell r="H499">
            <v>2453</v>
          </cell>
          <cell r="J499">
            <v>19485</v>
          </cell>
          <cell r="L499">
            <v>2258</v>
          </cell>
          <cell r="N499">
            <v>1234</v>
          </cell>
        </row>
        <row r="500">
          <cell r="B500">
            <v>4.8745000000000003</v>
          </cell>
          <cell r="D500">
            <v>5.1947999999999999</v>
          </cell>
          <cell r="H500">
            <v>2550.5</v>
          </cell>
          <cell r="J500">
            <v>20255</v>
          </cell>
          <cell r="L500">
            <v>2278</v>
          </cell>
          <cell r="N500">
            <v>1259</v>
          </cell>
        </row>
        <row r="501">
          <cell r="B501">
            <v>4.8682999999999996</v>
          </cell>
          <cell r="D501">
            <v>5.1954000000000002</v>
          </cell>
          <cell r="H501">
            <v>2532</v>
          </cell>
          <cell r="J501">
            <v>19950</v>
          </cell>
          <cell r="L501">
            <v>2280</v>
          </cell>
          <cell r="N501">
            <v>1270</v>
          </cell>
        </row>
        <row r="502">
          <cell r="B502">
            <v>4.8529</v>
          </cell>
          <cell r="D502">
            <v>5.1886999999999999</v>
          </cell>
          <cell r="H502">
            <v>2492</v>
          </cell>
          <cell r="J502">
            <v>19745</v>
          </cell>
          <cell r="L502">
            <v>2265.5</v>
          </cell>
          <cell r="N502">
            <v>1247</v>
          </cell>
        </row>
        <row r="503">
          <cell r="B503">
            <v>4.8569000000000004</v>
          </cell>
          <cell r="D503">
            <v>5.1877000000000004</v>
          </cell>
          <cell r="H503">
            <v>2476</v>
          </cell>
          <cell r="J503">
            <v>19360</v>
          </cell>
          <cell r="L503">
            <v>2235.5</v>
          </cell>
          <cell r="N503">
            <v>1272</v>
          </cell>
        </row>
        <row r="504">
          <cell r="B504">
            <v>4.8480999999999996</v>
          </cell>
          <cell r="D504">
            <v>5.1932999999999998</v>
          </cell>
          <cell r="H504">
            <v>2510.5</v>
          </cell>
          <cell r="J504">
            <v>19635</v>
          </cell>
          <cell r="L504">
            <v>2236.5</v>
          </cell>
          <cell r="N504">
            <v>1292</v>
          </cell>
        </row>
        <row r="505">
          <cell r="B505">
            <v>4.9222999999999999</v>
          </cell>
          <cell r="D505">
            <v>5.2477</v>
          </cell>
          <cell r="H505">
            <v>2473</v>
          </cell>
          <cell r="J505">
            <v>18955</v>
          </cell>
          <cell r="L505">
            <v>2203.5</v>
          </cell>
          <cell r="N505">
            <v>1292</v>
          </cell>
        </row>
        <row r="506">
          <cell r="B506">
            <v>4.9124999999999996</v>
          </cell>
          <cell r="D506">
            <v>5.2362000000000002</v>
          </cell>
          <cell r="H506">
            <v>2532</v>
          </cell>
          <cell r="J506">
            <v>19050</v>
          </cell>
          <cell r="L506">
            <v>2215.5</v>
          </cell>
          <cell r="N506">
            <v>1275</v>
          </cell>
        </row>
        <row r="507">
          <cell r="B507">
            <v>4.96</v>
          </cell>
          <cell r="D507">
            <v>5.2511999999999999</v>
          </cell>
          <cell r="H507">
            <v>2503</v>
          </cell>
          <cell r="J507">
            <v>18950</v>
          </cell>
          <cell r="L507">
            <v>2239</v>
          </cell>
          <cell r="N507">
            <v>1241</v>
          </cell>
        </row>
        <row r="508">
          <cell r="B508">
            <v>4.9710999999999999</v>
          </cell>
          <cell r="D508">
            <v>5.2549000000000001</v>
          </cell>
          <cell r="H508">
            <v>2507</v>
          </cell>
          <cell r="J508">
            <v>18675</v>
          </cell>
          <cell r="L508">
            <v>2222</v>
          </cell>
          <cell r="N508">
            <v>1213</v>
          </cell>
        </row>
        <row r="509">
          <cell r="B509">
            <v>5.0282999999999998</v>
          </cell>
          <cell r="D509">
            <v>5.2831999999999999</v>
          </cell>
          <cell r="H509">
            <v>2463</v>
          </cell>
          <cell r="J509">
            <v>18700</v>
          </cell>
          <cell r="L509">
            <v>2185</v>
          </cell>
          <cell r="N509">
            <v>1241</v>
          </cell>
        </row>
        <row r="510">
          <cell r="B510">
            <v>5.0468999999999999</v>
          </cell>
          <cell r="D510">
            <v>5.3376000000000001</v>
          </cell>
          <cell r="H510">
            <v>2559</v>
          </cell>
          <cell r="J510">
            <v>18650</v>
          </cell>
          <cell r="L510">
            <v>2179</v>
          </cell>
          <cell r="N510">
            <v>1245</v>
          </cell>
        </row>
        <row r="511">
          <cell r="B511">
            <v>5.0069999999999997</v>
          </cell>
          <cell r="D511">
            <v>5.2984</v>
          </cell>
          <cell r="H511">
            <v>2640</v>
          </cell>
          <cell r="J511">
            <v>18510</v>
          </cell>
          <cell r="L511">
            <v>2208</v>
          </cell>
          <cell r="N511">
            <v>1289</v>
          </cell>
        </row>
        <row r="512">
          <cell r="B512">
            <v>5.0673000000000004</v>
          </cell>
          <cell r="D512">
            <v>5.3190999999999997</v>
          </cell>
          <cell r="H512">
            <v>2601</v>
          </cell>
          <cell r="J512">
            <v>18510</v>
          </cell>
          <cell r="L512">
            <v>2195</v>
          </cell>
          <cell r="N512">
            <v>1214</v>
          </cell>
        </row>
        <row r="513">
          <cell r="B513">
            <v>5.1093999999999999</v>
          </cell>
          <cell r="D513">
            <v>5.3403</v>
          </cell>
          <cell r="H513">
            <v>2510.5</v>
          </cell>
          <cell r="J513">
            <v>18405</v>
          </cell>
          <cell r="L513">
            <v>2140</v>
          </cell>
          <cell r="N513">
            <v>1183</v>
          </cell>
        </row>
        <row r="514">
          <cell r="B514">
            <v>5.1520000000000001</v>
          </cell>
          <cell r="D514">
            <v>5.4173</v>
          </cell>
          <cell r="H514">
            <v>2500</v>
          </cell>
          <cell r="J514">
            <v>18600</v>
          </cell>
          <cell r="L514">
            <v>2149.5</v>
          </cell>
          <cell r="N514">
            <v>1177</v>
          </cell>
        </row>
        <row r="515">
          <cell r="B515">
            <v>5.1707000000000001</v>
          </cell>
          <cell r="D515">
            <v>5.4416000000000002</v>
          </cell>
          <cell r="H515">
            <v>2453</v>
          </cell>
          <cell r="J515">
            <v>18205</v>
          </cell>
          <cell r="L515">
            <v>2141</v>
          </cell>
          <cell r="N515">
            <v>1157</v>
          </cell>
        </row>
        <row r="516">
          <cell r="B516">
            <v>5.1912000000000003</v>
          </cell>
          <cell r="D516">
            <v>5.4989999999999997</v>
          </cell>
          <cell r="H516">
            <v>2472</v>
          </cell>
          <cell r="J516">
            <v>18280</v>
          </cell>
          <cell r="L516">
            <v>2206</v>
          </cell>
          <cell r="N516">
            <v>1146</v>
          </cell>
        </row>
        <row r="517">
          <cell r="B517">
            <v>5.1660000000000004</v>
          </cell>
          <cell r="D517">
            <v>5.4439000000000002</v>
          </cell>
          <cell r="H517">
            <v>2474</v>
          </cell>
          <cell r="J517">
            <v>18610</v>
          </cell>
          <cell r="L517">
            <v>2176</v>
          </cell>
          <cell r="N517">
            <v>1132</v>
          </cell>
        </row>
        <row r="518">
          <cell r="B518">
            <v>5.0856000000000003</v>
          </cell>
          <cell r="D518">
            <v>5.3989000000000003</v>
          </cell>
          <cell r="H518">
            <v>2436</v>
          </cell>
          <cell r="J518">
            <v>18260</v>
          </cell>
          <cell r="L518">
            <v>2125</v>
          </cell>
          <cell r="N518">
            <v>1129</v>
          </cell>
        </row>
        <row r="519">
          <cell r="B519">
            <v>5.0490000000000004</v>
          </cell>
          <cell r="D519">
            <v>5.3574999999999999</v>
          </cell>
          <cell r="H519">
            <v>2440</v>
          </cell>
          <cell r="J519">
            <v>18260</v>
          </cell>
          <cell r="L519">
            <v>2130</v>
          </cell>
          <cell r="N519">
            <v>1162</v>
          </cell>
        </row>
        <row r="520">
          <cell r="B520" t="str">
            <v>FERIADO</v>
          </cell>
          <cell r="D520" t="str">
            <v>FERIADO</v>
          </cell>
          <cell r="H520">
            <v>2445</v>
          </cell>
          <cell r="J520">
            <v>18435</v>
          </cell>
          <cell r="L520">
            <v>2103</v>
          </cell>
          <cell r="N520">
            <v>1164</v>
          </cell>
        </row>
        <row r="521">
          <cell r="H521">
            <v>2424</v>
          </cell>
          <cell r="J521">
            <v>18335</v>
          </cell>
          <cell r="L521">
            <v>2067</v>
          </cell>
          <cell r="N521">
            <v>1141</v>
          </cell>
        </row>
        <row r="522">
          <cell r="B522">
            <v>5.0612000000000004</v>
          </cell>
          <cell r="D522">
            <v>5.3360000000000003</v>
          </cell>
          <cell r="H522">
            <v>2434.5</v>
          </cell>
          <cell r="J522">
            <v>18460</v>
          </cell>
          <cell r="L522">
            <v>2095</v>
          </cell>
          <cell r="N522">
            <v>1135</v>
          </cell>
        </row>
        <row r="523">
          <cell r="B523">
            <v>5.0377999999999998</v>
          </cell>
          <cell r="D523">
            <v>5.335</v>
          </cell>
          <cell r="H523">
            <v>2337</v>
          </cell>
          <cell r="J523">
            <v>18160</v>
          </cell>
          <cell r="L523">
            <v>2085</v>
          </cell>
        </row>
        <row r="524">
          <cell r="B524">
            <v>5.0561999999999996</v>
          </cell>
          <cell r="D524">
            <v>5.3236999999999997</v>
          </cell>
          <cell r="H524">
            <v>2431</v>
          </cell>
          <cell r="J524">
            <v>18470</v>
          </cell>
          <cell r="L524">
            <v>2132</v>
          </cell>
          <cell r="N524">
            <v>1130</v>
          </cell>
        </row>
        <row r="525">
          <cell r="B525">
            <v>5.0533999999999999</v>
          </cell>
          <cell r="D525">
            <v>5.3399000000000001</v>
          </cell>
          <cell r="H525">
            <v>2408</v>
          </cell>
          <cell r="J525">
            <v>18285</v>
          </cell>
          <cell r="L525">
            <v>2117</v>
          </cell>
          <cell r="N525">
            <v>1107</v>
          </cell>
        </row>
        <row r="526">
          <cell r="B526">
            <v>5.0522</v>
          </cell>
          <cell r="D526">
            <v>5.3498000000000001</v>
          </cell>
          <cell r="H526">
            <v>2415.5</v>
          </cell>
          <cell r="J526">
            <v>18350</v>
          </cell>
          <cell r="L526">
            <v>2129</v>
          </cell>
          <cell r="N526">
            <v>1101</v>
          </cell>
        </row>
        <row r="527">
          <cell r="B527">
            <v>5.0157999999999996</v>
          </cell>
          <cell r="D527">
            <v>5.3383000000000003</v>
          </cell>
          <cell r="H527">
            <v>2404</v>
          </cell>
          <cell r="J527">
            <v>18135</v>
          </cell>
          <cell r="L527">
            <v>2171</v>
          </cell>
          <cell r="N527">
            <v>1113</v>
          </cell>
        </row>
        <row r="528">
          <cell r="B528">
            <v>5.0058999999999996</v>
          </cell>
          <cell r="D528">
            <v>5.3026999999999997</v>
          </cell>
          <cell r="H528">
            <v>2416.5</v>
          </cell>
          <cell r="J528">
            <v>17800</v>
          </cell>
          <cell r="L528">
            <v>2157</v>
          </cell>
          <cell r="N528">
            <v>1120</v>
          </cell>
        </row>
        <row r="529">
          <cell r="B529">
            <v>4.9974999999999996</v>
          </cell>
          <cell r="D529">
            <v>5.2878999999999996</v>
          </cell>
          <cell r="H529">
            <v>2458</v>
          </cell>
          <cell r="J529">
            <v>18150</v>
          </cell>
          <cell r="L529">
            <v>2134</v>
          </cell>
          <cell r="N529">
            <v>1136</v>
          </cell>
        </row>
        <row r="530">
          <cell r="B530">
            <v>5.0049000000000001</v>
          </cell>
          <cell r="D530">
            <v>5.2702</v>
          </cell>
          <cell r="H530">
            <v>2432</v>
          </cell>
          <cell r="J530">
            <v>17900</v>
          </cell>
          <cell r="L530">
            <v>2131</v>
          </cell>
          <cell r="N530">
            <v>1123</v>
          </cell>
        </row>
        <row r="531">
          <cell r="B531">
            <v>4.9474</v>
          </cell>
          <cell r="D531">
            <v>5.2388000000000003</v>
          </cell>
          <cell r="H531">
            <v>2445.5</v>
          </cell>
          <cell r="J531">
            <v>18000</v>
          </cell>
          <cell r="L531">
            <v>2141</v>
          </cell>
          <cell r="N531">
            <v>1139</v>
          </cell>
        </row>
        <row r="532">
          <cell r="B532">
            <v>5.0068000000000001</v>
          </cell>
          <cell r="D532">
            <v>5.3156999999999996</v>
          </cell>
          <cell r="H532">
            <v>2463.5</v>
          </cell>
          <cell r="J532">
            <v>18180</v>
          </cell>
          <cell r="L532">
            <v>2154.5</v>
          </cell>
          <cell r="N532">
            <v>1146</v>
          </cell>
        </row>
        <row r="533">
          <cell r="B533">
            <v>5.0568999999999997</v>
          </cell>
          <cell r="D533">
            <v>5.3430999999999997</v>
          </cell>
          <cell r="H533">
            <v>2432.5</v>
          </cell>
          <cell r="J533">
            <v>17825</v>
          </cell>
          <cell r="L533">
            <v>2110.5</v>
          </cell>
          <cell r="N533">
            <v>1136</v>
          </cell>
        </row>
        <row r="534">
          <cell r="B534">
            <v>5.0187999999999997</v>
          </cell>
          <cell r="D534">
            <v>5.2873000000000001</v>
          </cell>
          <cell r="F534">
            <v>8041</v>
          </cell>
          <cell r="H534">
            <v>2480</v>
          </cell>
          <cell r="J534">
            <v>17750</v>
          </cell>
          <cell r="L534">
            <v>2097</v>
          </cell>
          <cell r="N534">
            <v>1129</v>
          </cell>
        </row>
        <row r="535">
          <cell r="B535" t="str">
            <v>FERIADO</v>
          </cell>
          <cell r="D535" t="str">
            <v>FERIADO</v>
          </cell>
          <cell r="F535">
            <v>8066</v>
          </cell>
          <cell r="H535">
            <v>2513.5</v>
          </cell>
          <cell r="J535">
            <v>17785</v>
          </cell>
          <cell r="L535">
            <v>2100</v>
          </cell>
          <cell r="N535">
            <v>1117</v>
          </cell>
        </row>
        <row r="536">
          <cell r="B536">
            <v>4.8903999999999996</v>
          </cell>
          <cell r="D536">
            <v>5.2473999999999998</v>
          </cell>
          <cell r="F536">
            <v>8070.5</v>
          </cell>
          <cell r="H536">
            <v>2494</v>
          </cell>
          <cell r="J536">
            <v>17810</v>
          </cell>
          <cell r="L536">
            <v>2164</v>
          </cell>
          <cell r="N536">
            <v>1110</v>
          </cell>
        </row>
        <row r="537">
          <cell r="B537">
            <v>4.8993000000000002</v>
          </cell>
          <cell r="D537">
            <v>5.2628000000000004</v>
          </cell>
          <cell r="F537">
            <v>8136.5</v>
          </cell>
          <cell r="H537">
            <v>2559.5</v>
          </cell>
          <cell r="J537">
            <v>17865</v>
          </cell>
          <cell r="L537">
            <v>2166.5</v>
          </cell>
          <cell r="N537">
            <v>1123</v>
          </cell>
        </row>
        <row r="538">
          <cell r="B538">
            <v>4.8663999999999996</v>
          </cell>
          <cell r="D538">
            <v>5.1988000000000003</v>
          </cell>
          <cell r="F538">
            <v>8068</v>
          </cell>
          <cell r="H538">
            <v>2538</v>
          </cell>
          <cell r="J538">
            <v>17585</v>
          </cell>
          <cell r="L538">
            <v>2166</v>
          </cell>
          <cell r="N538">
            <v>1070</v>
          </cell>
        </row>
        <row r="539">
          <cell r="B539">
            <v>4.8849</v>
          </cell>
          <cell r="D539">
            <v>5.2287999999999997</v>
          </cell>
          <cell r="F539">
            <v>8088</v>
          </cell>
          <cell r="H539">
            <v>2604.5</v>
          </cell>
          <cell r="J539">
            <v>17865</v>
          </cell>
          <cell r="L539">
            <v>2201</v>
          </cell>
          <cell r="N539">
            <v>1016</v>
          </cell>
        </row>
        <row r="540">
          <cell r="B540">
            <v>4.9001000000000001</v>
          </cell>
          <cell r="D540">
            <v>5.2504999999999997</v>
          </cell>
          <cell r="F540">
            <v>8030.5</v>
          </cell>
          <cell r="H540">
            <v>2592</v>
          </cell>
          <cell r="J540">
            <v>17650</v>
          </cell>
          <cell r="L540">
            <v>2181.5</v>
          </cell>
          <cell r="N540">
            <v>1025</v>
          </cell>
        </row>
        <row r="541">
          <cell r="B541">
            <v>4.9212999999999996</v>
          </cell>
          <cell r="D541">
            <v>5.2504999999999997</v>
          </cell>
          <cell r="F541">
            <v>8006</v>
          </cell>
          <cell r="H541">
            <v>2584</v>
          </cell>
          <cell r="J541">
            <v>17170</v>
          </cell>
          <cell r="L541">
            <v>2190</v>
          </cell>
          <cell r="N541">
            <v>970</v>
          </cell>
        </row>
        <row r="542">
          <cell r="B542">
            <v>4.9240000000000004</v>
          </cell>
          <cell r="D542">
            <v>5.2628000000000004</v>
          </cell>
          <cell r="F542">
            <v>8014.5</v>
          </cell>
          <cell r="H542">
            <v>2538</v>
          </cell>
          <cell r="J542">
            <v>17000</v>
          </cell>
          <cell r="L542">
            <v>2176</v>
          </cell>
          <cell r="N542">
            <v>963</v>
          </cell>
        </row>
        <row r="543">
          <cell r="B543">
            <v>4.8676000000000004</v>
          </cell>
          <cell r="D543">
            <v>5.2744999999999997</v>
          </cell>
          <cell r="F543">
            <v>8081</v>
          </cell>
          <cell r="H543">
            <v>2539</v>
          </cell>
          <cell r="J543">
            <v>17005</v>
          </cell>
          <cell r="L543">
            <v>2159.5</v>
          </cell>
          <cell r="N543">
            <v>1000</v>
          </cell>
        </row>
        <row r="544">
          <cell r="F544">
            <v>8169</v>
          </cell>
          <cell r="H544">
            <v>2647</v>
          </cell>
          <cell r="J544">
            <v>17155</v>
          </cell>
          <cell r="L544">
            <v>2226.5</v>
          </cell>
          <cell r="N544">
            <v>1021</v>
          </cell>
        </row>
        <row r="545">
          <cell r="B545">
            <v>4.8569000000000004</v>
          </cell>
          <cell r="D545">
            <v>5.2828999999999997</v>
          </cell>
          <cell r="F545">
            <v>8165.5</v>
          </cell>
          <cell r="H545">
            <v>2573</v>
          </cell>
          <cell r="J545">
            <v>16960</v>
          </cell>
          <cell r="L545">
            <v>2268.5</v>
          </cell>
          <cell r="N545">
            <v>1031</v>
          </cell>
        </row>
        <row r="546">
          <cell r="B546">
            <v>4.8842999999999996</v>
          </cell>
          <cell r="D546">
            <v>5.3166000000000002</v>
          </cell>
          <cell r="F546">
            <v>8141</v>
          </cell>
          <cell r="H546">
            <v>2569</v>
          </cell>
          <cell r="J546">
            <v>16780</v>
          </cell>
          <cell r="L546">
            <v>2281</v>
          </cell>
          <cell r="N546">
            <v>1040</v>
          </cell>
        </row>
        <row r="547">
          <cell r="B547">
            <v>4.8716999999999997</v>
          </cell>
          <cell r="D547">
            <v>5.3287000000000004</v>
          </cell>
          <cell r="F547">
            <v>8247</v>
          </cell>
          <cell r="H547">
            <v>2563</v>
          </cell>
          <cell r="J547">
            <v>16635</v>
          </cell>
          <cell r="L547">
            <v>2285</v>
          </cell>
          <cell r="N547">
            <v>1073</v>
          </cell>
        </row>
        <row r="548">
          <cell r="B548">
            <v>4.88</v>
          </cell>
          <cell r="D548">
            <v>5.3357999999999999</v>
          </cell>
          <cell r="F548">
            <v>8324</v>
          </cell>
          <cell r="H548">
            <v>2537.5</v>
          </cell>
          <cell r="J548">
            <v>16560</v>
          </cell>
          <cell r="L548">
            <v>2265.5</v>
          </cell>
          <cell r="N548">
            <v>1075</v>
          </cell>
        </row>
        <row r="549">
          <cell r="B549">
            <v>4.8962000000000003</v>
          </cell>
          <cell r="D549">
            <v>5.3192000000000004</v>
          </cell>
          <cell r="F549">
            <v>8296</v>
          </cell>
          <cell r="H549">
            <v>2500</v>
          </cell>
          <cell r="J549">
            <v>16430</v>
          </cell>
          <cell r="L549">
            <v>2238.5</v>
          </cell>
          <cell r="N549">
            <v>1066</v>
          </cell>
        </row>
        <row r="550">
          <cell r="B550">
            <v>4.8925000000000001</v>
          </cell>
          <cell r="D550">
            <v>5.3367000000000004</v>
          </cell>
          <cell r="F550">
            <v>8307.5</v>
          </cell>
          <cell r="H550">
            <v>2522</v>
          </cell>
          <cell r="J550">
            <v>16280</v>
          </cell>
          <cell r="L550">
            <v>2203.5</v>
          </cell>
          <cell r="N550">
            <v>1057</v>
          </cell>
        </row>
        <row r="551">
          <cell r="B551">
            <v>4.8921000000000001</v>
          </cell>
          <cell r="D551">
            <v>5.351</v>
          </cell>
          <cell r="F551">
            <v>8300</v>
          </cell>
          <cell r="H551">
            <v>2544.5</v>
          </cell>
          <cell r="J551">
            <v>15935</v>
          </cell>
          <cell r="L551">
            <v>2189</v>
          </cell>
          <cell r="N551">
            <v>1048</v>
          </cell>
        </row>
        <row r="552">
          <cell r="B552">
            <v>4.8944999999999999</v>
          </cell>
          <cell r="D552">
            <v>5.3502000000000001</v>
          </cell>
          <cell r="F552">
            <v>8281</v>
          </cell>
          <cell r="H552">
            <v>2548.5</v>
          </cell>
          <cell r="J552">
            <v>15885</v>
          </cell>
          <cell r="L552">
            <v>2154.5</v>
          </cell>
          <cell r="N552">
            <v>1064</v>
          </cell>
        </row>
        <row r="553">
          <cell r="B553">
            <v>4.8860999999999999</v>
          </cell>
          <cell r="D553">
            <v>5.3643999999999998</v>
          </cell>
          <cell r="F553">
            <v>8278</v>
          </cell>
          <cell r="H553">
            <v>2530</v>
          </cell>
          <cell r="J553">
            <v>16455</v>
          </cell>
          <cell r="L553">
            <v>2128</v>
          </cell>
          <cell r="N553">
            <v>1059</v>
          </cell>
        </row>
        <row r="554">
          <cell r="B554">
            <v>4.8926999999999996</v>
          </cell>
          <cell r="D554">
            <v>5.3688000000000002</v>
          </cell>
          <cell r="F554">
            <v>8384</v>
          </cell>
          <cell r="H554">
            <v>2508</v>
          </cell>
          <cell r="J554">
            <v>16660</v>
          </cell>
          <cell r="L554">
            <v>2118</v>
          </cell>
          <cell r="N554">
            <v>1024</v>
          </cell>
        </row>
        <row r="555">
          <cell r="B555">
            <v>4.9348999999999998</v>
          </cell>
          <cell r="D555">
            <v>5.383</v>
          </cell>
          <cell r="F555">
            <v>8332</v>
          </cell>
          <cell r="H555">
            <v>2478</v>
          </cell>
          <cell r="J555">
            <v>16335</v>
          </cell>
          <cell r="L555">
            <v>2112</v>
          </cell>
          <cell r="N555">
            <v>1025</v>
          </cell>
        </row>
        <row r="556">
          <cell r="B556">
            <v>4.9184999999999999</v>
          </cell>
          <cell r="D556">
            <v>5.3296999999999999</v>
          </cell>
          <cell r="F556">
            <v>8456</v>
          </cell>
          <cell r="H556">
            <v>2465.5</v>
          </cell>
          <cell r="J556">
            <v>16655</v>
          </cell>
          <cell r="L556">
            <v>2099</v>
          </cell>
          <cell r="N556">
            <v>1015</v>
          </cell>
        </row>
        <row r="557">
          <cell r="B557">
            <v>4.9085000000000001</v>
          </cell>
          <cell r="D557">
            <v>5.3075999999999999</v>
          </cell>
          <cell r="F557">
            <v>8417</v>
          </cell>
          <cell r="H557">
            <v>2471</v>
          </cell>
          <cell r="J557">
            <v>16350</v>
          </cell>
          <cell r="L557">
            <v>2088</v>
          </cell>
          <cell r="N557">
            <v>985</v>
          </cell>
        </row>
        <row r="558">
          <cell r="B558">
            <v>4.9516</v>
          </cell>
          <cell r="D558">
            <v>5.3497000000000003</v>
          </cell>
          <cell r="F558">
            <v>8259</v>
          </cell>
          <cell r="H558">
            <v>2421</v>
          </cell>
          <cell r="J558">
            <v>16060</v>
          </cell>
          <cell r="L558">
            <v>2038</v>
          </cell>
          <cell r="N558">
            <v>975</v>
          </cell>
        </row>
        <row r="559">
          <cell r="B559">
            <v>4.9024999999999999</v>
          </cell>
          <cell r="D559">
            <v>5.2892999999999999</v>
          </cell>
          <cell r="F559">
            <v>8297</v>
          </cell>
          <cell r="H559">
            <v>2432</v>
          </cell>
          <cell r="J559">
            <v>16250</v>
          </cell>
          <cell r="L559">
            <v>2007</v>
          </cell>
          <cell r="N559">
            <v>944</v>
          </cell>
        </row>
        <row r="560">
          <cell r="B560">
            <v>4.8943000000000003</v>
          </cell>
          <cell r="D560">
            <v>5.2770000000000001</v>
          </cell>
          <cell r="F560">
            <v>8221</v>
          </cell>
          <cell r="H560">
            <v>2411.5</v>
          </cell>
          <cell r="J560">
            <v>16000</v>
          </cell>
          <cell r="L560">
            <v>1998</v>
          </cell>
          <cell r="N560">
            <v>952</v>
          </cell>
        </row>
        <row r="561">
          <cell r="B561">
            <v>4.9151999999999996</v>
          </cell>
          <cell r="D561">
            <v>5.2931999999999997</v>
          </cell>
          <cell r="F561">
            <v>8348</v>
          </cell>
          <cell r="H561">
            <v>2409</v>
          </cell>
          <cell r="J561">
            <v>16605</v>
          </cell>
          <cell r="L561">
            <v>1995</v>
          </cell>
          <cell r="N561">
            <v>978</v>
          </cell>
        </row>
        <row r="562">
          <cell r="B562">
            <v>4.9433999999999996</v>
          </cell>
          <cell r="D562">
            <v>5.3102</v>
          </cell>
          <cell r="F562">
            <v>8275.5</v>
          </cell>
          <cell r="H562">
            <v>2374.5</v>
          </cell>
          <cell r="J562">
            <v>16305</v>
          </cell>
          <cell r="L562">
            <v>1985</v>
          </cell>
          <cell r="N562">
            <v>941</v>
          </cell>
        </row>
        <row r="563">
          <cell r="B563">
            <v>4.9470000000000001</v>
          </cell>
          <cell r="D563">
            <v>5.3343999999999996</v>
          </cell>
          <cell r="F563">
            <v>8272</v>
          </cell>
          <cell r="H563">
            <v>2437</v>
          </cell>
          <cell r="J563">
            <v>16265</v>
          </cell>
          <cell r="L563">
            <v>2044</v>
          </cell>
          <cell r="N563">
            <v>972</v>
          </cell>
        </row>
        <row r="564">
          <cell r="B564">
            <v>4.9573</v>
          </cell>
          <cell r="D564">
            <v>5.3498999999999999</v>
          </cell>
          <cell r="F564">
            <v>8205</v>
          </cell>
          <cell r="H564">
            <v>2417</v>
          </cell>
          <cell r="J564">
            <v>16100</v>
          </cell>
          <cell r="L564">
            <v>2011.5</v>
          </cell>
          <cell r="N564">
            <v>976</v>
          </cell>
        </row>
        <row r="565">
          <cell r="B565">
            <v>4.8906000000000001</v>
          </cell>
          <cell r="D565">
            <v>5.3753000000000002</v>
          </cell>
          <cell r="F565">
            <v>8461.5</v>
          </cell>
          <cell r="H565">
            <v>2507</v>
          </cell>
          <cell r="J565">
            <v>16500</v>
          </cell>
          <cell r="L565">
            <v>2034.5</v>
          </cell>
          <cell r="N565">
            <v>1021</v>
          </cell>
        </row>
        <row r="566">
          <cell r="B566">
            <v>4.9390999999999998</v>
          </cell>
          <cell r="D566">
            <v>5.3905000000000003</v>
          </cell>
          <cell r="F566">
            <v>8471</v>
          </cell>
          <cell r="H566">
            <v>2524</v>
          </cell>
          <cell r="J566">
            <v>16740</v>
          </cell>
          <cell r="L566">
            <v>2055.5</v>
          </cell>
          <cell r="N566">
            <v>1138</v>
          </cell>
        </row>
        <row r="567">
          <cell r="B567">
            <v>4.9393000000000002</v>
          </cell>
          <cell r="D567">
            <v>5.3907999999999996</v>
          </cell>
          <cell r="F567">
            <v>8423</v>
          </cell>
          <cell r="H567">
            <v>2549.5</v>
          </cell>
          <cell r="J567">
            <v>16650</v>
          </cell>
          <cell r="L567">
            <v>2052</v>
          </cell>
          <cell r="N567">
            <v>1178</v>
          </cell>
        </row>
        <row r="568">
          <cell r="B568">
            <v>4.8657000000000004</v>
          </cell>
          <cell r="D568">
            <v>5.3440000000000003</v>
          </cell>
          <cell r="F568">
            <v>8439</v>
          </cell>
          <cell r="H568">
            <v>2556.5</v>
          </cell>
          <cell r="J568">
            <v>16460</v>
          </cell>
          <cell r="L568">
            <v>2021.5</v>
          </cell>
          <cell r="N568">
            <v>1186</v>
          </cell>
        </row>
        <row r="569">
          <cell r="B569">
            <v>4.8760000000000003</v>
          </cell>
          <cell r="D569">
            <v>5.3503999999999996</v>
          </cell>
          <cell r="F569">
            <v>8466.5</v>
          </cell>
          <cell r="H569">
            <v>2561.5</v>
          </cell>
          <cell r="J569">
            <v>16335</v>
          </cell>
          <cell r="L569">
            <v>2045</v>
          </cell>
          <cell r="N569">
            <v>1200</v>
          </cell>
        </row>
        <row r="570">
          <cell r="B570">
            <v>4.8749000000000002</v>
          </cell>
          <cell r="D570">
            <v>5.3570000000000002</v>
          </cell>
          <cell r="F570">
            <v>8460</v>
          </cell>
          <cell r="H570">
            <v>2553.5</v>
          </cell>
          <cell r="J570">
            <v>16670</v>
          </cell>
          <cell r="L570">
            <v>2046.5</v>
          </cell>
          <cell r="N570">
            <v>1204</v>
          </cell>
        </row>
        <row r="571">
          <cell r="B571">
            <v>4.8613</v>
          </cell>
          <cell r="D571">
            <v>5.3522999999999996</v>
          </cell>
          <cell r="F571">
            <v>8499</v>
          </cell>
          <cell r="H571">
            <v>2576</v>
          </cell>
          <cell r="J571">
            <v>16360</v>
          </cell>
          <cell r="L571">
            <v>2040</v>
          </cell>
          <cell r="N571">
            <v>1210</v>
          </cell>
        </row>
        <row r="572">
          <cell r="B572">
            <v>4.83</v>
          </cell>
          <cell r="D572">
            <v>5.3642000000000003</v>
          </cell>
          <cell r="F572">
            <v>8511.5</v>
          </cell>
          <cell r="H572">
            <v>2605.5</v>
          </cell>
          <cell r="J572">
            <v>16355</v>
          </cell>
          <cell r="L572">
            <v>2046</v>
          </cell>
          <cell r="N572">
            <v>1158</v>
          </cell>
        </row>
        <row r="573">
          <cell r="B573">
            <v>4.8407</v>
          </cell>
          <cell r="D573">
            <v>5.3756000000000004</v>
          </cell>
          <cell r="F573">
            <v>8530</v>
          </cell>
          <cell r="H573">
            <v>2620</v>
          </cell>
          <cell r="J573">
            <v>16405</v>
          </cell>
          <cell r="L573">
            <v>2054</v>
          </cell>
          <cell r="N573">
            <v>1158</v>
          </cell>
        </row>
        <row r="574">
          <cell r="B574">
            <v>4.8407</v>
          </cell>
          <cell r="D574">
            <v>5.3490000000000002</v>
          </cell>
          <cell r="F574">
            <v>8476</v>
          </cell>
          <cell r="H574">
            <v>2640.5</v>
          </cell>
          <cell r="J574">
            <v>16300</v>
          </cell>
          <cell r="L574">
            <v>2031</v>
          </cell>
          <cell r="N574">
            <v>1098</v>
          </cell>
        </row>
        <row r="575">
          <cell r="B575">
            <v>4.8413000000000004</v>
          </cell>
          <cell r="D575">
            <v>5.3514999999999997</v>
          </cell>
          <cell r="F575">
            <v>8430</v>
          </cell>
          <cell r="H575">
            <v>2607</v>
          </cell>
          <cell r="J575">
            <v>16600</v>
          </cell>
          <cell r="L575">
            <v>2033</v>
          </cell>
          <cell r="N575">
            <v>1088</v>
          </cell>
        </row>
        <row r="576">
          <cell r="B576">
            <v>4.8916000000000004</v>
          </cell>
          <cell r="D576">
            <v>5.3648999999999996</v>
          </cell>
          <cell r="F576">
            <v>8381</v>
          </cell>
          <cell r="H576">
            <v>2573</v>
          </cell>
          <cell r="J576">
            <v>16210</v>
          </cell>
          <cell r="L576">
            <v>2025</v>
          </cell>
          <cell r="N576">
            <v>1067</v>
          </cell>
        </row>
        <row r="577">
          <cell r="B577">
            <v>4.9211999999999998</v>
          </cell>
          <cell r="D577">
            <v>5.3874000000000004</v>
          </cell>
          <cell r="F577">
            <v>8375</v>
          </cell>
          <cell r="H577">
            <v>2531</v>
          </cell>
          <cell r="J577">
            <v>16025</v>
          </cell>
          <cell r="L577">
            <v>2012</v>
          </cell>
          <cell r="N577">
            <v>1040</v>
          </cell>
        </row>
        <row r="578">
          <cell r="B578">
            <v>4.9188000000000001</v>
          </cell>
          <cell r="D578">
            <v>5.3665000000000003</v>
          </cell>
          <cell r="F578">
            <v>8346.5</v>
          </cell>
          <cell r="H578">
            <v>2514</v>
          </cell>
          <cell r="J578">
            <v>15705</v>
          </cell>
          <cell r="L578">
            <v>2024</v>
          </cell>
          <cell r="N578">
            <v>1026</v>
          </cell>
        </row>
        <row r="579">
          <cell r="B579">
            <v>4.8844000000000003</v>
          </cell>
          <cell r="D579">
            <v>5.3577000000000004</v>
          </cell>
          <cell r="F579">
            <v>8295</v>
          </cell>
          <cell r="H579">
            <v>2486</v>
          </cell>
          <cell r="J579">
            <v>15930</v>
          </cell>
          <cell r="L579">
            <v>2030</v>
          </cell>
          <cell r="N579">
            <v>1028.55</v>
          </cell>
        </row>
        <row r="580">
          <cell r="B580">
            <v>4.8849999999999998</v>
          </cell>
          <cell r="D580">
            <v>5.3422999999999998</v>
          </cell>
          <cell r="F580">
            <v>8301.5</v>
          </cell>
          <cell r="H580">
            <v>2503</v>
          </cell>
          <cell r="J580">
            <v>16150</v>
          </cell>
          <cell r="L580">
            <v>2033</v>
          </cell>
          <cell r="N580">
            <v>987</v>
          </cell>
        </row>
        <row r="581">
          <cell r="B581">
            <v>4.8936999999999999</v>
          </cell>
          <cell r="D581">
            <v>5.3617999999999997</v>
          </cell>
          <cell r="F581">
            <v>8285</v>
          </cell>
          <cell r="H581">
            <v>2491</v>
          </cell>
          <cell r="J581">
            <v>15980</v>
          </cell>
          <cell r="L581">
            <v>2050.5</v>
          </cell>
          <cell r="N581">
            <v>1015.33</v>
          </cell>
        </row>
        <row r="582">
          <cell r="B582">
            <v>4.8901000000000003</v>
          </cell>
          <cell r="D582">
            <v>5.3398000000000003</v>
          </cell>
          <cell r="F582">
            <v>8332</v>
          </cell>
          <cell r="H582">
            <v>2508</v>
          </cell>
          <cell r="J582">
            <v>16250</v>
          </cell>
          <cell r="L582">
            <v>2095</v>
          </cell>
          <cell r="N582">
            <v>992.45</v>
          </cell>
        </row>
        <row r="583">
          <cell r="B583">
            <v>4.8794000000000004</v>
          </cell>
          <cell r="D583">
            <v>5.3216000000000001</v>
          </cell>
          <cell r="F583">
            <v>8289</v>
          </cell>
          <cell r="H583">
            <v>2480</v>
          </cell>
          <cell r="J583">
            <v>16075</v>
          </cell>
          <cell r="L583">
            <v>2058</v>
          </cell>
          <cell r="N583">
            <v>974.46</v>
          </cell>
        </row>
        <row r="584">
          <cell r="B584">
            <v>4.8543000000000003</v>
          </cell>
          <cell r="D584">
            <v>5.3380999999999998</v>
          </cell>
          <cell r="F584">
            <v>8238.5</v>
          </cell>
          <cell r="H584">
            <v>2535</v>
          </cell>
          <cell r="J584">
            <v>16200</v>
          </cell>
          <cell r="L584">
            <v>2078</v>
          </cell>
          <cell r="N584">
            <v>968</v>
          </cell>
        </row>
        <row r="585">
          <cell r="B585">
            <v>4.8765000000000001</v>
          </cell>
          <cell r="D585">
            <v>5.3346999999999998</v>
          </cell>
          <cell r="F585">
            <v>8280</v>
          </cell>
          <cell r="H585">
            <v>2518.5</v>
          </cell>
          <cell r="J585">
            <v>15880</v>
          </cell>
          <cell r="L585">
            <v>2086</v>
          </cell>
          <cell r="N585">
            <v>938</v>
          </cell>
        </row>
        <row r="586">
          <cell r="B586">
            <v>4.9038000000000004</v>
          </cell>
          <cell r="D586">
            <v>5.3518999999999997</v>
          </cell>
          <cell r="F586">
            <v>8229.5</v>
          </cell>
          <cell r="H586">
            <v>2486</v>
          </cell>
          <cell r="J586">
            <v>15755</v>
          </cell>
          <cell r="L586">
            <v>2032</v>
          </cell>
          <cell r="N586">
            <v>927</v>
          </cell>
        </row>
        <row r="587">
          <cell r="B587">
            <v>4.9345999999999997</v>
          </cell>
          <cell r="D587">
            <v>5.3596000000000004</v>
          </cell>
          <cell r="F587">
            <v>8188</v>
          </cell>
          <cell r="H587">
            <v>2440</v>
          </cell>
          <cell r="J587">
            <v>15860</v>
          </cell>
          <cell r="L587">
            <v>2029</v>
          </cell>
          <cell r="N587">
            <v>937</v>
          </cell>
        </row>
        <row r="588">
          <cell r="B588">
            <v>4.9402999999999997</v>
          </cell>
          <cell r="D588">
            <v>5.3558000000000003</v>
          </cell>
          <cell r="F588">
            <v>8270</v>
          </cell>
          <cell r="H588">
            <v>2458.5</v>
          </cell>
          <cell r="J588">
            <v>15930</v>
          </cell>
          <cell r="L588">
            <v>2075</v>
          </cell>
          <cell r="N588">
            <v>942</v>
          </cell>
        </row>
        <row r="589">
          <cell r="B589">
            <v>4.9222999999999999</v>
          </cell>
          <cell r="D589">
            <v>5.3863000000000003</v>
          </cell>
          <cell r="F589">
            <v>8254.5</v>
          </cell>
          <cell r="H589">
            <v>2438.5</v>
          </cell>
          <cell r="J589">
            <v>15785</v>
          </cell>
          <cell r="L589">
            <v>2087</v>
          </cell>
          <cell r="N589">
            <v>939.58</v>
          </cell>
        </row>
        <row r="590">
          <cell r="B590">
            <v>4.9489999999999998</v>
          </cell>
          <cell r="D590">
            <v>5.3834999999999997</v>
          </cell>
          <cell r="F590">
            <v>8283.5</v>
          </cell>
          <cell r="H590">
            <v>2496</v>
          </cell>
          <cell r="J590">
            <v>16010</v>
          </cell>
          <cell r="L590">
            <v>2162</v>
          </cell>
          <cell r="N590">
            <v>944.60799999999995</v>
          </cell>
        </row>
        <row r="591">
          <cell r="B591">
            <v>4.9714999999999998</v>
          </cell>
          <cell r="D591">
            <v>5.3608000000000002</v>
          </cell>
          <cell r="F591">
            <v>8458</v>
          </cell>
          <cell r="H591">
            <v>2563.5</v>
          </cell>
          <cell r="J591">
            <v>16225</v>
          </cell>
          <cell r="L591">
            <v>2174.5</v>
          </cell>
          <cell r="N591">
            <v>971</v>
          </cell>
        </row>
        <row r="592">
          <cell r="B592">
            <v>4.9192</v>
          </cell>
          <cell r="D592">
            <v>5.3316999999999997</v>
          </cell>
          <cell r="F592">
            <v>8485</v>
          </cell>
          <cell r="H592">
            <v>2593</v>
          </cell>
          <cell r="J592">
            <v>16355</v>
          </cell>
          <cell r="L592">
            <v>2167</v>
          </cell>
          <cell r="N592">
            <v>955</v>
          </cell>
        </row>
        <row r="593">
          <cell r="B593">
            <v>4.9231999999999996</v>
          </cell>
          <cell r="D593">
            <v>5.3362999999999996</v>
          </cell>
          <cell r="F593">
            <v>8445</v>
          </cell>
          <cell r="H593">
            <v>2581.5</v>
          </cell>
          <cell r="J593">
            <v>16530</v>
          </cell>
          <cell r="L593">
            <v>2147</v>
          </cell>
          <cell r="N593">
            <v>946</v>
          </cell>
        </row>
        <row r="594">
          <cell r="B594">
            <v>4.9124999999999996</v>
          </cell>
          <cell r="D594">
            <v>5.3136999999999999</v>
          </cell>
          <cell r="F594">
            <v>8420.5</v>
          </cell>
          <cell r="H594">
            <v>2564</v>
          </cell>
          <cell r="J594">
            <v>16280</v>
          </cell>
          <cell r="L594">
            <v>2179</v>
          </cell>
          <cell r="N594">
            <v>975</v>
          </cell>
        </row>
        <row r="595">
          <cell r="B595">
            <v>4.9225000000000003</v>
          </cell>
          <cell r="D595">
            <v>5.3776000000000002</v>
          </cell>
          <cell r="F595">
            <v>8461</v>
          </cell>
          <cell r="H595">
            <v>2545</v>
          </cell>
          <cell r="J595">
            <v>16100</v>
          </cell>
          <cell r="L595">
            <v>2164</v>
          </cell>
          <cell r="N595">
            <v>980</v>
          </cell>
        </row>
        <row r="596">
          <cell r="B596">
            <v>4.9638</v>
          </cell>
          <cell r="D596">
            <v>5.3792999999999997</v>
          </cell>
          <cell r="F596">
            <v>8512.5</v>
          </cell>
          <cell r="H596">
            <v>2551</v>
          </cell>
          <cell r="J596">
            <v>16060</v>
          </cell>
          <cell r="L596">
            <v>2172.5</v>
          </cell>
          <cell r="N596">
            <v>972</v>
          </cell>
        </row>
        <row r="597">
          <cell r="B597">
            <v>4.9344000000000001</v>
          </cell>
          <cell r="D597">
            <v>5.3414999999999999</v>
          </cell>
          <cell r="F597">
            <v>8437</v>
          </cell>
          <cell r="H597">
            <v>2478</v>
          </cell>
          <cell r="J597">
            <v>15985</v>
          </cell>
          <cell r="L597">
            <v>2162</v>
          </cell>
          <cell r="N597">
            <v>952</v>
          </cell>
        </row>
        <row r="598">
          <cell r="B598">
            <v>4.9465000000000003</v>
          </cell>
          <cell r="D598">
            <v>5.3426999999999998</v>
          </cell>
          <cell r="F598">
            <v>8400</v>
          </cell>
          <cell r="H598">
            <v>2463</v>
          </cell>
          <cell r="J598">
            <v>16125</v>
          </cell>
          <cell r="L598">
            <v>2145.5</v>
          </cell>
          <cell r="N598">
            <v>954</v>
          </cell>
        </row>
        <row r="599">
          <cell r="B599">
            <v>5.0046999999999997</v>
          </cell>
          <cell r="D599">
            <v>5.3674999999999997</v>
          </cell>
          <cell r="F599">
            <v>8329</v>
          </cell>
          <cell r="H599">
            <v>2419</v>
          </cell>
          <cell r="J599">
            <v>15805</v>
          </cell>
          <cell r="L599">
            <v>2132</v>
          </cell>
          <cell r="N599">
            <v>945</v>
          </cell>
        </row>
        <row r="600">
          <cell r="B600">
            <v>4.9680999999999997</v>
          </cell>
          <cell r="D600">
            <v>5.3361999999999998</v>
          </cell>
          <cell r="F600">
            <v>8280</v>
          </cell>
          <cell r="H600">
            <v>2417</v>
          </cell>
          <cell r="J600">
            <v>15620</v>
          </cell>
          <cell r="L600">
            <v>2119</v>
          </cell>
          <cell r="N600">
            <v>951</v>
          </cell>
        </row>
        <row r="601">
          <cell r="B601">
            <v>4.9602000000000004</v>
          </cell>
          <cell r="D601">
            <v>5.3352000000000004</v>
          </cell>
          <cell r="H601">
            <v>2401</v>
          </cell>
          <cell r="J601">
            <v>15680</v>
          </cell>
          <cell r="L601">
            <v>2119</v>
          </cell>
          <cell r="N601">
            <v>951</v>
          </cell>
        </row>
        <row r="602">
          <cell r="B602">
            <v>4.9798</v>
          </cell>
          <cell r="D602">
            <v>5.3578000000000001</v>
          </cell>
          <cell r="F602">
            <v>8202</v>
          </cell>
          <cell r="H602">
            <v>2374</v>
          </cell>
          <cell r="J602">
            <v>15755</v>
          </cell>
          <cell r="L602">
            <v>2099</v>
          </cell>
          <cell r="N602">
            <v>881</v>
          </cell>
        </row>
        <row r="603">
          <cell r="B603">
            <v>4.9710999999999999</v>
          </cell>
          <cell r="D603">
            <v>5.3608000000000002</v>
          </cell>
          <cell r="F603">
            <v>8091.5</v>
          </cell>
          <cell r="H603">
            <v>2322</v>
          </cell>
          <cell r="J603">
            <v>15725</v>
          </cell>
          <cell r="L603">
            <v>2050</v>
          </cell>
          <cell r="N603">
            <v>875</v>
          </cell>
        </row>
        <row r="604">
          <cell r="B604" t="str">
            <v>FERIADO</v>
          </cell>
          <cell r="D604" t="str">
            <v>FERIADO</v>
          </cell>
          <cell r="H604">
            <v>2295</v>
          </cell>
          <cell r="J604">
            <v>15755</v>
          </cell>
          <cell r="L604">
            <v>2053</v>
          </cell>
          <cell r="N604">
            <v>875</v>
          </cell>
        </row>
        <row r="605">
          <cell r="B605" t="str">
            <v>FERIADO</v>
          </cell>
          <cell r="D605" t="str">
            <v>FERIADO</v>
          </cell>
          <cell r="F605">
            <v>8185</v>
          </cell>
          <cell r="H605">
            <v>2297</v>
          </cell>
          <cell r="J605">
            <v>15950</v>
          </cell>
          <cell r="L605">
            <v>2017</v>
          </cell>
          <cell r="N605">
            <v>876</v>
          </cell>
        </row>
        <row r="606">
          <cell r="B606">
            <v>4.9717000000000002</v>
          </cell>
          <cell r="D606">
            <v>5.3331</v>
          </cell>
          <cell r="F606">
            <v>8133.5</v>
          </cell>
          <cell r="H606">
            <v>2285.5</v>
          </cell>
          <cell r="J606">
            <v>16115</v>
          </cell>
          <cell r="L606">
            <v>2023</v>
          </cell>
          <cell r="N606">
            <v>900</v>
          </cell>
        </row>
        <row r="607">
          <cell r="B607">
            <v>4.9703999999999997</v>
          </cell>
          <cell r="D607">
            <v>5.3486000000000002</v>
          </cell>
          <cell r="F607">
            <v>8153</v>
          </cell>
          <cell r="H607">
            <v>2321.5</v>
          </cell>
          <cell r="J607">
            <v>16240</v>
          </cell>
          <cell r="L607">
            <v>2057</v>
          </cell>
          <cell r="N607">
            <v>962</v>
          </cell>
        </row>
        <row r="608">
          <cell r="B608">
            <v>4.9755000000000003</v>
          </cell>
          <cell r="D608">
            <v>5.3581000000000003</v>
          </cell>
          <cell r="F608">
            <v>8322</v>
          </cell>
          <cell r="H608">
            <v>2342</v>
          </cell>
          <cell r="J608">
            <v>16090</v>
          </cell>
          <cell r="L608">
            <v>2062</v>
          </cell>
          <cell r="N608">
            <v>945</v>
          </cell>
        </row>
        <row r="609">
          <cell r="B609">
            <v>4.9579000000000004</v>
          </cell>
          <cell r="D609">
            <v>5.3372000000000002</v>
          </cell>
          <cell r="F609">
            <v>8364.5</v>
          </cell>
          <cell r="H609">
            <v>2343</v>
          </cell>
          <cell r="J609">
            <v>16175</v>
          </cell>
          <cell r="L609">
            <v>2044.5</v>
          </cell>
          <cell r="N609">
            <v>956</v>
          </cell>
        </row>
        <row r="610">
          <cell r="B610">
            <v>4.9401999999999999</v>
          </cell>
          <cell r="D610">
            <v>5.3463000000000003</v>
          </cell>
          <cell r="F610">
            <v>8366.5</v>
          </cell>
          <cell r="H610">
            <v>2327</v>
          </cell>
          <cell r="J610">
            <v>16135</v>
          </cell>
          <cell r="L610">
            <v>2041</v>
          </cell>
          <cell r="N610">
            <v>984</v>
          </cell>
        </row>
        <row r="611">
          <cell r="B611">
            <v>4.9297000000000004</v>
          </cell>
          <cell r="D611">
            <v>5.3255999999999997</v>
          </cell>
          <cell r="F611">
            <v>8472</v>
          </cell>
          <cell r="H611">
            <v>2360</v>
          </cell>
          <cell r="J611">
            <v>16505</v>
          </cell>
          <cell r="L611">
            <v>2082</v>
          </cell>
          <cell r="N611">
            <v>973</v>
          </cell>
        </row>
        <row r="612">
          <cell r="B612">
            <v>4.9713000000000003</v>
          </cell>
          <cell r="D612">
            <v>5.3406000000000002</v>
          </cell>
          <cell r="F612">
            <v>8482</v>
          </cell>
          <cell r="H612">
            <v>2358</v>
          </cell>
          <cell r="J612">
            <v>16985</v>
          </cell>
          <cell r="L612">
            <v>2085</v>
          </cell>
          <cell r="N612">
            <v>951</v>
          </cell>
        </row>
        <row r="613">
          <cell r="B613">
            <v>4.9844999999999997</v>
          </cell>
          <cell r="D613">
            <v>5.3952</v>
          </cell>
          <cell r="H613">
            <v>2348.5</v>
          </cell>
          <cell r="J613">
            <v>17180</v>
          </cell>
          <cell r="L613">
            <v>2097</v>
          </cell>
          <cell r="N613">
            <v>951</v>
          </cell>
        </row>
        <row r="614">
          <cell r="B614">
            <v>4.9813000000000001</v>
          </cell>
          <cell r="D614">
            <v>5.4051999999999998</v>
          </cell>
          <cell r="F614">
            <v>8373</v>
          </cell>
          <cell r="H614">
            <v>2380</v>
          </cell>
          <cell r="J614">
            <v>16985</v>
          </cell>
          <cell r="L614">
            <v>2111</v>
          </cell>
          <cell r="N614">
            <v>962</v>
          </cell>
        </row>
        <row r="615">
          <cell r="B615">
            <v>4.9569000000000001</v>
          </cell>
          <cell r="D615">
            <v>5.3766999999999996</v>
          </cell>
          <cell r="F615">
            <v>8396.5</v>
          </cell>
          <cell r="H615">
            <v>2398</v>
          </cell>
          <cell r="J615">
            <v>17075</v>
          </cell>
          <cell r="L615">
            <v>2113</v>
          </cell>
          <cell r="N615">
            <v>966</v>
          </cell>
        </row>
        <row r="616">
          <cell r="B616">
            <v>4.9550999999999998</v>
          </cell>
          <cell r="D616">
            <v>5.3673999999999999</v>
          </cell>
          <cell r="F616">
            <v>8340.5</v>
          </cell>
          <cell r="H616">
            <v>2342</v>
          </cell>
          <cell r="J616">
            <v>17140</v>
          </cell>
          <cell r="L616">
            <v>2090</v>
          </cell>
          <cell r="N616">
            <v>918</v>
          </cell>
        </row>
        <row r="617">
          <cell r="B617">
            <v>4.9827000000000004</v>
          </cell>
          <cell r="D617">
            <v>5.3913000000000002</v>
          </cell>
          <cell r="F617">
            <v>8389</v>
          </cell>
          <cell r="H617">
            <v>2382</v>
          </cell>
          <cell r="J617">
            <v>17435</v>
          </cell>
          <cell r="L617">
            <v>2067</v>
          </cell>
          <cell r="N617">
            <v>952</v>
          </cell>
        </row>
        <row r="618">
          <cell r="B618">
            <v>4.9589999999999996</v>
          </cell>
          <cell r="D618">
            <v>5.3720999999999997</v>
          </cell>
          <cell r="F618">
            <v>8394</v>
          </cell>
          <cell r="H618">
            <v>2362.5</v>
          </cell>
          <cell r="J618">
            <v>17175</v>
          </cell>
          <cell r="L618">
            <v>2052.5</v>
          </cell>
          <cell r="N618">
            <v>935</v>
          </cell>
        </row>
        <row r="619">
          <cell r="B619">
            <v>4.9469000000000003</v>
          </cell>
          <cell r="D619">
            <v>5.3727999999999998</v>
          </cell>
          <cell r="F619">
            <v>8437</v>
          </cell>
          <cell r="H619">
            <v>2393</v>
          </cell>
          <cell r="J619">
            <v>17575</v>
          </cell>
          <cell r="L619">
            <v>2028</v>
          </cell>
          <cell r="N619">
            <v>948</v>
          </cell>
        </row>
        <row r="620">
          <cell r="B620">
            <v>4.9481999999999999</v>
          </cell>
          <cell r="D620">
            <v>5.3787000000000003</v>
          </cell>
          <cell r="F620">
            <v>8429.5</v>
          </cell>
          <cell r="H620">
            <v>2418</v>
          </cell>
          <cell r="J620">
            <v>17600</v>
          </cell>
          <cell r="L620">
            <v>2023</v>
          </cell>
          <cell r="N620">
            <v>941</v>
          </cell>
        </row>
        <row r="621">
          <cell r="B621">
            <v>4.9391999999999996</v>
          </cell>
          <cell r="D621">
            <v>5.3861999999999997</v>
          </cell>
          <cell r="F621">
            <v>8441</v>
          </cell>
          <cell r="H621">
            <v>2446</v>
          </cell>
          <cell r="J621">
            <v>17475</v>
          </cell>
          <cell r="L621">
            <v>2060</v>
          </cell>
          <cell r="N621">
            <v>1013</v>
          </cell>
        </row>
        <row r="622">
          <cell r="B622">
            <v>4.9358000000000004</v>
          </cell>
          <cell r="D622">
            <v>5.3937999999999997</v>
          </cell>
          <cell r="F622">
            <v>8559</v>
          </cell>
          <cell r="H622">
            <v>2495</v>
          </cell>
          <cell r="J622">
            <v>17660</v>
          </cell>
          <cell r="L622">
            <v>2107</v>
          </cell>
          <cell r="N622">
            <v>1026</v>
          </cell>
        </row>
        <row r="623">
          <cell r="B623">
            <v>4.9744999999999999</v>
          </cell>
          <cell r="D623">
            <v>5.4520999999999997</v>
          </cell>
          <cell r="F623">
            <v>8552.5</v>
          </cell>
          <cell r="H623">
            <v>2501.5</v>
          </cell>
          <cell r="J623">
            <v>17845</v>
          </cell>
          <cell r="L623">
            <v>2125</v>
          </cell>
          <cell r="N623">
            <v>1043</v>
          </cell>
        </row>
        <row r="624">
          <cell r="B624">
            <v>4.9771000000000001</v>
          </cell>
          <cell r="D624">
            <v>5.4375</v>
          </cell>
          <cell r="F624">
            <v>8522</v>
          </cell>
          <cell r="H624">
            <v>2516</v>
          </cell>
          <cell r="J624">
            <v>17910</v>
          </cell>
          <cell r="L624">
            <v>2113</v>
          </cell>
          <cell r="N624">
            <v>1028</v>
          </cell>
        </row>
        <row r="625">
          <cell r="B625">
            <v>4.9806999999999997</v>
          </cell>
          <cell r="D625">
            <v>5.4368999999999996</v>
          </cell>
          <cell r="F625">
            <v>8566</v>
          </cell>
          <cell r="H625">
            <v>2535</v>
          </cell>
          <cell r="J625">
            <v>18135</v>
          </cell>
          <cell r="L625">
            <v>2134</v>
          </cell>
          <cell r="N625">
            <v>1022</v>
          </cell>
        </row>
        <row r="626">
          <cell r="B626">
            <v>4.9797000000000002</v>
          </cell>
          <cell r="D626">
            <v>5.4493</v>
          </cell>
          <cell r="F626">
            <v>8727</v>
          </cell>
          <cell r="H626">
            <v>2524</v>
          </cell>
          <cell r="J626">
            <v>18165</v>
          </cell>
          <cell r="L626">
            <v>2164</v>
          </cell>
          <cell r="N626">
            <v>1067</v>
          </cell>
        </row>
        <row r="627">
          <cell r="B627">
            <v>4.9762000000000004</v>
          </cell>
          <cell r="D627">
            <v>5.4176000000000002</v>
          </cell>
          <cell r="F627">
            <v>8791.5</v>
          </cell>
          <cell r="H627">
            <v>2519.5</v>
          </cell>
          <cell r="J627">
            <v>17755</v>
          </cell>
          <cell r="L627">
            <v>2142</v>
          </cell>
          <cell r="N627">
            <v>1079</v>
          </cell>
        </row>
        <row r="628">
          <cell r="B628">
            <v>4.9931000000000001</v>
          </cell>
          <cell r="D628">
            <v>5.4349999999999996</v>
          </cell>
          <cell r="F628">
            <v>8906.5</v>
          </cell>
          <cell r="H628">
            <v>2524</v>
          </cell>
          <cell r="J628">
            <v>18000</v>
          </cell>
          <cell r="L628">
            <v>2107</v>
          </cell>
          <cell r="N628">
            <v>1078</v>
          </cell>
        </row>
        <row r="629">
          <cell r="B629">
            <v>5.0118</v>
          </cell>
          <cell r="D629">
            <v>5.4542999999999999</v>
          </cell>
          <cell r="F629">
            <v>8973</v>
          </cell>
          <cell r="H629">
            <v>2515.5</v>
          </cell>
          <cell r="J629">
            <v>17680</v>
          </cell>
          <cell r="L629">
            <v>2094</v>
          </cell>
          <cell r="N629">
            <v>1039</v>
          </cell>
        </row>
        <row r="630">
          <cell r="B630">
            <v>5.0346000000000002</v>
          </cell>
          <cell r="D630">
            <v>5.4661</v>
          </cell>
          <cell r="F630">
            <v>8875</v>
          </cell>
          <cell r="H630">
            <v>2467</v>
          </cell>
          <cell r="J630">
            <v>17500</v>
          </cell>
          <cell r="L630">
            <v>2042</v>
          </cell>
          <cell r="N630">
            <v>986</v>
          </cell>
        </row>
        <row r="631">
          <cell r="B631">
            <v>5.0114000000000001</v>
          </cell>
          <cell r="D631">
            <v>5.4394</v>
          </cell>
          <cell r="F631">
            <v>8790</v>
          </cell>
          <cell r="H631">
            <v>2462</v>
          </cell>
          <cell r="J631">
            <v>17300</v>
          </cell>
          <cell r="L631">
            <v>2015</v>
          </cell>
          <cell r="N631">
            <v>1007</v>
          </cell>
        </row>
        <row r="632">
          <cell r="B632">
            <v>5.0114000000000001</v>
          </cell>
          <cell r="D632">
            <v>5.4394</v>
          </cell>
          <cell r="F632">
            <v>8790</v>
          </cell>
          <cell r="H632">
            <v>2501</v>
          </cell>
          <cell r="J632">
            <v>17430</v>
          </cell>
          <cell r="L632">
            <v>2015</v>
          </cell>
          <cell r="N632">
            <v>1007</v>
          </cell>
        </row>
        <row r="633">
          <cell r="B633">
            <v>4.9801000000000002</v>
          </cell>
          <cell r="D633">
            <v>5.4078999999999997</v>
          </cell>
          <cell r="F633">
            <v>8873.5</v>
          </cell>
          <cell r="H633">
            <v>2449</v>
          </cell>
          <cell r="J633">
            <v>17160</v>
          </cell>
          <cell r="L633">
            <v>2030</v>
          </cell>
          <cell r="N633">
            <v>1009</v>
          </cell>
        </row>
        <row r="634">
          <cell r="B634">
            <v>4.9890999999999996</v>
          </cell>
          <cell r="D634">
            <v>5.3952</v>
          </cell>
          <cell r="F634">
            <v>8741</v>
          </cell>
          <cell r="H634">
            <v>2437</v>
          </cell>
          <cell r="J634">
            <v>16865</v>
          </cell>
          <cell r="L634">
            <v>1991.5</v>
          </cell>
          <cell r="N634">
            <v>1009</v>
          </cell>
        </row>
        <row r="635">
          <cell r="B635">
            <v>4.9863</v>
          </cell>
          <cell r="D635">
            <v>5.4032</v>
          </cell>
          <cell r="F635">
            <v>8745</v>
          </cell>
          <cell r="H635">
            <v>2425</v>
          </cell>
          <cell r="J635">
            <v>16860</v>
          </cell>
          <cell r="L635">
            <v>1991</v>
          </cell>
          <cell r="N635">
            <v>1019</v>
          </cell>
        </row>
        <row r="636">
          <cell r="B636">
            <v>4.9863999999999997</v>
          </cell>
          <cell r="D636">
            <v>5.3982999999999999</v>
          </cell>
          <cell r="F636">
            <v>8764</v>
          </cell>
          <cell r="H636">
            <v>2366</v>
          </cell>
          <cell r="J636">
            <v>16555</v>
          </cell>
          <cell r="L636">
            <v>1982</v>
          </cell>
          <cell r="N636">
            <v>1005</v>
          </cell>
        </row>
        <row r="637">
          <cell r="B637">
            <v>4.9850000000000003</v>
          </cell>
          <cell r="D637">
            <v>5.3928000000000003</v>
          </cell>
          <cell r="F637">
            <v>8695.5</v>
          </cell>
          <cell r="H637">
            <v>2365.5</v>
          </cell>
          <cell r="J637">
            <v>16320</v>
          </cell>
          <cell r="L637">
            <v>1967</v>
          </cell>
          <cell r="N637">
            <v>973</v>
          </cell>
        </row>
        <row r="638">
          <cell r="B638">
            <v>5.0468999999999999</v>
          </cell>
          <cell r="D638">
            <v>5.4340000000000002</v>
          </cell>
          <cell r="F638">
            <v>8919</v>
          </cell>
          <cell r="H638">
            <v>2436.5</v>
          </cell>
          <cell r="J638">
            <v>16950</v>
          </cell>
          <cell r="L638">
            <v>2000</v>
          </cell>
          <cell r="N638">
            <v>1017</v>
          </cell>
        </row>
        <row r="639">
          <cell r="B639">
            <v>5.0526</v>
          </cell>
          <cell r="D639">
            <v>5.4225000000000003</v>
          </cell>
          <cell r="F639" t="str">
            <v>Feriado</v>
          </cell>
          <cell r="H639" t="str">
            <v>Feriado</v>
          </cell>
          <cell r="J639" t="str">
            <v>Feriado</v>
          </cell>
          <cell r="L639" t="str">
            <v>Feriado</v>
          </cell>
          <cell r="N639" t="str">
            <v>Feriado</v>
          </cell>
        </row>
        <row r="640">
          <cell r="B640">
            <v>5.0468999999999999</v>
          </cell>
          <cell r="D640">
            <v>5.4340000000000002</v>
          </cell>
          <cell r="F640">
            <v>8920</v>
          </cell>
          <cell r="H640">
            <v>2437</v>
          </cell>
          <cell r="J640">
            <v>17000</v>
          </cell>
          <cell r="L640">
            <v>2001</v>
          </cell>
          <cell r="N640">
            <v>1011</v>
          </cell>
        </row>
        <row r="641">
          <cell r="B641">
            <v>5.0717999999999996</v>
          </cell>
          <cell r="D641">
            <v>5.4901999999999997</v>
          </cell>
          <cell r="F641">
            <v>8930</v>
          </cell>
          <cell r="H641">
            <v>2429</v>
          </cell>
          <cell r="J641">
            <v>16860</v>
          </cell>
          <cell r="L641">
            <v>2022.5</v>
          </cell>
          <cell r="N641">
            <v>1011</v>
          </cell>
        </row>
        <row r="642">
          <cell r="B642">
            <v>5.0231000000000003</v>
          </cell>
          <cell r="D642">
            <v>5.4565999999999999</v>
          </cell>
          <cell r="F642">
            <v>9256</v>
          </cell>
          <cell r="H642">
            <v>2551</v>
          </cell>
          <cell r="J642">
            <v>17225</v>
          </cell>
          <cell r="L642">
            <v>2084</v>
          </cell>
          <cell r="N642">
            <v>1024</v>
          </cell>
        </row>
        <row r="643">
          <cell r="B643">
            <v>5.0514000000000001</v>
          </cell>
          <cell r="D643">
            <v>5.4747000000000003</v>
          </cell>
          <cell r="F643">
            <v>9197</v>
          </cell>
          <cell r="H643">
            <v>2587</v>
          </cell>
          <cell r="J643">
            <v>17450</v>
          </cell>
          <cell r="L643">
            <v>2090</v>
          </cell>
          <cell r="N643">
            <v>998</v>
          </cell>
        </row>
        <row r="644">
          <cell r="B644">
            <v>5.0415000000000001</v>
          </cell>
          <cell r="D644">
            <v>5.47</v>
          </cell>
          <cell r="F644">
            <v>9301</v>
          </cell>
          <cell r="H644">
            <v>2627</v>
          </cell>
          <cell r="J644">
            <v>17700</v>
          </cell>
          <cell r="L644">
            <v>2111</v>
          </cell>
          <cell r="N644">
            <v>1037</v>
          </cell>
        </row>
        <row r="645">
          <cell r="B645">
            <v>5.0073999999999996</v>
          </cell>
          <cell r="D645">
            <v>5.4349999999999996</v>
          </cell>
          <cell r="F645">
            <v>9295.5</v>
          </cell>
          <cell r="H645">
            <v>2660</v>
          </cell>
          <cell r="J645">
            <v>17780</v>
          </cell>
          <cell r="L645">
            <v>2119.5</v>
          </cell>
          <cell r="N645">
            <v>1067</v>
          </cell>
        </row>
        <row r="646">
          <cell r="B646">
            <v>5.0648</v>
          </cell>
          <cell r="D646">
            <v>5.4371</v>
          </cell>
          <cell r="F646">
            <v>9360</v>
          </cell>
          <cell r="H646">
            <v>2731</v>
          </cell>
          <cell r="J646">
            <v>18580</v>
          </cell>
          <cell r="L646">
            <v>2138</v>
          </cell>
          <cell r="N646">
            <v>1054</v>
          </cell>
        </row>
        <row r="647">
          <cell r="B647">
            <v>5.0758999999999999</v>
          </cell>
          <cell r="D647">
            <v>5.4413999999999998</v>
          </cell>
          <cell r="F647">
            <v>9239.5</v>
          </cell>
          <cell r="H647">
            <v>2710</v>
          </cell>
          <cell r="J647">
            <v>17710</v>
          </cell>
          <cell r="L647">
            <v>2127</v>
          </cell>
          <cell r="N647">
            <v>1055</v>
          </cell>
        </row>
        <row r="648">
          <cell r="B648">
            <v>5.1357999999999997</v>
          </cell>
          <cell r="D648">
            <v>5.4671000000000003</v>
          </cell>
          <cell r="F648">
            <v>9400</v>
          </cell>
          <cell r="H648">
            <v>2847</v>
          </cell>
          <cell r="J648">
            <v>17760</v>
          </cell>
          <cell r="L648">
            <v>2139.5</v>
          </cell>
          <cell r="N648">
            <v>1070</v>
          </cell>
        </row>
        <row r="649">
          <cell r="B649">
            <v>5.1740000000000004</v>
          </cell>
          <cell r="D649">
            <v>5.5067000000000004</v>
          </cell>
          <cell r="F649">
            <v>9385</v>
          </cell>
          <cell r="H649">
            <v>2771.5</v>
          </cell>
          <cell r="J649">
            <v>17850</v>
          </cell>
          <cell r="L649">
            <v>2141</v>
          </cell>
          <cell r="N649">
            <v>1026</v>
          </cell>
        </row>
        <row r="650">
          <cell r="B650">
            <v>5.2628000000000004</v>
          </cell>
          <cell r="D650">
            <v>5.5922999999999998</v>
          </cell>
          <cell r="F650">
            <v>9375</v>
          </cell>
          <cell r="H650">
            <v>2702</v>
          </cell>
          <cell r="J650">
            <v>17620</v>
          </cell>
          <cell r="L650">
            <v>2145</v>
          </cell>
          <cell r="N650">
            <v>1006</v>
          </cell>
        </row>
        <row r="651">
          <cell r="B651">
            <v>5.2462999999999997</v>
          </cell>
          <cell r="D651">
            <v>5.5835999999999997</v>
          </cell>
          <cell r="F651">
            <v>9432</v>
          </cell>
          <cell r="H651">
            <v>2788</v>
          </cell>
          <cell r="J651">
            <v>17850</v>
          </cell>
          <cell r="L651">
            <v>2115</v>
          </cell>
          <cell r="N651">
            <v>1022</v>
          </cell>
        </row>
        <row r="652">
          <cell r="B652">
            <v>5.2506000000000004</v>
          </cell>
          <cell r="D652">
            <v>5.5965999999999996</v>
          </cell>
          <cell r="F652">
            <v>9615</v>
          </cell>
          <cell r="H652">
            <v>2812</v>
          </cell>
          <cell r="J652">
            <v>18200</v>
          </cell>
          <cell r="L652">
            <v>2153</v>
          </cell>
          <cell r="N652">
            <v>1047</v>
          </cell>
        </row>
        <row r="653">
          <cell r="B653">
            <v>5.2263000000000002</v>
          </cell>
          <cell r="D653">
            <v>5.5681000000000003</v>
          </cell>
          <cell r="F653">
            <v>9748</v>
          </cell>
          <cell r="H653">
            <v>2832</v>
          </cell>
          <cell r="J653">
            <v>19035</v>
          </cell>
          <cell r="L653">
            <v>2159</v>
          </cell>
          <cell r="N653">
            <v>1005</v>
          </cell>
        </row>
        <row r="654">
          <cell r="B654">
            <v>5.2037000000000004</v>
          </cell>
          <cell r="D654">
            <v>5.5399000000000003</v>
          </cell>
          <cell r="F654">
            <v>9814</v>
          </cell>
          <cell r="H654">
            <v>2792</v>
          </cell>
          <cell r="J654">
            <v>19010</v>
          </cell>
          <cell r="L654">
            <v>2147</v>
          </cell>
          <cell r="N654">
            <v>1016</v>
          </cell>
        </row>
        <row r="655">
          <cell r="B655">
            <v>5.1619999999999999</v>
          </cell>
          <cell r="D655">
            <v>5.5197000000000003</v>
          </cell>
          <cell r="F655">
            <v>9598</v>
          </cell>
          <cell r="H655">
            <v>2744</v>
          </cell>
          <cell r="J655">
            <v>18780</v>
          </cell>
          <cell r="L655">
            <v>2110</v>
          </cell>
          <cell r="N655">
            <v>1016</v>
          </cell>
        </row>
        <row r="656">
          <cell r="B656">
            <v>5.1585999999999999</v>
          </cell>
          <cell r="D656">
            <v>5.5114000000000001</v>
          </cell>
          <cell r="F656">
            <v>9670</v>
          </cell>
          <cell r="H656">
            <v>2795</v>
          </cell>
          <cell r="J656">
            <v>18980</v>
          </cell>
          <cell r="L656">
            <v>2163</v>
          </cell>
          <cell r="N656">
            <v>1011</v>
          </cell>
        </row>
        <row r="657">
          <cell r="B657">
            <v>5.1673</v>
          </cell>
          <cell r="D657">
            <v>5.5382999999999996</v>
          </cell>
          <cell r="F657">
            <v>9790</v>
          </cell>
          <cell r="H657">
            <v>2861</v>
          </cell>
          <cell r="J657">
            <v>18850</v>
          </cell>
          <cell r="L657">
            <v>2185</v>
          </cell>
          <cell r="N657">
            <v>989</v>
          </cell>
        </row>
        <row r="658">
          <cell r="B658">
            <v>5.1177999999999999</v>
          </cell>
          <cell r="D658">
            <v>5.4683999999999999</v>
          </cell>
          <cell r="F658">
            <v>9868</v>
          </cell>
          <cell r="H658">
            <v>2845.5</v>
          </cell>
          <cell r="J658">
            <v>19175</v>
          </cell>
          <cell r="L658">
            <v>2195.5</v>
          </cell>
          <cell r="N658">
            <v>970</v>
          </cell>
        </row>
        <row r="659">
          <cell r="B659">
            <v>5.1148999999999996</v>
          </cell>
          <cell r="D659">
            <v>5.4801000000000002</v>
          </cell>
          <cell r="F659">
            <v>9930</v>
          </cell>
          <cell r="H659">
            <v>2881</v>
          </cell>
          <cell r="J659">
            <v>19105</v>
          </cell>
          <cell r="L659">
            <v>2176.5</v>
          </cell>
          <cell r="N659">
            <v>956</v>
          </cell>
        </row>
        <row r="660">
          <cell r="B660">
            <v>5.1711999999999998</v>
          </cell>
          <cell r="D660">
            <v>5.5244</v>
          </cell>
          <cell r="F660">
            <v>9973</v>
          </cell>
          <cell r="H660">
            <v>2924</v>
          </cell>
          <cell r="J660">
            <v>18960</v>
          </cell>
          <cell r="L660">
            <v>2183.5</v>
          </cell>
          <cell r="N660">
            <v>942</v>
          </cell>
        </row>
        <row r="661">
          <cell r="B661">
            <v>5.1711999999999998</v>
          </cell>
          <cell r="D661">
            <v>5.5244</v>
          </cell>
          <cell r="F661">
            <v>9790</v>
          </cell>
          <cell r="H661">
            <v>2835</v>
          </cell>
          <cell r="J661">
            <v>18615</v>
          </cell>
          <cell r="L661">
            <v>2155</v>
          </cell>
          <cell r="N661">
            <v>942</v>
          </cell>
        </row>
        <row r="662">
          <cell r="B662">
            <v>5.1177999999999999</v>
          </cell>
          <cell r="D662">
            <v>5.4775999999999998</v>
          </cell>
          <cell r="F662">
            <v>9655</v>
          </cell>
          <cell r="H662">
            <v>2859</v>
          </cell>
          <cell r="J662">
            <v>18400</v>
          </cell>
          <cell r="L662">
            <v>2143</v>
          </cell>
          <cell r="N662">
            <v>933</v>
          </cell>
        </row>
        <row r="663">
          <cell r="B663">
            <v>5.0662000000000003</v>
          </cell>
          <cell r="D663">
            <v>5.4558</v>
          </cell>
          <cell r="F663">
            <v>9736</v>
          </cell>
          <cell r="H663">
            <v>2891</v>
          </cell>
          <cell r="J663">
            <v>18750</v>
          </cell>
          <cell r="L663">
            <v>2155</v>
          </cell>
          <cell r="N663">
            <v>954</v>
          </cell>
        </row>
        <row r="664">
          <cell r="B664">
            <v>5.0720999999999998</v>
          </cell>
          <cell r="D664">
            <v>5.4661999999999997</v>
          </cell>
          <cell r="F664" t="str">
            <v>FERIADO</v>
          </cell>
          <cell r="H664" t="str">
            <v>FERIADO</v>
          </cell>
          <cell r="J664" t="str">
            <v>FERIADO</v>
          </cell>
          <cell r="L664" t="str">
            <v>FERIADO</v>
          </cell>
          <cell r="N664" t="str">
            <v>FERIADO</v>
          </cell>
        </row>
        <row r="665">
          <cell r="B665">
            <v>5.0603999999999996</v>
          </cell>
          <cell r="D665">
            <v>5.4474999999999998</v>
          </cell>
          <cell r="F665">
            <v>9846</v>
          </cell>
          <cell r="H665">
            <v>2885</v>
          </cell>
          <cell r="J665">
            <v>18750</v>
          </cell>
          <cell r="L665">
            <v>2196</v>
          </cell>
          <cell r="N665">
            <v>977</v>
          </cell>
        </row>
        <row r="666">
          <cell r="B666">
            <v>5.0880999999999998</v>
          </cell>
          <cell r="D666">
            <v>5.4711999999999996</v>
          </cell>
          <cell r="F666">
            <v>9739.5</v>
          </cell>
          <cell r="H666">
            <v>2860</v>
          </cell>
          <cell r="J666">
            <v>18505</v>
          </cell>
          <cell r="L666">
            <v>2186</v>
          </cell>
          <cell r="N666">
            <v>952</v>
          </cell>
        </row>
        <row r="667">
          <cell r="B667">
            <v>5.1570999999999998</v>
          </cell>
          <cell r="D667">
            <v>5.5541999999999998</v>
          </cell>
          <cell r="F667">
            <v>9726</v>
          </cell>
          <cell r="H667">
            <v>2858</v>
          </cell>
          <cell r="J667">
            <v>18620</v>
          </cell>
          <cell r="L667">
            <v>2174.5</v>
          </cell>
          <cell r="N667">
            <v>950</v>
          </cell>
        </row>
        <row r="668">
          <cell r="B668">
            <v>5.1458000000000004</v>
          </cell>
          <cell r="D668">
            <v>5.5419999999999998</v>
          </cell>
          <cell r="F668">
            <v>9941.5</v>
          </cell>
          <cell r="H668">
            <v>2913</v>
          </cell>
          <cell r="J668">
            <v>18720</v>
          </cell>
          <cell r="L668">
            <v>2192</v>
          </cell>
          <cell r="N668">
            <v>994</v>
          </cell>
        </row>
        <row r="669">
          <cell r="B669">
            <v>5.1406000000000001</v>
          </cell>
          <cell r="D669">
            <v>5.5481999999999996</v>
          </cell>
          <cell r="F669">
            <v>10008.5</v>
          </cell>
          <cell r="H669">
            <v>2930</v>
          </cell>
          <cell r="J669">
            <v>18900</v>
          </cell>
          <cell r="L669">
            <v>2182</v>
          </cell>
          <cell r="N669">
            <v>983</v>
          </cell>
        </row>
        <row r="670">
          <cell r="B670">
            <v>5.1349999999999998</v>
          </cell>
          <cell r="D670">
            <v>5.5534999999999997</v>
          </cell>
          <cell r="F670">
            <v>10076</v>
          </cell>
          <cell r="H670">
            <v>2935.5</v>
          </cell>
          <cell r="J670">
            <v>18930</v>
          </cell>
          <cell r="L670">
            <v>2199</v>
          </cell>
          <cell r="N670">
            <v>971</v>
          </cell>
        </row>
        <row r="671">
          <cell r="B671">
            <v>5.1422999999999996</v>
          </cell>
          <cell r="D671">
            <v>5.5829000000000004</v>
          </cell>
          <cell r="F671">
            <v>10221</v>
          </cell>
          <cell r="H671">
            <v>2954</v>
          </cell>
          <cell r="J671">
            <v>19050</v>
          </cell>
          <cell r="L671">
            <v>2228</v>
          </cell>
          <cell r="N671">
            <v>929.1</v>
          </cell>
        </row>
        <row r="672">
          <cell r="B672">
            <v>5.1269999999999998</v>
          </cell>
          <cell r="D672">
            <v>5.5750000000000002</v>
          </cell>
          <cell r="F672">
            <v>10308</v>
          </cell>
          <cell r="H672">
            <v>2936</v>
          </cell>
          <cell r="J672">
            <v>19335</v>
          </cell>
          <cell r="L672">
            <v>2227.5</v>
          </cell>
          <cell r="N672">
            <v>930.94</v>
          </cell>
        </row>
        <row r="673">
          <cell r="B673">
            <v>5.1157000000000004</v>
          </cell>
          <cell r="D673">
            <v>5.5586000000000002</v>
          </cell>
          <cell r="F673">
            <v>10398</v>
          </cell>
          <cell r="H673">
            <v>2929</v>
          </cell>
          <cell r="J673">
            <v>20735</v>
          </cell>
          <cell r="L673">
            <v>2237</v>
          </cell>
          <cell r="N673">
            <v>911.94</v>
          </cell>
        </row>
        <row r="674">
          <cell r="B674">
            <v>5.1085000000000003</v>
          </cell>
          <cell r="D674">
            <v>5.5472000000000001</v>
          </cell>
          <cell r="F674">
            <v>10857</v>
          </cell>
          <cell r="H674">
            <v>3047</v>
          </cell>
          <cell r="J674">
            <v>21270</v>
          </cell>
          <cell r="L674">
            <v>2283.5</v>
          </cell>
          <cell r="N674">
            <v>911.94</v>
          </cell>
        </row>
        <row r="675">
          <cell r="B675">
            <v>5.1031000000000004</v>
          </cell>
          <cell r="D675">
            <v>5.5378999999999996</v>
          </cell>
          <cell r="F675">
            <v>10775</v>
          </cell>
          <cell r="H675">
            <v>3093</v>
          </cell>
          <cell r="J675">
            <v>21275</v>
          </cell>
          <cell r="L675">
            <v>2291</v>
          </cell>
          <cell r="N675">
            <v>948.87</v>
          </cell>
        </row>
        <row r="676">
          <cell r="B676">
            <v>5.1496000000000004</v>
          </cell>
          <cell r="D676">
            <v>5.5791000000000004</v>
          </cell>
          <cell r="F676">
            <v>10447</v>
          </cell>
          <cell r="H676">
            <v>3030</v>
          </cell>
          <cell r="J676">
            <v>20330</v>
          </cell>
          <cell r="L676">
            <v>2290</v>
          </cell>
          <cell r="N676">
            <v>926.63</v>
          </cell>
        </row>
        <row r="677">
          <cell r="B677">
            <v>5.1436999999999999</v>
          </cell>
          <cell r="D677">
            <v>5.5674999999999999</v>
          </cell>
          <cell r="F677">
            <v>10290.5</v>
          </cell>
          <cell r="H677">
            <v>3007</v>
          </cell>
          <cell r="J677">
            <v>19800</v>
          </cell>
          <cell r="L677">
            <v>2235</v>
          </cell>
          <cell r="N677">
            <v>846.47</v>
          </cell>
        </row>
        <row r="678">
          <cell r="B678">
            <v>5.1501999999999999</v>
          </cell>
          <cell r="D678">
            <v>5.5875000000000004</v>
          </cell>
          <cell r="F678">
            <v>10256.5</v>
          </cell>
          <cell r="H678">
            <v>3012.5</v>
          </cell>
          <cell r="J678">
            <v>19955</v>
          </cell>
          <cell r="L678">
            <v>2248.5</v>
          </cell>
          <cell r="N678">
            <v>891.75</v>
          </cell>
        </row>
        <row r="679">
          <cell r="B679">
            <v>5.1698000000000004</v>
          </cell>
          <cell r="D679">
            <v>5.6134000000000004</v>
          </cell>
          <cell r="F679" t="str">
            <v>FERIADO</v>
          </cell>
          <cell r="H679" t="str">
            <v>FERIADO</v>
          </cell>
          <cell r="J679" t="str">
            <v>FERIADO</v>
          </cell>
          <cell r="L679" t="str">
            <v>FERIADO</v>
          </cell>
          <cell r="N679" t="str">
            <v>FERIADO</v>
          </cell>
        </row>
        <row r="680">
          <cell r="B680">
            <v>5.1532</v>
          </cell>
          <cell r="D680">
            <v>5.6051000000000002</v>
          </cell>
          <cell r="F680">
            <v>10331</v>
          </cell>
          <cell r="H680">
            <v>3055</v>
          </cell>
          <cell r="J680">
            <v>20065</v>
          </cell>
          <cell r="L680">
            <v>2283</v>
          </cell>
          <cell r="N680">
            <v>892.87</v>
          </cell>
        </row>
        <row r="681">
          <cell r="B681">
            <v>5.1966000000000001</v>
          </cell>
          <cell r="D681">
            <v>5.6174999999999997</v>
          </cell>
          <cell r="F681">
            <v>10294</v>
          </cell>
          <cell r="H681">
            <v>3060</v>
          </cell>
          <cell r="J681">
            <v>20255</v>
          </cell>
          <cell r="L681">
            <v>2260</v>
          </cell>
          <cell r="N681">
            <v>881.4</v>
          </cell>
        </row>
        <row r="682">
          <cell r="B682">
            <v>5.2409999999999997</v>
          </cell>
          <cell r="D682">
            <v>5.6844000000000001</v>
          </cell>
          <cell r="F682">
            <v>10016.5</v>
          </cell>
          <cell r="H682">
            <v>2985</v>
          </cell>
          <cell r="J682">
            <v>19770</v>
          </cell>
          <cell r="L682">
            <v>2224.5</v>
          </cell>
          <cell r="N682">
            <v>874.42</v>
          </cell>
        </row>
        <row r="683">
          <cell r="B683">
            <v>5.2409999999999997</v>
          </cell>
          <cell r="D683">
            <v>5.6844000000000001</v>
          </cell>
          <cell r="F683">
            <v>9985</v>
          </cell>
          <cell r="H683">
            <v>2994.5</v>
          </cell>
          <cell r="J683">
            <v>19830</v>
          </cell>
          <cell r="L683">
            <v>2246</v>
          </cell>
          <cell r="N683">
            <v>872.64</v>
          </cell>
        </row>
        <row r="684">
          <cell r="B684">
            <v>5.2416</v>
          </cell>
          <cell r="D684">
            <v>5.7012</v>
          </cell>
          <cell r="F684">
            <v>9885.5</v>
          </cell>
          <cell r="H684">
            <v>2929</v>
          </cell>
          <cell r="J684">
            <v>19325</v>
          </cell>
          <cell r="L684">
            <v>2224</v>
          </cell>
          <cell r="N684">
            <v>846.47</v>
          </cell>
        </row>
        <row r="685">
          <cell r="B685">
            <v>5.2375999999999996</v>
          </cell>
          <cell r="D685">
            <v>5.7295999999999996</v>
          </cell>
          <cell r="F685">
            <v>9858.5</v>
          </cell>
          <cell r="H685">
            <v>2869</v>
          </cell>
          <cell r="J685">
            <v>18900</v>
          </cell>
          <cell r="L685">
            <v>2205</v>
          </cell>
          <cell r="N685">
            <v>846.47</v>
          </cell>
        </row>
        <row r="686">
          <cell r="B686">
            <v>5.2835000000000001</v>
          </cell>
          <cell r="D686">
            <v>5.7394999999999996</v>
          </cell>
          <cell r="F686">
            <v>9769</v>
          </cell>
          <cell r="H686">
            <v>2823</v>
          </cell>
          <cell r="J686">
            <v>18340</v>
          </cell>
          <cell r="L686">
            <v>2176</v>
          </cell>
          <cell r="N686">
            <v>846.51</v>
          </cell>
        </row>
        <row r="687">
          <cell r="B687">
            <v>5.2675000000000001</v>
          </cell>
          <cell r="D687">
            <v>5.7309999999999999</v>
          </cell>
          <cell r="F687">
            <v>9930</v>
          </cell>
          <cell r="H687">
            <v>2842.5</v>
          </cell>
          <cell r="J687">
            <v>18130</v>
          </cell>
          <cell r="L687">
            <v>2188</v>
          </cell>
          <cell r="N687">
            <v>854.25</v>
          </cell>
        </row>
        <row r="688">
          <cell r="B688">
            <v>5.2796000000000003</v>
          </cell>
          <cell r="D688">
            <v>5.7046000000000001</v>
          </cell>
          <cell r="F688">
            <v>9840</v>
          </cell>
          <cell r="H688">
            <v>2835</v>
          </cell>
          <cell r="J688">
            <v>17950</v>
          </cell>
          <cell r="L688">
            <v>2179</v>
          </cell>
          <cell r="N688">
            <v>847.11</v>
          </cell>
        </row>
        <row r="689">
          <cell r="B689">
            <v>5.3659999999999997</v>
          </cell>
          <cell r="D689">
            <v>5.7674000000000003</v>
          </cell>
          <cell r="F689">
            <v>9694.5</v>
          </cell>
          <cell r="H689">
            <v>2759</v>
          </cell>
          <cell r="J689">
            <v>17835</v>
          </cell>
          <cell r="L689">
            <v>2128</v>
          </cell>
          <cell r="N689">
            <v>848.77</v>
          </cell>
        </row>
        <row r="690">
          <cell r="B690">
            <v>5.3518999999999997</v>
          </cell>
          <cell r="D690">
            <v>5.7431000000000001</v>
          </cell>
          <cell r="F690">
            <v>9567</v>
          </cell>
          <cell r="H690">
            <v>2727</v>
          </cell>
          <cell r="J690">
            <v>17650</v>
          </cell>
          <cell r="L690">
            <v>2122.5</v>
          </cell>
          <cell r="N690">
            <v>829.84</v>
          </cell>
        </row>
        <row r="691">
          <cell r="B691">
            <v>5.3884999999999996</v>
          </cell>
          <cell r="D691">
            <v>5.8411</v>
          </cell>
          <cell r="F691">
            <v>9697.5</v>
          </cell>
          <cell r="H691">
            <v>2765</v>
          </cell>
          <cell r="J691">
            <v>17525</v>
          </cell>
          <cell r="L691">
            <v>2108</v>
          </cell>
          <cell r="N691">
            <v>851.2</v>
          </cell>
        </row>
        <row r="692">
          <cell r="B692">
            <v>5.3967999999999998</v>
          </cell>
          <cell r="D692">
            <v>5.8042999999999996</v>
          </cell>
          <cell r="F692">
            <v>9733</v>
          </cell>
          <cell r="H692">
            <v>2809</v>
          </cell>
          <cell r="J692">
            <v>17550</v>
          </cell>
          <cell r="L692">
            <v>2111</v>
          </cell>
          <cell r="N692">
            <v>836.5</v>
          </cell>
        </row>
        <row r="693">
          <cell r="B693">
            <v>5.3624000000000001</v>
          </cell>
          <cell r="D693">
            <v>5.7362000000000002</v>
          </cell>
          <cell r="F693">
            <v>9650</v>
          </cell>
          <cell r="H693">
            <v>2732</v>
          </cell>
          <cell r="J693">
            <v>17275</v>
          </cell>
          <cell r="L693">
            <v>2109</v>
          </cell>
          <cell r="N693">
            <v>832.94</v>
          </cell>
        </row>
        <row r="694">
          <cell r="B694">
            <v>5.4123999999999999</v>
          </cell>
          <cell r="D694">
            <v>5.8021000000000003</v>
          </cell>
          <cell r="F694">
            <v>9477</v>
          </cell>
          <cell r="H694">
            <v>2757</v>
          </cell>
          <cell r="J694">
            <v>17080</v>
          </cell>
          <cell r="L694">
            <v>2105</v>
          </cell>
          <cell r="N694">
            <v>832.48</v>
          </cell>
        </row>
        <row r="695">
          <cell r="B695">
            <v>5.4067999999999996</v>
          </cell>
          <cell r="D695">
            <v>5.8057999999999996</v>
          </cell>
          <cell r="F695">
            <v>9426</v>
          </cell>
          <cell r="H695">
            <v>2732</v>
          </cell>
          <cell r="J695">
            <v>16990</v>
          </cell>
          <cell r="L695">
            <v>2107</v>
          </cell>
          <cell r="N695">
            <v>812.67</v>
          </cell>
        </row>
        <row r="696">
          <cell r="B696">
            <v>5.4641000000000002</v>
          </cell>
          <cell r="D696">
            <v>5.8723000000000001</v>
          </cell>
          <cell r="F696">
            <v>9652</v>
          </cell>
          <cell r="H696">
            <v>2817</v>
          </cell>
          <cell r="J696">
            <v>17025</v>
          </cell>
          <cell r="L696">
            <v>2189</v>
          </cell>
          <cell r="N696">
            <v>841.71</v>
          </cell>
        </row>
        <row r="697">
          <cell r="B697">
            <v>5.4248000000000003</v>
          </cell>
          <cell r="D697">
            <v>5.8078000000000003</v>
          </cell>
          <cell r="F697">
            <v>9648</v>
          </cell>
          <cell r="H697">
            <v>2811.5</v>
          </cell>
          <cell r="J697">
            <v>17140</v>
          </cell>
          <cell r="L697">
            <v>2138</v>
          </cell>
          <cell r="N697">
            <v>847.01</v>
          </cell>
        </row>
        <row r="698">
          <cell r="B698">
            <v>5.4409999999999998</v>
          </cell>
          <cell r="D698">
            <v>5.8170000000000002</v>
          </cell>
          <cell r="F698">
            <v>9563</v>
          </cell>
          <cell r="H698">
            <v>2786</v>
          </cell>
          <cell r="J698">
            <v>16935</v>
          </cell>
          <cell r="L698">
            <v>2145</v>
          </cell>
          <cell r="N698">
            <v>927.03</v>
          </cell>
        </row>
        <row r="699">
          <cell r="B699">
            <v>5.3994</v>
          </cell>
          <cell r="D699">
            <v>5.7919</v>
          </cell>
          <cell r="F699">
            <v>9530</v>
          </cell>
          <cell r="H699">
            <v>2799</v>
          </cell>
          <cell r="J699">
            <v>16955</v>
          </cell>
          <cell r="L699">
            <v>2147</v>
          </cell>
          <cell r="N699">
            <v>939.92</v>
          </cell>
        </row>
        <row r="700">
          <cell r="B700">
            <v>5.4283000000000001</v>
          </cell>
          <cell r="D700">
            <v>5.8098999999999998</v>
          </cell>
          <cell r="F700">
            <v>9492</v>
          </cell>
          <cell r="H700">
            <v>2808</v>
          </cell>
          <cell r="J700">
            <v>16855</v>
          </cell>
          <cell r="L700">
            <v>2116</v>
          </cell>
          <cell r="N700">
            <v>889.82</v>
          </cell>
        </row>
        <row r="701">
          <cell r="B701">
            <v>5.5091000000000001</v>
          </cell>
          <cell r="D701">
            <v>5.8837000000000002</v>
          </cell>
          <cell r="F701">
            <v>9420</v>
          </cell>
          <cell r="H701">
            <v>2861</v>
          </cell>
          <cell r="J701">
            <v>16910</v>
          </cell>
          <cell r="L701">
            <v>2159</v>
          </cell>
          <cell r="N701">
            <v>878.69</v>
          </cell>
        </row>
        <row r="702">
          <cell r="B702">
            <v>5.5223000000000004</v>
          </cell>
          <cell r="D702">
            <v>5.9116</v>
          </cell>
          <cell r="F702">
            <v>9422.5</v>
          </cell>
          <cell r="H702">
            <v>2876.5</v>
          </cell>
          <cell r="J702">
            <v>16835</v>
          </cell>
          <cell r="L702">
            <v>2140</v>
          </cell>
          <cell r="N702">
            <v>875.93</v>
          </cell>
        </row>
        <row r="703">
          <cell r="B703">
            <v>5.5583</v>
          </cell>
          <cell r="D703">
            <v>5.9535</v>
          </cell>
          <cell r="F703">
            <v>9476.5</v>
          </cell>
          <cell r="H703">
            <v>2919.5</v>
          </cell>
          <cell r="J703">
            <v>16960</v>
          </cell>
          <cell r="L703">
            <v>2160</v>
          </cell>
          <cell r="N703">
            <v>907.99</v>
          </cell>
        </row>
        <row r="704">
          <cell r="B704">
            <v>5.5589000000000004</v>
          </cell>
          <cell r="D704">
            <v>5.9939</v>
          </cell>
          <cell r="F704">
            <v>9517</v>
          </cell>
          <cell r="H704">
            <v>2912</v>
          </cell>
          <cell r="J704">
            <v>17220</v>
          </cell>
          <cell r="L704">
            <v>2185</v>
          </cell>
          <cell r="N704">
            <v>919.07</v>
          </cell>
        </row>
        <row r="705">
          <cell r="B705">
            <v>5.5892999999999997</v>
          </cell>
          <cell r="D705">
            <v>6.0831</v>
          </cell>
          <cell r="F705">
            <v>9546.5</v>
          </cell>
          <cell r="H705">
            <v>2873</v>
          </cell>
          <cell r="J705">
            <v>17185</v>
          </cell>
          <cell r="L705">
            <v>2198</v>
          </cell>
          <cell r="N705">
            <v>937.12</v>
          </cell>
        </row>
        <row r="706">
          <cell r="B706">
            <v>5.6677</v>
          </cell>
          <cell r="D706">
            <v>6.0308999999999999</v>
          </cell>
          <cell r="F706">
            <v>9623</v>
          </cell>
          <cell r="H706">
            <v>2915</v>
          </cell>
          <cell r="J706">
            <v>17110</v>
          </cell>
          <cell r="L706">
            <v>2171</v>
          </cell>
          <cell r="N706">
            <v>967.53</v>
          </cell>
        </row>
        <row r="707">
          <cell r="B707">
            <v>5.5862999999999996</v>
          </cell>
          <cell r="D707">
            <v>5.9268999999999998</v>
          </cell>
          <cell r="F707">
            <v>9726.5</v>
          </cell>
          <cell r="H707">
            <v>2948</v>
          </cell>
          <cell r="J707">
            <v>16950</v>
          </cell>
          <cell r="L707">
            <v>2172</v>
          </cell>
          <cell r="N707">
            <v>949.51</v>
          </cell>
        </row>
        <row r="708">
          <cell r="B708">
            <v>5.4839000000000002</v>
          </cell>
          <cell r="D708">
            <v>5.9504000000000001</v>
          </cell>
          <cell r="F708">
            <v>9809</v>
          </cell>
          <cell r="H708">
            <v>2955</v>
          </cell>
          <cell r="J708">
            <v>17175</v>
          </cell>
          <cell r="L708">
            <v>2191</v>
          </cell>
          <cell r="N708">
            <v>947.37</v>
          </cell>
        </row>
        <row r="709">
          <cell r="B709">
            <v>5.4969999999999999</v>
          </cell>
          <cell r="D709">
            <v>5.9272</v>
          </cell>
          <cell r="F709">
            <v>9808</v>
          </cell>
          <cell r="H709">
            <v>2926</v>
          </cell>
          <cell r="J709">
            <v>17130</v>
          </cell>
          <cell r="L709">
            <v>2207.5</v>
          </cell>
          <cell r="N709">
            <v>934.5</v>
          </cell>
        </row>
        <row r="710">
          <cell r="B710">
            <v>5.4720000000000004</v>
          </cell>
          <cell r="D710">
            <v>5.8791000000000002</v>
          </cell>
          <cell r="F710">
            <v>9762</v>
          </cell>
          <cell r="H710">
            <v>2872</v>
          </cell>
          <cell r="J710">
            <v>16980</v>
          </cell>
          <cell r="L710">
            <v>2155</v>
          </cell>
          <cell r="N710">
            <v>926.99</v>
          </cell>
        </row>
        <row r="711">
          <cell r="B711">
            <v>5.4386999999999999</v>
          </cell>
          <cell r="D711">
            <v>5.8391000000000002</v>
          </cell>
          <cell r="F711">
            <v>9696</v>
          </cell>
          <cell r="H711">
            <v>2870</v>
          </cell>
          <cell r="J711">
            <v>16750</v>
          </cell>
          <cell r="L711">
            <v>2136</v>
          </cell>
          <cell r="N711">
            <v>919.17</v>
          </cell>
        </row>
        <row r="712">
          <cell r="B712">
            <v>5.3967000000000001</v>
          </cell>
          <cell r="D712">
            <v>5.8788999999999998</v>
          </cell>
          <cell r="F712">
            <v>9693.5</v>
          </cell>
          <cell r="H712">
            <v>2902.5</v>
          </cell>
          <cell r="J712">
            <v>16630</v>
          </cell>
          <cell r="L712">
            <v>2131</v>
          </cell>
          <cell r="N712">
            <v>917.85</v>
          </cell>
        </row>
        <row r="713">
          <cell r="B713">
            <v>5.41</v>
          </cell>
          <cell r="D713">
            <v>5.9436</v>
          </cell>
          <cell r="F713">
            <v>9673</v>
          </cell>
          <cell r="H713">
            <v>2870</v>
          </cell>
          <cell r="J713">
            <v>16625</v>
          </cell>
          <cell r="L713">
            <v>2129</v>
          </cell>
          <cell r="N713">
            <v>917.85</v>
          </cell>
        </row>
        <row r="714">
          <cell r="B714">
            <v>5.4528999999999996</v>
          </cell>
          <cell r="D714">
            <v>5.9522000000000004</v>
          </cell>
          <cell r="F714">
            <v>9679</v>
          </cell>
          <cell r="H714">
            <v>2904</v>
          </cell>
          <cell r="J714">
            <v>16420</v>
          </cell>
          <cell r="L714">
            <v>2138</v>
          </cell>
          <cell r="N714">
            <v>956</v>
          </cell>
        </row>
        <row r="715">
          <cell r="B715">
            <v>5.4562999999999997</v>
          </cell>
          <cell r="D715">
            <v>5.9059999999999997</v>
          </cell>
          <cell r="F715">
            <v>9565</v>
          </cell>
          <cell r="H715">
            <v>2861</v>
          </cell>
          <cell r="J715">
            <v>16435</v>
          </cell>
          <cell r="L715">
            <v>2134</v>
          </cell>
          <cell r="N715">
            <v>939</v>
          </cell>
        </row>
        <row r="716">
          <cell r="B716">
            <v>5.4273999999999996</v>
          </cell>
          <cell r="D716">
            <v>5.9759000000000002</v>
          </cell>
          <cell r="F716">
            <v>9533</v>
          </cell>
          <cell r="H716">
            <v>2819</v>
          </cell>
          <cell r="J716">
            <v>16370</v>
          </cell>
          <cell r="L716">
            <v>2203</v>
          </cell>
          <cell r="N716">
            <v>971</v>
          </cell>
        </row>
        <row r="717">
          <cell r="B717">
            <v>5.4669999999999996</v>
          </cell>
          <cell r="D717">
            <v>6.0462999999999996</v>
          </cell>
          <cell r="F717">
            <v>9342</v>
          </cell>
          <cell r="H717">
            <v>2737</v>
          </cell>
          <cell r="J717">
            <v>16205</v>
          </cell>
          <cell r="L717">
            <v>2153</v>
          </cell>
          <cell r="N717">
            <v>950</v>
          </cell>
        </row>
        <row r="718">
          <cell r="B718">
            <v>5.5426000000000002</v>
          </cell>
          <cell r="D718">
            <v>6.0457999999999998</v>
          </cell>
          <cell r="F718">
            <v>9214</v>
          </cell>
          <cell r="H718">
            <v>2717</v>
          </cell>
          <cell r="J718">
            <v>16105</v>
          </cell>
          <cell r="L718">
            <v>2100</v>
          </cell>
          <cell r="N718">
            <v>919</v>
          </cell>
        </row>
        <row r="719">
          <cell r="B719">
            <v>5.5542999999999996</v>
          </cell>
          <cell r="D719">
            <v>6.0472999999999999</v>
          </cell>
          <cell r="F719">
            <v>9127.5</v>
          </cell>
          <cell r="H719">
            <v>2660.5</v>
          </cell>
          <cell r="J719">
            <v>15850</v>
          </cell>
          <cell r="L719">
            <v>2050.5</v>
          </cell>
          <cell r="N719">
            <v>901</v>
          </cell>
        </row>
        <row r="720">
          <cell r="B720">
            <v>5.5598000000000001</v>
          </cell>
          <cell r="D720">
            <v>6.0555000000000003</v>
          </cell>
          <cell r="F720">
            <v>9052.5</v>
          </cell>
          <cell r="H720">
            <v>2638.5</v>
          </cell>
          <cell r="J720">
            <v>15765</v>
          </cell>
          <cell r="L720">
            <v>2032</v>
          </cell>
          <cell r="N720">
            <v>911</v>
          </cell>
        </row>
        <row r="721">
          <cell r="B721">
            <v>5.5807000000000002</v>
          </cell>
          <cell r="D721">
            <v>6.1135000000000002</v>
          </cell>
          <cell r="F721">
            <v>9018.5</v>
          </cell>
          <cell r="H721">
            <v>2653</v>
          </cell>
          <cell r="J721">
            <v>15650</v>
          </cell>
          <cell r="L721">
            <v>2033</v>
          </cell>
          <cell r="N721">
            <v>941</v>
          </cell>
        </row>
        <row r="722">
          <cell r="B722">
            <v>5.6345999999999998</v>
          </cell>
          <cell r="D722">
            <v>6.1234999999999999</v>
          </cell>
          <cell r="F722">
            <v>8917</v>
          </cell>
          <cell r="H722">
            <v>2598</v>
          </cell>
          <cell r="J722">
            <v>15470</v>
          </cell>
          <cell r="L722">
            <v>2001</v>
          </cell>
          <cell r="N722">
            <v>902</v>
          </cell>
        </row>
        <row r="723">
          <cell r="B723">
            <v>5.6402000000000001</v>
          </cell>
          <cell r="D723">
            <v>6.1292</v>
          </cell>
          <cell r="F723">
            <v>9018.5</v>
          </cell>
          <cell r="H723">
            <v>2609</v>
          </cell>
          <cell r="J723">
            <v>15550</v>
          </cell>
          <cell r="L723">
            <v>2031</v>
          </cell>
          <cell r="N723">
            <v>908</v>
          </cell>
        </row>
        <row r="724">
          <cell r="B724">
            <v>5.6464999999999996</v>
          </cell>
          <cell r="D724">
            <v>6.1086999999999998</v>
          </cell>
          <cell r="F724">
            <v>8906</v>
          </cell>
          <cell r="H724">
            <v>2614</v>
          </cell>
          <cell r="J724">
            <v>15585</v>
          </cell>
          <cell r="L724">
            <v>2054</v>
          </cell>
          <cell r="N724">
            <v>912</v>
          </cell>
        </row>
        <row r="725">
          <cell r="B725">
            <v>5.6478999999999999</v>
          </cell>
          <cell r="D725">
            <v>6.1093000000000002</v>
          </cell>
          <cell r="F725">
            <v>8809</v>
          </cell>
          <cell r="H725">
            <v>2570.5</v>
          </cell>
          <cell r="J725">
            <v>15700</v>
          </cell>
          <cell r="L725">
            <v>2001</v>
          </cell>
          <cell r="N725">
            <v>893</v>
          </cell>
        </row>
        <row r="726">
          <cell r="B726">
            <v>5.6532</v>
          </cell>
          <cell r="D726">
            <v>6.1273999999999997</v>
          </cell>
          <cell r="F726">
            <v>9014.5</v>
          </cell>
          <cell r="H726">
            <v>2634.5</v>
          </cell>
          <cell r="J726">
            <v>16255</v>
          </cell>
          <cell r="L726">
            <v>2024</v>
          </cell>
          <cell r="N726">
            <v>851.48</v>
          </cell>
        </row>
        <row r="727">
          <cell r="B727">
            <v>5.6675000000000004</v>
          </cell>
          <cell r="D727">
            <v>6.1135000000000002</v>
          </cell>
          <cell r="F727">
            <v>8997</v>
          </cell>
          <cell r="H727">
            <v>2621</v>
          </cell>
          <cell r="J727">
            <v>15860</v>
          </cell>
          <cell r="L727">
            <v>2046</v>
          </cell>
          <cell r="N727">
            <v>930</v>
          </cell>
        </row>
        <row r="728">
          <cell r="B728">
            <v>5.7359999999999998</v>
          </cell>
          <cell r="D728">
            <v>6.2596999999999996</v>
          </cell>
          <cell r="F728">
            <v>8976.5</v>
          </cell>
          <cell r="H728">
            <v>2627</v>
          </cell>
          <cell r="J728">
            <v>16150</v>
          </cell>
          <cell r="L728">
            <v>1998</v>
          </cell>
          <cell r="N728">
            <v>904</v>
          </cell>
        </row>
        <row r="729">
          <cell r="B729">
            <v>5.7640000000000002</v>
          </cell>
          <cell r="D729">
            <v>6.3150000000000004</v>
          </cell>
          <cell r="F729" t="str">
            <v>FERIADO</v>
          </cell>
          <cell r="H729" t="str">
            <v>FERIADO</v>
          </cell>
          <cell r="J729" t="str">
            <v>FERIADO</v>
          </cell>
          <cell r="L729" t="str">
            <v>FERIADO</v>
          </cell>
          <cell r="N729" t="str">
            <v>FERIADO</v>
          </cell>
        </row>
        <row r="730">
          <cell r="B730">
            <v>5.6521999999999997</v>
          </cell>
          <cell r="D730">
            <v>6.1749999999999998</v>
          </cell>
          <cell r="F730">
            <v>8714</v>
          </cell>
          <cell r="H730">
            <v>2540.5</v>
          </cell>
          <cell r="J730">
            <v>16075</v>
          </cell>
          <cell r="L730">
            <v>1904</v>
          </cell>
          <cell r="N730">
            <v>855</v>
          </cell>
        </row>
        <row r="731">
          <cell r="B731">
            <v>5.6086999999999998</v>
          </cell>
          <cell r="D731">
            <v>6.1269</v>
          </cell>
          <cell r="F731">
            <v>8684</v>
          </cell>
          <cell r="H731">
            <v>2515</v>
          </cell>
          <cell r="J731">
            <v>16070</v>
          </cell>
          <cell r="L731">
            <v>1917</v>
          </cell>
          <cell r="N731">
            <v>910</v>
          </cell>
        </row>
        <row r="732">
          <cell r="B732">
            <v>5.6166</v>
          </cell>
          <cell r="D732">
            <v>6.1294000000000004</v>
          </cell>
          <cell r="F732">
            <v>8648.5</v>
          </cell>
          <cell r="H732">
            <v>2579</v>
          </cell>
          <cell r="J732">
            <v>15990</v>
          </cell>
          <cell r="L732">
            <v>1917</v>
          </cell>
          <cell r="N732">
            <v>908</v>
          </cell>
        </row>
        <row r="733">
          <cell r="B733">
            <v>5.5109000000000004</v>
          </cell>
          <cell r="D733">
            <v>6.0190000000000001</v>
          </cell>
          <cell r="F733">
            <v>8803</v>
          </cell>
          <cell r="H733">
            <v>2696</v>
          </cell>
          <cell r="J733">
            <v>16075</v>
          </cell>
          <cell r="L733">
            <v>1988</v>
          </cell>
          <cell r="N733">
            <v>922</v>
          </cell>
        </row>
        <row r="734">
          <cell r="B734">
            <v>5.4904999999999999</v>
          </cell>
          <cell r="D734">
            <v>6.9995000000000003</v>
          </cell>
          <cell r="F734">
            <v>8850.5</v>
          </cell>
          <cell r="H734">
            <v>2713</v>
          </cell>
          <cell r="J734">
            <v>15925</v>
          </cell>
          <cell r="L734">
            <v>2030</v>
          </cell>
          <cell r="N734">
            <v>930</v>
          </cell>
        </row>
        <row r="735">
          <cell r="B735">
            <v>5.4869000000000003</v>
          </cell>
          <cell r="D735">
            <v>6.0098000000000003</v>
          </cell>
          <cell r="F735">
            <v>8831</v>
          </cell>
          <cell r="H735">
            <v>2636</v>
          </cell>
          <cell r="J735">
            <v>15965</v>
          </cell>
          <cell r="L735">
            <v>1970</v>
          </cell>
          <cell r="N735">
            <v>937</v>
          </cell>
        </row>
        <row r="736">
          <cell r="B736">
            <v>5.4496000000000002</v>
          </cell>
          <cell r="D736">
            <v>6.0071000000000003</v>
          </cell>
          <cell r="F736">
            <v>8905</v>
          </cell>
          <cell r="H736">
            <v>2677</v>
          </cell>
          <cell r="J736">
            <v>16030</v>
          </cell>
          <cell r="L736">
            <v>1958</v>
          </cell>
          <cell r="N736">
            <v>949</v>
          </cell>
        </row>
        <row r="737">
          <cell r="B737">
            <v>5.4645000000000001</v>
          </cell>
          <cell r="D737">
            <v>6.0027999999999997</v>
          </cell>
          <cell r="F737">
            <v>9007</v>
          </cell>
          <cell r="H737">
            <v>2710</v>
          </cell>
          <cell r="J737">
            <v>16175</v>
          </cell>
          <cell r="L737">
            <v>2004</v>
          </cell>
          <cell r="N737">
            <v>930</v>
          </cell>
        </row>
        <row r="738">
          <cell r="B738">
            <v>5.4626000000000001</v>
          </cell>
          <cell r="D738">
            <v>6.0061</v>
          </cell>
          <cell r="F738">
            <v>8936</v>
          </cell>
          <cell r="H738">
            <v>2693.5</v>
          </cell>
          <cell r="J738">
            <v>15900</v>
          </cell>
          <cell r="L738">
            <v>1973</v>
          </cell>
          <cell r="N738">
            <v>943</v>
          </cell>
        </row>
        <row r="739">
          <cell r="B739">
            <v>5.4230999999999998</v>
          </cell>
          <cell r="D739">
            <v>6.0027999999999997</v>
          </cell>
          <cell r="F739">
            <v>9115</v>
          </cell>
          <cell r="H739">
            <v>2745</v>
          </cell>
          <cell r="J739">
            <v>16280</v>
          </cell>
          <cell r="L739">
            <v>2003.5</v>
          </cell>
          <cell r="N739">
            <v>929</v>
          </cell>
        </row>
        <row r="740">
          <cell r="B740">
            <v>5.4541000000000004</v>
          </cell>
          <cell r="D740">
            <v>6.0568</v>
          </cell>
          <cell r="F740">
            <v>9151</v>
          </cell>
          <cell r="H740">
            <v>2770</v>
          </cell>
          <cell r="J740">
            <v>16575</v>
          </cell>
          <cell r="L740">
            <v>2029</v>
          </cell>
          <cell r="N740">
            <v>942</v>
          </cell>
        </row>
        <row r="741">
          <cell r="B741">
            <v>5.4701000000000004</v>
          </cell>
          <cell r="D741">
            <v>6.0948000000000002</v>
          </cell>
          <cell r="F741">
            <v>9137</v>
          </cell>
          <cell r="H741">
            <v>2796.5</v>
          </cell>
          <cell r="J741">
            <v>16635</v>
          </cell>
          <cell r="L741">
            <v>2051</v>
          </cell>
          <cell r="N741">
            <v>969</v>
          </cell>
        </row>
        <row r="742">
          <cell r="B742">
            <v>5.5518000000000001</v>
          </cell>
          <cell r="D742">
            <v>6.1692</v>
          </cell>
          <cell r="F742">
            <v>9060.5</v>
          </cell>
          <cell r="H742">
            <v>2826</v>
          </cell>
          <cell r="J742">
            <v>16325</v>
          </cell>
          <cell r="L742">
            <v>2061</v>
          </cell>
          <cell r="N742">
            <v>949</v>
          </cell>
        </row>
        <row r="743">
          <cell r="B743">
            <v>5.5256999999999996</v>
          </cell>
          <cell r="D743">
            <v>6.1749999999999998</v>
          </cell>
          <cell r="F743">
            <v>9071</v>
          </cell>
          <cell r="H743">
            <v>2841</v>
          </cell>
          <cell r="J743">
            <v>16405</v>
          </cell>
          <cell r="L743">
            <v>2085</v>
          </cell>
          <cell r="N743">
            <v>942</v>
          </cell>
        </row>
        <row r="744">
          <cell r="B744">
            <v>5.4915000000000003</v>
          </cell>
          <cell r="D744">
            <v>6.1302000000000003</v>
          </cell>
          <cell r="F744" t="str">
            <v>FERIADO</v>
          </cell>
          <cell r="H744" t="str">
            <v>FERIADO</v>
          </cell>
          <cell r="J744" t="str">
            <v>FERIADO</v>
          </cell>
          <cell r="L744" t="str">
            <v>FERIADO</v>
          </cell>
          <cell r="N744" t="str">
            <v>FERIADO</v>
          </cell>
        </row>
        <row r="745">
          <cell r="B745">
            <v>5.4962999999999997</v>
          </cell>
          <cell r="D745">
            <v>6.1338999999999997</v>
          </cell>
          <cell r="F745">
            <v>9247.5</v>
          </cell>
          <cell r="H745">
            <v>2885</v>
          </cell>
          <cell r="J745">
            <v>16835</v>
          </cell>
          <cell r="L745">
            <v>2095</v>
          </cell>
          <cell r="N745">
            <v>966</v>
          </cell>
        </row>
        <row r="746">
          <cell r="B746">
            <v>5.5308999999999999</v>
          </cell>
          <cell r="D746">
            <v>6.1536999999999997</v>
          </cell>
          <cell r="F746">
            <v>9135.5</v>
          </cell>
          <cell r="H746">
            <v>2813</v>
          </cell>
          <cell r="J746">
            <v>16630</v>
          </cell>
          <cell r="L746">
            <v>2045</v>
          </cell>
          <cell r="N746">
            <v>960</v>
          </cell>
        </row>
        <row r="747">
          <cell r="B747">
            <v>5.6352000000000002</v>
          </cell>
          <cell r="D747">
            <v>6.2465999999999999</v>
          </cell>
          <cell r="F747">
            <v>9116</v>
          </cell>
          <cell r="H747">
            <v>2820</v>
          </cell>
          <cell r="J747">
            <v>16735</v>
          </cell>
          <cell r="L747">
            <v>2013</v>
          </cell>
          <cell r="N747">
            <v>957</v>
          </cell>
        </row>
        <row r="748">
          <cell r="B748">
            <v>5.6555999999999997</v>
          </cell>
          <cell r="D748">
            <v>6.2545000000000002</v>
          </cell>
          <cell r="F748">
            <v>9215</v>
          </cell>
          <cell r="H748">
            <v>2862</v>
          </cell>
          <cell r="J748">
            <v>16820</v>
          </cell>
          <cell r="L748">
            <v>2026</v>
          </cell>
          <cell r="N748">
            <v>980</v>
          </cell>
        </row>
        <row r="749">
          <cell r="B749">
            <v>5.6223999999999998</v>
          </cell>
          <cell r="D749">
            <v>6.2229000000000001</v>
          </cell>
          <cell r="F749">
            <v>9034</v>
          </cell>
          <cell r="H749">
            <v>2778</v>
          </cell>
          <cell r="J749">
            <v>16445</v>
          </cell>
          <cell r="L749">
            <v>2020</v>
          </cell>
          <cell r="N749">
            <v>976</v>
          </cell>
        </row>
        <row r="750">
          <cell r="B750">
            <v>5.6218000000000004</v>
          </cell>
          <cell r="D750">
            <v>6.2076000000000002</v>
          </cell>
          <cell r="F750">
            <v>8856</v>
          </cell>
          <cell r="H750">
            <v>2750</v>
          </cell>
          <cell r="J750">
            <v>16285</v>
          </cell>
          <cell r="L750">
            <v>2006</v>
          </cell>
          <cell r="N750">
            <v>956</v>
          </cell>
        </row>
        <row r="751">
          <cell r="B751">
            <v>5.6353</v>
          </cell>
          <cell r="D751">
            <v>6.2439</v>
          </cell>
          <cell r="F751">
            <v>8830.5</v>
          </cell>
          <cell r="H751">
            <v>2733.5</v>
          </cell>
          <cell r="J751">
            <v>16030</v>
          </cell>
          <cell r="L751">
            <v>1989</v>
          </cell>
          <cell r="N751">
            <v>938</v>
          </cell>
        </row>
        <row r="752">
          <cell r="B752">
            <v>5.6043000000000003</v>
          </cell>
          <cell r="D752">
            <v>6.218</v>
          </cell>
          <cell r="F752">
            <v>8915</v>
          </cell>
          <cell r="H752">
            <v>2687.5</v>
          </cell>
          <cell r="J752">
            <v>15770</v>
          </cell>
          <cell r="L752">
            <v>1977</v>
          </cell>
          <cell r="N752">
            <v>945</v>
          </cell>
        </row>
        <row r="753">
          <cell r="B753">
            <v>5.5696000000000003</v>
          </cell>
          <cell r="D753">
            <v>6.1738999999999997</v>
          </cell>
          <cell r="F753">
            <v>9013</v>
          </cell>
          <cell r="H753">
            <v>2714.5</v>
          </cell>
          <cell r="J753">
            <v>15830</v>
          </cell>
          <cell r="L753">
            <v>1953</v>
          </cell>
          <cell r="N753">
            <v>859.59</v>
          </cell>
        </row>
        <row r="754">
          <cell r="B754">
            <v>5.6090999999999998</v>
          </cell>
          <cell r="D754">
            <v>6.1929999999999996</v>
          </cell>
          <cell r="F754">
            <v>8989.5</v>
          </cell>
          <cell r="H754">
            <v>2682</v>
          </cell>
          <cell r="J754">
            <v>15655</v>
          </cell>
          <cell r="L754">
            <v>1915</v>
          </cell>
          <cell r="N754">
            <v>853.39</v>
          </cell>
        </row>
        <row r="755">
          <cell r="B755">
            <v>5.6247999999999996</v>
          </cell>
          <cell r="D755">
            <v>6.2008000000000001</v>
          </cell>
          <cell r="F755">
            <v>8935</v>
          </cell>
          <cell r="H755">
            <v>2653</v>
          </cell>
          <cell r="J755">
            <v>15610</v>
          </cell>
          <cell r="L755">
            <v>1912</v>
          </cell>
          <cell r="N755">
            <v>872.17</v>
          </cell>
        </row>
        <row r="756">
          <cell r="B756">
            <v>5.6380999999999997</v>
          </cell>
          <cell r="D756">
            <v>6.2087000000000003</v>
          </cell>
          <cell r="F756">
            <v>9007.5</v>
          </cell>
          <cell r="H756">
            <v>2727</v>
          </cell>
          <cell r="J756">
            <v>15700</v>
          </cell>
          <cell r="L756">
            <v>1960</v>
          </cell>
          <cell r="N756">
            <v>893.42</v>
          </cell>
        </row>
        <row r="757">
          <cell r="B757">
            <v>5.6547999999999998</v>
          </cell>
          <cell r="D757">
            <v>6.2428999999999997</v>
          </cell>
          <cell r="F757">
            <v>9115.5</v>
          </cell>
          <cell r="H757">
            <v>2810</v>
          </cell>
          <cell r="J757">
            <v>15875</v>
          </cell>
          <cell r="L757">
            <v>1998</v>
          </cell>
          <cell r="N757">
            <v>934.3</v>
          </cell>
        </row>
        <row r="758">
          <cell r="B758">
            <v>5.5711000000000004</v>
          </cell>
          <cell r="D758">
            <v>6.1749999999999998</v>
          </cell>
          <cell r="F758">
            <v>9080.5</v>
          </cell>
          <cell r="H758">
            <v>2798.5</v>
          </cell>
          <cell r="J758">
            <v>15665</v>
          </cell>
          <cell r="L758">
            <v>1991</v>
          </cell>
          <cell r="N758">
            <v>955.86</v>
          </cell>
        </row>
        <row r="759">
          <cell r="B759">
            <v>5.5201000000000002</v>
          </cell>
          <cell r="D759">
            <v>6.1395</v>
          </cell>
          <cell r="F759">
            <v>9216</v>
          </cell>
          <cell r="H759">
            <v>2896.5</v>
          </cell>
          <cell r="J759">
            <v>15950</v>
          </cell>
          <cell r="L759">
            <v>2019</v>
          </cell>
          <cell r="N759">
            <v>960</v>
          </cell>
        </row>
        <row r="760">
          <cell r="B760">
            <v>5.5004</v>
          </cell>
          <cell r="D760">
            <v>6.1142000000000003</v>
          </cell>
          <cell r="F760">
            <v>9242</v>
          </cell>
          <cell r="H760">
            <v>2884</v>
          </cell>
          <cell r="J760">
            <v>15955</v>
          </cell>
          <cell r="L760">
            <v>1983</v>
          </cell>
          <cell r="N760">
            <v>976.18</v>
          </cell>
        </row>
        <row r="761">
          <cell r="B761">
            <v>5.4760999999999997</v>
          </cell>
          <cell r="D761">
            <v>6.0867000000000004</v>
          </cell>
          <cell r="F761">
            <v>9289</v>
          </cell>
          <cell r="H761">
            <v>2889</v>
          </cell>
          <cell r="J761">
            <v>15975</v>
          </cell>
          <cell r="L761">
            <v>1997.5</v>
          </cell>
          <cell r="N761">
            <v>983.83</v>
          </cell>
        </row>
        <row r="762">
          <cell r="B762">
            <v>5.4183000000000003</v>
          </cell>
          <cell r="D762">
            <v>6.0392000000000001</v>
          </cell>
          <cell r="F762">
            <v>9405.5</v>
          </cell>
          <cell r="H762">
            <v>2892</v>
          </cell>
          <cell r="J762">
            <v>16110</v>
          </cell>
          <cell r="L762">
            <v>2046</v>
          </cell>
          <cell r="N762">
            <v>978</v>
          </cell>
        </row>
        <row r="763">
          <cell r="B763">
            <v>5.4768999999999997</v>
          </cell>
          <cell r="D763">
            <v>6.1109999999999998</v>
          </cell>
          <cell r="F763">
            <v>9395</v>
          </cell>
          <cell r="H763">
            <v>2862</v>
          </cell>
          <cell r="J763">
            <v>16175</v>
          </cell>
          <cell r="L763">
            <v>2033</v>
          </cell>
          <cell r="N763">
            <v>955.67</v>
          </cell>
        </row>
        <row r="764">
          <cell r="B764">
            <v>5.5439999999999996</v>
          </cell>
          <cell r="D764">
            <v>6.1699000000000002</v>
          </cell>
          <cell r="F764">
            <v>9329</v>
          </cell>
          <cell r="H764">
            <v>2839</v>
          </cell>
          <cell r="J764">
            <v>16350</v>
          </cell>
          <cell r="L764">
            <v>2011.5</v>
          </cell>
          <cell r="N764">
            <v>938.9</v>
          </cell>
        </row>
        <row r="765">
          <cell r="B765">
            <v>5.4695999999999998</v>
          </cell>
          <cell r="D765">
            <v>6.0986000000000002</v>
          </cell>
          <cell r="F765">
            <v>9602</v>
          </cell>
          <cell r="H765">
            <v>2943</v>
          </cell>
          <cell r="J765">
            <v>16430</v>
          </cell>
          <cell r="L765">
            <v>2050</v>
          </cell>
          <cell r="N765">
            <v>951.53</v>
          </cell>
        </row>
        <row r="766">
          <cell r="B766">
            <v>5.4729999999999999</v>
          </cell>
          <cell r="D766">
            <v>6.0979999999999999</v>
          </cell>
          <cell r="F766">
            <v>9618.5</v>
          </cell>
          <cell r="H766">
            <v>2957.5</v>
          </cell>
          <cell r="J766">
            <v>16450</v>
          </cell>
          <cell r="L766">
            <v>2044</v>
          </cell>
          <cell r="N766">
            <v>935.35</v>
          </cell>
        </row>
        <row r="767">
          <cell r="B767">
            <v>5.4405999999999999</v>
          </cell>
          <cell r="D767">
            <v>6.0837000000000003</v>
          </cell>
          <cell r="F767">
            <v>9844</v>
          </cell>
          <cell r="H767">
            <v>3038.5</v>
          </cell>
          <cell r="J767">
            <v>16555</v>
          </cell>
          <cell r="L767">
            <v>2101</v>
          </cell>
          <cell r="N767">
            <v>944.34</v>
          </cell>
        </row>
        <row r="768">
          <cell r="B768">
            <v>5.4424999999999999</v>
          </cell>
          <cell r="D768">
            <v>6.0727000000000002</v>
          </cell>
          <cell r="F768">
            <v>9860</v>
          </cell>
          <cell r="H768">
            <v>3045.5</v>
          </cell>
          <cell r="J768">
            <v>16655</v>
          </cell>
          <cell r="L768">
            <v>2078</v>
          </cell>
          <cell r="N768">
            <v>920.95</v>
          </cell>
        </row>
        <row r="769">
          <cell r="B769">
            <v>5.4474999999999998</v>
          </cell>
          <cell r="D769">
            <v>6.0707000000000004</v>
          </cell>
          <cell r="F769">
            <v>9767</v>
          </cell>
          <cell r="H769">
            <v>3075.5</v>
          </cell>
          <cell r="J769">
            <v>17005</v>
          </cell>
          <cell r="L769">
            <v>2070.5</v>
          </cell>
          <cell r="N769">
            <v>892.67</v>
          </cell>
        </row>
        <row r="770">
          <cell r="B770">
            <v>5.4515000000000002</v>
          </cell>
          <cell r="D770">
            <v>6.0326000000000004</v>
          </cell>
          <cell r="F770">
            <v>9741</v>
          </cell>
          <cell r="H770">
            <v>3108.5</v>
          </cell>
          <cell r="J770">
            <v>17320</v>
          </cell>
          <cell r="L770">
            <v>2075.5</v>
          </cell>
          <cell r="N770">
            <v>905.64</v>
          </cell>
        </row>
        <row r="771">
          <cell r="B771">
            <v>5.4298999999999999</v>
          </cell>
          <cell r="D771">
            <v>5.9995000000000003</v>
          </cell>
          <cell r="F771">
            <v>9882.5</v>
          </cell>
          <cell r="H771">
            <v>3132</v>
          </cell>
          <cell r="J771">
            <v>17730</v>
          </cell>
          <cell r="L771">
            <v>2091</v>
          </cell>
          <cell r="N771">
            <v>922.66</v>
          </cell>
        </row>
        <row r="772">
          <cell r="B772">
            <v>5.4843999999999999</v>
          </cell>
          <cell r="D772">
            <v>6.9410999999999996</v>
          </cell>
          <cell r="F772">
            <v>9786</v>
          </cell>
          <cell r="H772">
            <v>3134.5</v>
          </cell>
          <cell r="J772">
            <v>17920</v>
          </cell>
          <cell r="L772">
            <v>2092</v>
          </cell>
          <cell r="N772">
            <v>893.02</v>
          </cell>
        </row>
        <row r="773">
          <cell r="B773">
            <v>5.468</v>
          </cell>
          <cell r="D773">
            <v>5.9928999999999997</v>
          </cell>
          <cell r="F773">
            <v>9784</v>
          </cell>
          <cell r="H773">
            <v>3144</v>
          </cell>
          <cell r="J773">
            <v>17600</v>
          </cell>
          <cell r="L773">
            <v>2107</v>
          </cell>
          <cell r="N773">
            <v>918.87</v>
          </cell>
        </row>
        <row r="774">
          <cell r="B774">
            <v>5.4619999999999997</v>
          </cell>
          <cell r="D774">
            <v>5.9950999999999999</v>
          </cell>
          <cell r="F774">
            <v>9816.5</v>
          </cell>
          <cell r="H774">
            <v>3154</v>
          </cell>
          <cell r="J774">
            <v>17875</v>
          </cell>
          <cell r="L774">
            <v>2110</v>
          </cell>
          <cell r="N774">
            <v>918.87</v>
          </cell>
        </row>
        <row r="775">
          <cell r="B775">
            <v>5.5190999999999999</v>
          </cell>
          <cell r="D775">
            <v>6.0533000000000001</v>
          </cell>
          <cell r="F775">
            <v>9619</v>
          </cell>
          <cell r="H775">
            <v>3083</v>
          </cell>
          <cell r="J775">
            <v>17420</v>
          </cell>
          <cell r="L775">
            <v>2053.5</v>
          </cell>
          <cell r="N775">
            <v>924.41</v>
          </cell>
        </row>
        <row r="776">
          <cell r="B776">
            <v>5.5731000000000002</v>
          </cell>
          <cell r="D776">
            <v>6.1020000000000003</v>
          </cell>
          <cell r="F776">
            <v>9550</v>
          </cell>
          <cell r="H776">
            <v>3001</v>
          </cell>
          <cell r="J776">
            <v>17275</v>
          </cell>
          <cell r="L776">
            <v>2021</v>
          </cell>
          <cell r="N776">
            <v>931.08</v>
          </cell>
        </row>
        <row r="777">
          <cell r="B777">
            <v>5.5812999999999997</v>
          </cell>
          <cell r="D777">
            <v>6.0970000000000004</v>
          </cell>
          <cell r="F777">
            <v>9507</v>
          </cell>
          <cell r="H777">
            <v>3017</v>
          </cell>
          <cell r="J777">
            <v>17150</v>
          </cell>
          <cell r="L777">
            <v>2008</v>
          </cell>
          <cell r="N777">
            <v>964.38</v>
          </cell>
        </row>
        <row r="778">
          <cell r="B778">
            <v>5.6257000000000001</v>
          </cell>
          <cell r="D778">
            <v>6.1551</v>
          </cell>
          <cell r="F778">
            <v>9596.5</v>
          </cell>
          <cell r="H778">
            <v>3108</v>
          </cell>
          <cell r="J778">
            <v>17615</v>
          </cell>
          <cell r="L778">
            <v>2047</v>
          </cell>
          <cell r="N778">
            <v>981.25</v>
          </cell>
        </row>
        <row r="779">
          <cell r="B779">
            <v>5.6037999999999997</v>
          </cell>
          <cell r="D779">
            <v>6.1121999999999996</v>
          </cell>
          <cell r="F779">
            <v>9516</v>
          </cell>
          <cell r="H779">
            <v>3047</v>
          </cell>
          <cell r="J779">
            <v>17335</v>
          </cell>
          <cell r="L779">
            <v>2008</v>
          </cell>
          <cell r="N779">
            <v>840.34</v>
          </cell>
        </row>
        <row r="780">
          <cell r="B780">
            <v>5.6372</v>
          </cell>
          <cell r="D780">
            <v>6.1433999999999997</v>
          </cell>
          <cell r="F780">
            <v>9401.5</v>
          </cell>
          <cell r="H780">
            <v>2998</v>
          </cell>
          <cell r="J780">
            <v>17175</v>
          </cell>
          <cell r="L780">
            <v>1994</v>
          </cell>
          <cell r="N780">
            <v>894.05</v>
          </cell>
        </row>
        <row r="781">
          <cell r="B781">
            <v>5.6742999999999997</v>
          </cell>
          <cell r="D781">
            <v>6.1691000000000003</v>
          </cell>
          <cell r="F781">
            <v>9489</v>
          </cell>
          <cell r="H781">
            <v>3072</v>
          </cell>
          <cell r="J781">
            <v>17070</v>
          </cell>
          <cell r="L781">
            <v>2075</v>
          </cell>
          <cell r="N781">
            <v>879.07</v>
          </cell>
        </row>
        <row r="782">
          <cell r="B782">
            <v>5.6752000000000002</v>
          </cell>
          <cell r="D782">
            <v>6.1496000000000004</v>
          </cell>
          <cell r="F782">
            <v>9380</v>
          </cell>
          <cell r="H782">
            <v>3008</v>
          </cell>
          <cell r="J782">
            <v>16630</v>
          </cell>
          <cell r="L782">
            <v>2038</v>
          </cell>
          <cell r="N782">
            <v>960.74</v>
          </cell>
        </row>
        <row r="783">
          <cell r="B783">
            <v>5.6665999999999999</v>
          </cell>
          <cell r="D783">
            <v>6.15</v>
          </cell>
          <cell r="F783">
            <v>9472.5</v>
          </cell>
          <cell r="H783">
            <v>3082</v>
          </cell>
          <cell r="J783">
            <v>16780</v>
          </cell>
          <cell r="L783">
            <v>2034.5</v>
          </cell>
          <cell r="N783">
            <v>979.74</v>
          </cell>
        </row>
        <row r="784">
          <cell r="B784">
            <v>5.7061999999999999</v>
          </cell>
          <cell r="D784">
            <v>6.1741000000000001</v>
          </cell>
          <cell r="F784">
            <v>9592.5</v>
          </cell>
          <cell r="H784">
            <v>3123</v>
          </cell>
          <cell r="J784">
            <v>16715</v>
          </cell>
          <cell r="L784">
            <v>2035</v>
          </cell>
          <cell r="N784">
            <v>987.56</v>
          </cell>
        </row>
        <row r="785">
          <cell r="B785">
            <v>5.6951999999999998</v>
          </cell>
          <cell r="D785">
            <v>6.1531000000000002</v>
          </cell>
          <cell r="F785">
            <v>9490.5</v>
          </cell>
          <cell r="H785">
            <v>3152</v>
          </cell>
          <cell r="J785">
            <v>16310</v>
          </cell>
          <cell r="L785">
            <v>2051</v>
          </cell>
          <cell r="N785">
            <v>996.3</v>
          </cell>
        </row>
        <row r="786">
          <cell r="B786">
            <v>5.7142999999999997</v>
          </cell>
          <cell r="D786">
            <v>6.1589</v>
          </cell>
          <cell r="F786">
            <v>9364</v>
          </cell>
          <cell r="H786">
            <v>3165.5</v>
          </cell>
          <cell r="J786">
            <v>15860</v>
          </cell>
          <cell r="L786">
            <v>2019</v>
          </cell>
          <cell r="N786">
            <v>991.64</v>
          </cell>
        </row>
        <row r="787">
          <cell r="B787">
            <v>5.7081</v>
          </cell>
          <cell r="D787">
            <v>6.1658999999999997</v>
          </cell>
          <cell r="F787">
            <v>9413</v>
          </cell>
          <cell r="H787">
            <v>3237.5</v>
          </cell>
          <cell r="J787">
            <v>16035</v>
          </cell>
          <cell r="L787">
            <v>2039</v>
          </cell>
          <cell r="N787">
            <v>1050.93</v>
          </cell>
        </row>
        <row r="788">
          <cell r="B788">
            <v>5.6962999999999999</v>
          </cell>
          <cell r="D788">
            <v>6.1582999999999997</v>
          </cell>
          <cell r="F788">
            <v>9385</v>
          </cell>
          <cell r="H788">
            <v>3078</v>
          </cell>
          <cell r="J788">
            <v>15920</v>
          </cell>
          <cell r="L788">
            <v>2021</v>
          </cell>
          <cell r="N788">
            <v>1085.3599999999999</v>
          </cell>
        </row>
        <row r="789">
          <cell r="B789">
            <v>5.6981999999999999</v>
          </cell>
          <cell r="D789">
            <v>6.1637000000000004</v>
          </cell>
          <cell r="F789">
            <v>9402</v>
          </cell>
          <cell r="H789">
            <v>3105</v>
          </cell>
          <cell r="J789">
            <v>15810</v>
          </cell>
          <cell r="L789">
            <v>1990</v>
          </cell>
          <cell r="N789">
            <v>1110.9100000000001</v>
          </cell>
        </row>
        <row r="790">
          <cell r="F790">
            <v>9431</v>
          </cell>
        </row>
        <row r="791">
          <cell r="F791">
            <v>9356</v>
          </cell>
        </row>
        <row r="792">
          <cell r="F792">
            <v>9427</v>
          </cell>
        </row>
        <row r="793">
          <cell r="B793">
            <v>5.8067000000000002</v>
          </cell>
          <cell r="D793">
            <v>6.2991000000000001</v>
          </cell>
          <cell r="F793">
            <v>9425</v>
          </cell>
          <cell r="H793">
            <v>3062.5</v>
          </cell>
          <cell r="J793">
            <v>15840</v>
          </cell>
          <cell r="L793">
            <v>2022</v>
          </cell>
          <cell r="N793">
            <v>1036.83</v>
          </cell>
        </row>
        <row r="794">
          <cell r="B794">
            <v>5.7892000000000001</v>
          </cell>
          <cell r="D794">
            <v>6.3090999999999999</v>
          </cell>
          <cell r="F794">
            <v>9505</v>
          </cell>
          <cell r="H794">
            <v>3029</v>
          </cell>
          <cell r="J794">
            <v>15710</v>
          </cell>
          <cell r="L794">
            <v>2000.5</v>
          </cell>
          <cell r="N794">
            <v>994.04</v>
          </cell>
        </row>
        <row r="795">
          <cell r="B795">
            <v>5.7839999999999998</v>
          </cell>
          <cell r="D795">
            <v>6.3056999999999999</v>
          </cell>
          <cell r="F795">
            <v>9587.5</v>
          </cell>
          <cell r="H795">
            <v>3053</v>
          </cell>
          <cell r="J795">
            <v>15965</v>
          </cell>
          <cell r="L795">
            <v>2000</v>
          </cell>
          <cell r="N795">
            <v>1002.75</v>
          </cell>
        </row>
        <row r="796">
          <cell r="B796">
            <v>5.7641999999999998</v>
          </cell>
          <cell r="D796">
            <v>6.1896000000000004</v>
          </cell>
          <cell r="F796">
            <v>9250.5</v>
          </cell>
          <cell r="H796">
            <v>2955.5</v>
          </cell>
          <cell r="J796">
            <v>15615</v>
          </cell>
          <cell r="L796">
            <v>1979</v>
          </cell>
          <cell r="N796">
            <v>968.74</v>
          </cell>
        </row>
        <row r="797">
          <cell r="B797">
            <v>5.6618000000000004</v>
          </cell>
          <cell r="D797">
            <v>6.1204000000000001</v>
          </cell>
          <cell r="F797">
            <v>9386</v>
          </cell>
          <cell r="H797">
            <v>3052</v>
          </cell>
          <cell r="J797">
            <v>16260</v>
          </cell>
          <cell r="L797">
            <v>2004</v>
          </cell>
          <cell r="N797">
            <v>956.44</v>
          </cell>
        </row>
        <row r="798">
          <cell r="B798">
            <v>5.7641999999999998</v>
          </cell>
          <cell r="D798">
            <v>6.1954000000000002</v>
          </cell>
          <cell r="F798">
            <v>9323</v>
          </cell>
          <cell r="H798">
            <v>2967</v>
          </cell>
          <cell r="J798">
            <v>16105</v>
          </cell>
          <cell r="L798">
            <v>1997</v>
          </cell>
          <cell r="N798">
            <v>941.89</v>
          </cell>
        </row>
        <row r="799">
          <cell r="B799">
            <v>5.7973999999999997</v>
          </cell>
          <cell r="D799">
            <v>6.1718999999999999</v>
          </cell>
          <cell r="F799">
            <v>9251</v>
          </cell>
          <cell r="H799">
            <v>2981</v>
          </cell>
          <cell r="J799">
            <v>15910</v>
          </cell>
          <cell r="L799">
            <v>1984.5</v>
          </cell>
          <cell r="N799">
            <v>941.89</v>
          </cell>
        </row>
        <row r="800">
          <cell r="B800">
            <v>5.7687999999999997</v>
          </cell>
          <cell r="D800">
            <v>6.1200999999999999</v>
          </cell>
          <cell r="F800">
            <v>9005</v>
          </cell>
          <cell r="H800">
            <v>2917.5</v>
          </cell>
          <cell r="J800">
            <v>15780</v>
          </cell>
          <cell r="L800">
            <v>1981</v>
          </cell>
          <cell r="N800">
            <v>910.55</v>
          </cell>
        </row>
        <row r="801">
          <cell r="B801">
            <v>5.7706999999999997</v>
          </cell>
          <cell r="D801">
            <v>6.1093999999999999</v>
          </cell>
          <cell r="F801">
            <v>8969</v>
          </cell>
          <cell r="H801">
            <v>2925</v>
          </cell>
          <cell r="J801">
            <v>15555</v>
          </cell>
          <cell r="L801">
            <v>1987</v>
          </cell>
          <cell r="N801">
            <v>889.52</v>
          </cell>
        </row>
        <row r="802">
          <cell r="B802">
            <v>5.7878999999999996</v>
          </cell>
          <cell r="D802">
            <v>6.1200999999999999</v>
          </cell>
          <cell r="F802">
            <v>8768</v>
          </cell>
          <cell r="H802">
            <v>2903</v>
          </cell>
          <cell r="J802">
            <v>15335</v>
          </cell>
          <cell r="L802">
            <v>1937</v>
          </cell>
          <cell r="N802">
            <v>875.71</v>
          </cell>
        </row>
        <row r="803">
          <cell r="B803">
            <v>5.7878999999999996</v>
          </cell>
          <cell r="D803">
            <v>6.1200999999999999</v>
          </cell>
          <cell r="F803">
            <v>9055</v>
          </cell>
          <cell r="H803">
            <v>3006</v>
          </cell>
          <cell r="J803">
            <v>15500</v>
          </cell>
          <cell r="L803">
            <v>1936</v>
          </cell>
          <cell r="N803">
            <v>900.99</v>
          </cell>
        </row>
        <row r="804">
          <cell r="B804">
            <v>5.7596999999999996</v>
          </cell>
          <cell r="D804">
            <v>6.0896999999999997</v>
          </cell>
          <cell r="F804">
            <v>8859.5</v>
          </cell>
          <cell r="H804">
            <v>2927</v>
          </cell>
          <cell r="J804">
            <v>15290</v>
          </cell>
          <cell r="L804">
            <v>1921</v>
          </cell>
          <cell r="N804">
            <v>938</v>
          </cell>
        </row>
        <row r="805">
          <cell r="B805">
            <v>5.7736999999999998</v>
          </cell>
          <cell r="D805">
            <v>6.1120000000000001</v>
          </cell>
          <cell r="F805">
            <v>8919.5</v>
          </cell>
          <cell r="H805">
            <v>2944</v>
          </cell>
          <cell r="J805">
            <v>15630</v>
          </cell>
          <cell r="L805">
            <v>1946</v>
          </cell>
          <cell r="N805">
            <v>974.46</v>
          </cell>
        </row>
        <row r="806">
          <cell r="B806">
            <v>5.8167</v>
          </cell>
          <cell r="D806">
            <v>6.1120000000000001</v>
          </cell>
          <cell r="F806">
            <v>9022</v>
          </cell>
          <cell r="H806">
            <v>2967.5</v>
          </cell>
          <cell r="J806">
            <v>15805</v>
          </cell>
          <cell r="L806">
            <v>2006</v>
          </cell>
          <cell r="N806">
            <v>979.15</v>
          </cell>
        </row>
        <row r="807">
          <cell r="B807">
            <v>5.8117999999999999</v>
          </cell>
          <cell r="D807">
            <v>6.1134000000000004</v>
          </cell>
          <cell r="F807">
            <v>8945.5</v>
          </cell>
          <cell r="H807">
            <v>2987</v>
          </cell>
          <cell r="J807">
            <v>15705</v>
          </cell>
          <cell r="L807">
            <v>1975</v>
          </cell>
          <cell r="N807">
            <v>976.26</v>
          </cell>
        </row>
        <row r="808">
          <cell r="B808">
            <v>5.8117999999999999</v>
          </cell>
          <cell r="D808">
            <v>6.0500999999999996</v>
          </cell>
          <cell r="F808">
            <v>8829</v>
          </cell>
          <cell r="H808">
            <v>2965</v>
          </cell>
          <cell r="J808">
            <v>15610</v>
          </cell>
          <cell r="L808">
            <v>1985</v>
          </cell>
          <cell r="N808">
            <v>978.91</v>
          </cell>
        </row>
        <row r="809">
          <cell r="B809">
            <v>5.7995999999999999</v>
          </cell>
          <cell r="D809">
            <v>6.0831999999999997</v>
          </cell>
          <cell r="F809">
            <v>8918</v>
          </cell>
          <cell r="H809">
            <v>3011</v>
          </cell>
          <cell r="J809">
            <v>15810</v>
          </cell>
          <cell r="L809">
            <v>2009</v>
          </cell>
          <cell r="N809">
            <v>978.91</v>
          </cell>
        </row>
        <row r="810">
          <cell r="B810">
            <v>5.7984</v>
          </cell>
          <cell r="D810">
            <v>6.0761000000000003</v>
          </cell>
          <cell r="F810">
            <v>8925</v>
          </cell>
          <cell r="H810">
            <v>3083</v>
          </cell>
          <cell r="J810">
            <v>15895</v>
          </cell>
          <cell r="L810">
            <v>2000</v>
          </cell>
          <cell r="N810">
            <v>940.45</v>
          </cell>
        </row>
        <row r="811">
          <cell r="B811">
            <v>5.8285</v>
          </cell>
          <cell r="D811">
            <v>6.1607000000000003</v>
          </cell>
          <cell r="F811">
            <v>8897.5</v>
          </cell>
          <cell r="H811">
            <v>3107.5</v>
          </cell>
          <cell r="J811">
            <v>15675</v>
          </cell>
          <cell r="L811">
            <v>2011</v>
          </cell>
          <cell r="N811">
            <v>927.15</v>
          </cell>
        </row>
        <row r="812">
          <cell r="B812">
            <v>5.9865000000000004</v>
          </cell>
          <cell r="D812">
            <v>6.3170000000000002</v>
          </cell>
          <cell r="F812">
            <v>8850.5</v>
          </cell>
          <cell r="H812">
            <v>3045</v>
          </cell>
          <cell r="J812">
            <v>15805</v>
          </cell>
          <cell r="L812">
            <v>2033</v>
          </cell>
          <cell r="N812">
            <v>936.88</v>
          </cell>
        </row>
        <row r="813">
          <cell r="B813">
            <v>6.0529000000000002</v>
          </cell>
          <cell r="D813">
            <v>6.3930999999999996</v>
          </cell>
          <cell r="F813">
            <v>8879</v>
          </cell>
          <cell r="H813">
            <v>3092</v>
          </cell>
          <cell r="J813">
            <v>15745</v>
          </cell>
          <cell r="L813">
            <v>2043</v>
          </cell>
          <cell r="N813">
            <v>930.87</v>
          </cell>
        </row>
        <row r="814">
          <cell r="B814">
            <v>6.0534999999999997</v>
          </cell>
          <cell r="D814">
            <v>6.3471000000000002</v>
          </cell>
          <cell r="F814">
            <v>8871</v>
          </cell>
          <cell r="H814">
            <v>3085.5</v>
          </cell>
          <cell r="J814">
            <v>15545</v>
          </cell>
          <cell r="L814">
            <v>2040</v>
          </cell>
          <cell r="N814">
            <v>987</v>
          </cell>
        </row>
        <row r="815">
          <cell r="B815">
            <v>6.0633999999999997</v>
          </cell>
          <cell r="D815">
            <v>6.3833000000000002</v>
          </cell>
          <cell r="F815">
            <v>8941</v>
          </cell>
          <cell r="H815">
            <v>3079</v>
          </cell>
          <cell r="J815">
            <v>15720</v>
          </cell>
          <cell r="L815">
            <v>2031</v>
          </cell>
          <cell r="N815">
            <v>993</v>
          </cell>
        </row>
        <row r="816">
          <cell r="B816">
            <v>6.0707000000000004</v>
          </cell>
          <cell r="D816">
            <v>6.3779000000000003</v>
          </cell>
          <cell r="F816">
            <v>8951</v>
          </cell>
          <cell r="H816">
            <v>3077</v>
          </cell>
          <cell r="J816">
            <v>15760</v>
          </cell>
          <cell r="L816">
            <v>2054</v>
          </cell>
          <cell r="N816">
            <v>978</v>
          </cell>
        </row>
        <row r="817">
          <cell r="B817">
            <v>6.0580999999999996</v>
          </cell>
          <cell r="D817">
            <v>6.3262999999999998</v>
          </cell>
          <cell r="F817">
            <v>8967</v>
          </cell>
          <cell r="H817">
            <v>3099</v>
          </cell>
          <cell r="J817">
            <v>15775</v>
          </cell>
          <cell r="L817">
            <v>2066</v>
          </cell>
          <cell r="N817">
            <v>975</v>
          </cell>
        </row>
        <row r="818">
          <cell r="B818">
            <v>5.9848999999999997</v>
          </cell>
          <cell r="D818">
            <v>6.2206000000000001</v>
          </cell>
          <cell r="F818">
            <v>9040</v>
          </cell>
          <cell r="H818">
            <v>3062</v>
          </cell>
          <cell r="J818">
            <v>15800</v>
          </cell>
          <cell r="L818">
            <v>2071.5</v>
          </cell>
          <cell r="N818">
            <v>967</v>
          </cell>
        </row>
        <row r="819">
          <cell r="B819">
            <v>6.0293000000000001</v>
          </cell>
          <cell r="D819">
            <v>6.3341000000000003</v>
          </cell>
          <cell r="F819">
            <v>9104</v>
          </cell>
          <cell r="H819">
            <v>3110.5</v>
          </cell>
          <cell r="J819">
            <v>15710</v>
          </cell>
          <cell r="L819">
            <v>2063</v>
          </cell>
          <cell r="N819">
            <v>983</v>
          </cell>
        </row>
        <row r="820">
          <cell r="B820">
            <v>6.0570000000000004</v>
          </cell>
          <cell r="D820">
            <v>6.3566000000000003</v>
          </cell>
          <cell r="F820">
            <v>9067</v>
          </cell>
          <cell r="H820">
            <v>3105.5</v>
          </cell>
          <cell r="J820">
            <v>15535</v>
          </cell>
          <cell r="L820">
            <v>2037</v>
          </cell>
          <cell r="N820">
            <v>969</v>
          </cell>
        </row>
        <row r="821">
          <cell r="B821">
            <v>6.0529000000000002</v>
          </cell>
          <cell r="D821">
            <v>6.4756999999999998</v>
          </cell>
          <cell r="F821">
            <v>9077</v>
          </cell>
          <cell r="H821">
            <v>3092.5</v>
          </cell>
          <cell r="J821">
            <v>15580</v>
          </cell>
          <cell r="L821">
            <v>2037</v>
          </cell>
          <cell r="N821">
            <v>969</v>
          </cell>
        </row>
        <row r="822">
          <cell r="B822">
            <v>6.032</v>
          </cell>
          <cell r="D822">
            <v>6.2206000000000001</v>
          </cell>
          <cell r="F822">
            <v>9038.5</v>
          </cell>
          <cell r="H822">
            <v>3061</v>
          </cell>
          <cell r="J822">
            <v>15980</v>
          </cell>
          <cell r="L822">
            <v>1990</v>
          </cell>
          <cell r="N822">
            <v>975</v>
          </cell>
        </row>
        <row r="823">
          <cell r="B823">
            <v>5.9408000000000003</v>
          </cell>
          <cell r="D823">
            <v>6.3341000000000003</v>
          </cell>
          <cell r="F823">
            <v>8989</v>
          </cell>
          <cell r="H823">
            <v>3083</v>
          </cell>
          <cell r="J823">
            <v>15810</v>
          </cell>
          <cell r="L823">
            <v>1976</v>
          </cell>
          <cell r="N823">
            <v>965</v>
          </cell>
        </row>
        <row r="824">
          <cell r="B824">
            <v>6.04</v>
          </cell>
          <cell r="D824">
            <v>6.3566000000000003</v>
          </cell>
          <cell r="F824">
            <v>8932</v>
          </cell>
          <cell r="H824">
            <v>3062</v>
          </cell>
          <cell r="J824">
            <v>15590</v>
          </cell>
          <cell r="L824">
            <v>1976.5</v>
          </cell>
          <cell r="N824">
            <v>955</v>
          </cell>
        </row>
        <row r="825">
          <cell r="B825">
            <v>6.0509000000000004</v>
          </cell>
          <cell r="D825">
            <v>6.4756999999999998</v>
          </cell>
          <cell r="F825">
            <v>8851.5</v>
          </cell>
          <cell r="H825">
            <v>3020</v>
          </cell>
          <cell r="J825">
            <v>15380</v>
          </cell>
          <cell r="L825">
            <v>1963.5</v>
          </cell>
          <cell r="N825">
            <v>934</v>
          </cell>
        </row>
        <row r="826">
          <cell r="B826">
            <v>6.1684999999999999</v>
          </cell>
          <cell r="D826">
            <v>6.4539</v>
          </cell>
          <cell r="F826">
            <v>8905.5</v>
          </cell>
          <cell r="H826">
            <v>2988</v>
          </cell>
          <cell r="J826">
            <v>15320</v>
          </cell>
          <cell r="L826">
            <v>1952.5</v>
          </cell>
          <cell r="N826">
            <v>929</v>
          </cell>
        </row>
        <row r="827">
          <cell r="B827">
            <v>6.1623999999999999</v>
          </cell>
          <cell r="D827">
            <v>6.4179000000000004</v>
          </cell>
          <cell r="F827">
            <v>8795.5</v>
          </cell>
          <cell r="H827">
            <v>2962</v>
          </cell>
          <cell r="J827">
            <v>14965</v>
          </cell>
          <cell r="L827">
            <v>1947</v>
          </cell>
          <cell r="N827">
            <v>909</v>
          </cell>
        </row>
        <row r="828">
          <cell r="B828">
            <v>6.1840999999999999</v>
          </cell>
          <cell r="D828">
            <v>6.3181000000000003</v>
          </cell>
          <cell r="F828">
            <v>8793</v>
          </cell>
          <cell r="H828">
            <v>2958</v>
          </cell>
          <cell r="J828">
            <v>14965</v>
          </cell>
          <cell r="L828">
            <v>1946</v>
          </cell>
          <cell r="N828">
            <v>921</v>
          </cell>
        </row>
        <row r="829">
          <cell r="B829">
            <v>6.0780000000000003</v>
          </cell>
          <cell r="D829">
            <v>6.4009</v>
          </cell>
          <cell r="F829">
            <v>8838</v>
          </cell>
          <cell r="H829">
            <v>2997</v>
          </cell>
          <cell r="J829">
            <v>15200</v>
          </cell>
          <cell r="L829">
            <v>1973</v>
          </cell>
          <cell r="N829">
            <v>924</v>
          </cell>
        </row>
        <row r="830">
          <cell r="B830">
            <v>6.1612</v>
          </cell>
          <cell r="D830">
            <v>6.3994</v>
          </cell>
          <cell r="F830">
            <v>8847.5</v>
          </cell>
          <cell r="H830">
            <v>3022.5</v>
          </cell>
          <cell r="J830">
            <v>15260</v>
          </cell>
          <cell r="L830">
            <v>1963.5</v>
          </cell>
          <cell r="N830">
            <v>924</v>
          </cell>
        </row>
        <row r="831">
          <cell r="B831" t="str">
            <v>FERIADO</v>
          </cell>
          <cell r="D831" t="str">
            <v>FERIADO</v>
          </cell>
          <cell r="F831" t="str">
            <v>FERIADO</v>
          </cell>
          <cell r="H831" t="str">
            <v>FERIADO</v>
          </cell>
          <cell r="J831" t="str">
            <v>FERIADO</v>
          </cell>
          <cell r="L831" t="str">
            <v>FERIADO</v>
          </cell>
          <cell r="N831" t="str">
            <v>FERIADO</v>
          </cell>
        </row>
        <row r="832">
          <cell r="B832">
            <v>6.1540999999999997</v>
          </cell>
          <cell r="D832" t="str">
            <v>FERIADO</v>
          </cell>
          <cell r="F832" t="str">
            <v>FERIADO</v>
          </cell>
          <cell r="H832" t="str">
            <v>FERIADO</v>
          </cell>
          <cell r="J832" t="str">
            <v>FERIADO</v>
          </cell>
          <cell r="L832" t="str">
            <v>FERIADO</v>
          </cell>
          <cell r="N832" t="str">
            <v>FERIADO</v>
          </cell>
        </row>
        <row r="833">
          <cell r="B833">
            <v>6.1656000000000004</v>
          </cell>
          <cell r="D833">
            <v>6.4600999999999997</v>
          </cell>
          <cell r="F833">
            <v>8843</v>
          </cell>
          <cell r="H833">
            <v>2995.5</v>
          </cell>
          <cell r="J833">
            <v>15085</v>
          </cell>
          <cell r="L833">
            <v>1944</v>
          </cell>
          <cell r="N833">
            <v>919</v>
          </cell>
        </row>
        <row r="834">
          <cell r="B834">
            <v>6.1990999999999996</v>
          </cell>
          <cell r="D834">
            <v>6.4269999999999996</v>
          </cell>
          <cell r="F834">
            <v>8833</v>
          </cell>
          <cell r="H834">
            <v>3026</v>
          </cell>
          <cell r="J834">
            <v>15330</v>
          </cell>
          <cell r="L834">
            <v>1928</v>
          </cell>
          <cell r="N834">
            <v>909</v>
          </cell>
        </row>
        <row r="835">
          <cell r="B835">
            <v>6.1923000000000004</v>
          </cell>
          <cell r="D835">
            <v>6.4344000000000001</v>
          </cell>
          <cell r="F835">
            <v>8706</v>
          </cell>
          <cell r="H835">
            <v>2974</v>
          </cell>
          <cell r="J835">
            <v>15100</v>
          </cell>
          <cell r="L835">
            <v>1921.5</v>
          </cell>
          <cell r="N835">
            <v>909</v>
          </cell>
        </row>
        <row r="836">
          <cell r="B836">
            <v>6.1923000000000004</v>
          </cell>
          <cell r="D836">
            <v>6.3780999999999999</v>
          </cell>
          <cell r="F836">
            <v>8685.5</v>
          </cell>
          <cell r="H836">
            <v>2926.5</v>
          </cell>
          <cell r="J836">
            <v>15010</v>
          </cell>
          <cell r="L836">
            <v>1915</v>
          </cell>
          <cell r="N836">
            <v>921</v>
          </cell>
        </row>
        <row r="837">
          <cell r="B837">
            <v>6.2085999999999997</v>
          </cell>
          <cell r="D837">
            <v>6.3330000000000002</v>
          </cell>
          <cell r="F837">
            <v>8701</v>
          </cell>
          <cell r="H837">
            <v>2864.5</v>
          </cell>
          <cell r="J837">
            <v>14770</v>
          </cell>
          <cell r="L837">
            <v>1898</v>
          </cell>
          <cell r="N837">
            <v>931</v>
          </cell>
        </row>
        <row r="838">
          <cell r="B838">
            <v>6.1562999999999999</v>
          </cell>
          <cell r="D838">
            <v>6.3521000000000001</v>
          </cell>
          <cell r="F838">
            <v>8893.5</v>
          </cell>
          <cell r="H838">
            <v>2879</v>
          </cell>
          <cell r="J838">
            <v>15070</v>
          </cell>
          <cell r="L838">
            <v>1918</v>
          </cell>
          <cell r="N838">
            <v>932</v>
          </cell>
        </row>
        <row r="839">
          <cell r="B839">
            <v>6.1119000000000003</v>
          </cell>
          <cell r="D839">
            <v>6.2994000000000003</v>
          </cell>
          <cell r="F839">
            <v>8886</v>
          </cell>
          <cell r="H839">
            <v>2844</v>
          </cell>
          <cell r="J839">
            <v>15120</v>
          </cell>
          <cell r="L839">
            <v>1907</v>
          </cell>
          <cell r="N839">
            <v>928</v>
          </cell>
        </row>
        <row r="840">
          <cell r="B840">
            <v>6.0740999999999996</v>
          </cell>
          <cell r="D840">
            <v>6.3160999999999996</v>
          </cell>
          <cell r="F840">
            <v>8847</v>
          </cell>
          <cell r="H840">
            <v>2798</v>
          </cell>
          <cell r="J840">
            <v>15180</v>
          </cell>
          <cell r="L840">
            <v>1920</v>
          </cell>
          <cell r="N840">
            <v>926</v>
          </cell>
        </row>
        <row r="841">
          <cell r="B841">
            <v>6.1321000000000003</v>
          </cell>
          <cell r="D841">
            <v>6.2710999999999997</v>
          </cell>
          <cell r="F841">
            <v>8960.5</v>
          </cell>
          <cell r="H841">
            <v>2821</v>
          </cell>
          <cell r="J841">
            <v>15185</v>
          </cell>
          <cell r="L841">
            <v>1907</v>
          </cell>
          <cell r="N841">
            <v>921</v>
          </cell>
        </row>
        <row r="842">
          <cell r="B842">
            <v>6.0895999999999999</v>
          </cell>
          <cell r="D842">
            <v>6.2488999999999999</v>
          </cell>
          <cell r="F842">
            <v>8995.5</v>
          </cell>
          <cell r="H842">
            <v>2856.5</v>
          </cell>
          <cell r="J842">
            <v>15400</v>
          </cell>
          <cell r="L842">
            <v>1949</v>
          </cell>
          <cell r="N842">
            <v>952</v>
          </cell>
        </row>
        <row r="843">
          <cell r="B843">
            <v>6.0964999999999998</v>
          </cell>
          <cell r="D843">
            <v>6.2275999999999998</v>
          </cell>
          <cell r="F843">
            <v>8980</v>
          </cell>
          <cell r="H843">
            <v>2839</v>
          </cell>
          <cell r="J843">
            <v>15560</v>
          </cell>
          <cell r="L843">
            <v>1926</v>
          </cell>
          <cell r="N843">
            <v>932</v>
          </cell>
        </row>
        <row r="844">
          <cell r="B844">
            <v>6.1078999999999999</v>
          </cell>
          <cell r="D844">
            <v>6.2442000000000002</v>
          </cell>
          <cell r="F844">
            <v>9016</v>
          </cell>
          <cell r="H844">
            <v>2831</v>
          </cell>
          <cell r="J844">
            <v>15600</v>
          </cell>
          <cell r="L844">
            <v>1914.5</v>
          </cell>
          <cell r="N844">
            <v>942</v>
          </cell>
        </row>
        <row r="845">
          <cell r="B845">
            <v>6.1670999999999996</v>
          </cell>
          <cell r="D845">
            <v>6.2218</v>
          </cell>
          <cell r="F845">
            <v>9020</v>
          </cell>
          <cell r="H845">
            <v>2792</v>
          </cell>
          <cell r="J845">
            <v>15630</v>
          </cell>
          <cell r="L845">
            <v>1907</v>
          </cell>
          <cell r="N845">
            <v>961</v>
          </cell>
        </row>
        <row r="846">
          <cell r="B846">
            <v>6.0377000000000001</v>
          </cell>
          <cell r="D846">
            <v>6.2131999999999996</v>
          </cell>
          <cell r="F846">
            <v>9135</v>
          </cell>
          <cell r="H846">
            <v>2824</v>
          </cell>
          <cell r="J846">
            <v>15665</v>
          </cell>
          <cell r="L846">
            <v>1930</v>
          </cell>
          <cell r="N846">
            <v>953</v>
          </cell>
        </row>
        <row r="847">
          <cell r="B847">
            <v>6.0321999999999996</v>
          </cell>
          <cell r="D847">
            <v>6.2408999999999999</v>
          </cell>
          <cell r="F847">
            <v>9132</v>
          </cell>
          <cell r="H847">
            <v>2884</v>
          </cell>
          <cell r="J847">
            <v>15840</v>
          </cell>
          <cell r="L847">
            <v>1936</v>
          </cell>
          <cell r="N847">
            <v>952</v>
          </cell>
        </row>
        <row r="848">
          <cell r="B848">
            <v>6.0609000000000002</v>
          </cell>
          <cell r="D848">
            <v>6.2911999999999999</v>
          </cell>
          <cell r="F848">
            <v>9043.5</v>
          </cell>
          <cell r="H848">
            <v>2891</v>
          </cell>
          <cell r="J848">
            <v>15680</v>
          </cell>
          <cell r="L848">
            <v>1948.5</v>
          </cell>
          <cell r="N848">
            <v>938</v>
          </cell>
        </row>
        <row r="849">
          <cell r="B849">
            <v>6.0498000000000003</v>
          </cell>
          <cell r="D849">
            <v>6.2850999999999999</v>
          </cell>
          <cell r="F849">
            <v>9067</v>
          </cell>
          <cell r="H849">
            <v>2887</v>
          </cell>
          <cell r="J849">
            <v>15850</v>
          </cell>
          <cell r="L849">
            <v>1915</v>
          </cell>
          <cell r="N849">
            <v>944</v>
          </cell>
        </row>
        <row r="850">
          <cell r="B850">
            <v>6.0439999999999996</v>
          </cell>
          <cell r="D850">
            <v>6.2168000000000001</v>
          </cell>
          <cell r="F850">
            <v>9123</v>
          </cell>
          <cell r="H850">
            <v>2851.5</v>
          </cell>
          <cell r="J850">
            <v>15580</v>
          </cell>
          <cell r="L850">
            <v>1943</v>
          </cell>
          <cell r="N850">
            <v>977</v>
          </cell>
        </row>
        <row r="851">
          <cell r="B851">
            <v>5.9673999999999996</v>
          </cell>
          <cell r="D851">
            <v>6.1745000000000001</v>
          </cell>
          <cell r="F851">
            <v>9056</v>
          </cell>
          <cell r="H851">
            <v>2818</v>
          </cell>
          <cell r="J851">
            <v>15510</v>
          </cell>
          <cell r="L851">
            <v>1923</v>
          </cell>
          <cell r="N851">
            <v>998</v>
          </cell>
        </row>
        <row r="852">
          <cell r="B852">
            <v>5.9398999999999997</v>
          </cell>
          <cell r="D852">
            <v>6.1952999999999996</v>
          </cell>
          <cell r="F852">
            <v>9218</v>
          </cell>
          <cell r="H852">
            <v>2821.5</v>
          </cell>
          <cell r="J852">
            <v>15470</v>
          </cell>
          <cell r="L852">
            <v>1926</v>
          </cell>
          <cell r="N852">
            <v>1002</v>
          </cell>
        </row>
        <row r="853">
          <cell r="B853">
            <v>5.8925000000000001</v>
          </cell>
          <cell r="D853">
            <v>6.2217000000000002</v>
          </cell>
          <cell r="F853">
            <v>9051</v>
          </cell>
          <cell r="H853">
            <v>2791</v>
          </cell>
          <cell r="J853">
            <v>15505</v>
          </cell>
          <cell r="L853">
            <v>1913</v>
          </cell>
          <cell r="N853">
            <v>970</v>
          </cell>
        </row>
        <row r="854">
          <cell r="B854">
            <v>5.9272</v>
          </cell>
          <cell r="D854">
            <v>6.1416000000000004</v>
          </cell>
          <cell r="F854">
            <v>8890.5</v>
          </cell>
          <cell r="H854">
            <v>2746.5</v>
          </cell>
          <cell r="J854">
            <v>15240</v>
          </cell>
          <cell r="L854">
            <v>1897</v>
          </cell>
          <cell r="N854">
            <v>959</v>
          </cell>
        </row>
        <row r="855">
          <cell r="B855">
            <v>5.8929999999999998</v>
          </cell>
          <cell r="D855">
            <v>6.1044999999999998</v>
          </cell>
          <cell r="F855">
            <v>8881</v>
          </cell>
          <cell r="H855">
            <v>2720.5</v>
          </cell>
          <cell r="J855">
            <v>15230</v>
          </cell>
          <cell r="L855">
            <v>1931.5</v>
          </cell>
          <cell r="N855">
            <v>956</v>
          </cell>
        </row>
        <row r="856">
          <cell r="B856">
            <v>5.8596000000000004</v>
          </cell>
          <cell r="D856">
            <v>6.1543000000000001</v>
          </cell>
          <cell r="F856">
            <v>8975</v>
          </cell>
          <cell r="H856">
            <v>2756</v>
          </cell>
          <cell r="J856">
            <v>15195</v>
          </cell>
          <cell r="L856">
            <v>1935</v>
          </cell>
          <cell r="N856">
            <v>985</v>
          </cell>
        </row>
        <row r="857">
          <cell r="B857">
            <v>5.9005999999999998</v>
          </cell>
          <cell r="D857">
            <v>6.0602999999999998</v>
          </cell>
          <cell r="F857">
            <v>8949.5</v>
          </cell>
          <cell r="H857">
            <v>2711</v>
          </cell>
          <cell r="J857">
            <v>15040</v>
          </cell>
          <cell r="L857">
            <v>1920</v>
          </cell>
          <cell r="N857">
            <v>994</v>
          </cell>
        </row>
        <row r="858">
          <cell r="B858">
            <v>5.8300999999999998</v>
          </cell>
          <cell r="D858">
            <v>6.0511999999999997</v>
          </cell>
          <cell r="F858">
            <v>8866.5</v>
          </cell>
          <cell r="H858">
            <v>2699</v>
          </cell>
          <cell r="J858">
            <v>14900</v>
          </cell>
          <cell r="L858">
            <v>1907</v>
          </cell>
          <cell r="N858">
            <v>1005</v>
          </cell>
        </row>
        <row r="859">
          <cell r="B859">
            <v>5.8686999999999996</v>
          </cell>
          <cell r="D859">
            <v>6.0115999999999996</v>
          </cell>
          <cell r="F859">
            <v>8993</v>
          </cell>
          <cell r="H859">
            <v>2760</v>
          </cell>
          <cell r="J859">
            <v>14895</v>
          </cell>
          <cell r="L859">
            <v>1906.5</v>
          </cell>
          <cell r="N859">
            <v>999</v>
          </cell>
        </row>
        <row r="860">
          <cell r="B860">
            <v>5.7927</v>
          </cell>
          <cell r="D860">
            <v>6.0431999999999997</v>
          </cell>
          <cell r="F860">
            <v>9025</v>
          </cell>
          <cell r="H860">
            <v>2718.5</v>
          </cell>
          <cell r="J860">
            <v>15180</v>
          </cell>
          <cell r="L860">
            <v>1954</v>
          </cell>
          <cell r="N860">
            <v>994</v>
          </cell>
        </row>
        <row r="861">
          <cell r="B861">
            <v>5.7996999999999996</v>
          </cell>
          <cell r="D861">
            <v>5.9978999999999996</v>
          </cell>
          <cell r="F861">
            <v>9166</v>
          </cell>
          <cell r="H861">
            <v>2770</v>
          </cell>
          <cell r="J861">
            <v>15525</v>
          </cell>
          <cell r="L861">
            <v>1971</v>
          </cell>
          <cell r="N861">
            <v>994</v>
          </cell>
        </row>
        <row r="862">
          <cell r="B862">
            <v>5.7855999999999996</v>
          </cell>
          <cell r="D862">
            <v>5.9583000000000004</v>
          </cell>
          <cell r="F862">
            <v>9288</v>
          </cell>
          <cell r="H862">
            <v>2816</v>
          </cell>
          <cell r="J862">
            <v>15575</v>
          </cell>
          <cell r="L862">
            <v>1981</v>
          </cell>
          <cell r="N862">
            <v>994</v>
          </cell>
        </row>
        <row r="863">
          <cell r="B863">
            <v>5.7557</v>
          </cell>
          <cell r="D863">
            <v>5.9622999999999999</v>
          </cell>
          <cell r="F863">
            <v>9287.5</v>
          </cell>
          <cell r="H863">
            <v>2786</v>
          </cell>
          <cell r="J863">
            <v>15400</v>
          </cell>
          <cell r="L863">
            <v>1947.5</v>
          </cell>
          <cell r="N863">
            <v>987</v>
          </cell>
        </row>
        <row r="864">
          <cell r="B864">
            <v>5.7808000000000002</v>
          </cell>
          <cell r="D864">
            <v>5.9741</v>
          </cell>
          <cell r="F864">
            <v>9245</v>
          </cell>
          <cell r="H864">
            <v>2763</v>
          </cell>
          <cell r="J864">
            <v>15175</v>
          </cell>
          <cell r="L864">
            <v>1950</v>
          </cell>
          <cell r="N864">
            <v>983</v>
          </cell>
        </row>
        <row r="865">
          <cell r="B865">
            <v>5.7788000000000004</v>
          </cell>
          <cell r="D865">
            <v>5.9863</v>
          </cell>
          <cell r="F865">
            <v>9277.5</v>
          </cell>
          <cell r="H865">
            <v>2815</v>
          </cell>
          <cell r="J865">
            <v>15200</v>
          </cell>
          <cell r="L865">
            <v>1933</v>
          </cell>
          <cell r="N865">
            <v>975</v>
          </cell>
        </row>
        <row r="866">
          <cell r="B866">
            <v>5.7710999999999997</v>
          </cell>
          <cell r="D866">
            <v>6.0284000000000004</v>
          </cell>
          <cell r="F866">
            <v>9362</v>
          </cell>
          <cell r="H866">
            <v>2811</v>
          </cell>
          <cell r="J866">
            <v>15100</v>
          </cell>
          <cell r="L866">
            <v>1948</v>
          </cell>
          <cell r="N866">
            <v>986</v>
          </cell>
        </row>
        <row r="867">
          <cell r="B867">
            <v>5.7788000000000004</v>
          </cell>
          <cell r="D867">
            <v>6.0186999999999999</v>
          </cell>
          <cell r="F867">
            <v>9812</v>
          </cell>
          <cell r="H867">
            <v>2845</v>
          </cell>
          <cell r="J867">
            <v>15360</v>
          </cell>
          <cell r="L867">
            <v>1951</v>
          </cell>
          <cell r="N867">
            <v>992</v>
          </cell>
        </row>
        <row r="868">
          <cell r="B868">
            <v>5.7282999999999999</v>
          </cell>
          <cell r="D868">
            <v>5.9627999999999997</v>
          </cell>
          <cell r="F868">
            <v>9291</v>
          </cell>
          <cell r="H868">
            <v>2803</v>
          </cell>
          <cell r="J868">
            <v>15175</v>
          </cell>
          <cell r="L868">
            <v>1967</v>
          </cell>
          <cell r="N868">
            <v>985</v>
          </cell>
        </row>
        <row r="869">
          <cell r="B869">
            <v>5.7104999999999997</v>
          </cell>
          <cell r="D869">
            <v>5.9627999999999997</v>
          </cell>
          <cell r="F869">
            <v>9285</v>
          </cell>
          <cell r="H869">
            <v>2836</v>
          </cell>
          <cell r="J869">
            <v>15135</v>
          </cell>
          <cell r="L869">
            <v>1952</v>
          </cell>
          <cell r="N869">
            <v>979</v>
          </cell>
        </row>
        <row r="870">
          <cell r="B870">
            <v>5.6978999999999997</v>
          </cell>
          <cell r="D870">
            <v>5.9500999999999999</v>
          </cell>
          <cell r="F870">
            <v>9433</v>
          </cell>
          <cell r="H870">
            <v>2851</v>
          </cell>
          <cell r="J870">
            <v>15130</v>
          </cell>
          <cell r="L870">
            <v>1940</v>
          </cell>
          <cell r="N870">
            <v>983</v>
          </cell>
        </row>
        <row r="871">
          <cell r="B871">
            <v>5.7087000000000003</v>
          </cell>
          <cell r="D871">
            <v>5.9703999999999997</v>
          </cell>
          <cell r="F871">
            <v>9514.5</v>
          </cell>
          <cell r="H871">
            <v>2880</v>
          </cell>
          <cell r="J871">
            <v>15405</v>
          </cell>
          <cell r="L871">
            <v>1970.5</v>
          </cell>
          <cell r="N871">
            <v>983</v>
          </cell>
        </row>
        <row r="872">
          <cell r="B872">
            <v>5.7919</v>
          </cell>
          <cell r="D872">
            <v>5.9610000000000003</v>
          </cell>
          <cell r="F872">
            <v>9494</v>
          </cell>
          <cell r="H872">
            <v>2859</v>
          </cell>
          <cell r="J872">
            <v>15300</v>
          </cell>
          <cell r="L872">
            <v>1956</v>
          </cell>
          <cell r="N872">
            <v>978</v>
          </cell>
        </row>
        <row r="873">
          <cell r="B873">
            <v>5.7027000000000001</v>
          </cell>
          <cell r="D873">
            <v>5.9931000000000001</v>
          </cell>
          <cell r="F873">
            <v>9490</v>
          </cell>
          <cell r="H873">
            <v>2840</v>
          </cell>
          <cell r="J873">
            <v>15335</v>
          </cell>
          <cell r="L873">
            <v>1970.5</v>
          </cell>
          <cell r="N873">
            <v>954</v>
          </cell>
        </row>
        <row r="874">
          <cell r="B874">
            <v>5.7257999999999996</v>
          </cell>
          <cell r="D874">
            <v>6.0644</v>
          </cell>
          <cell r="F874">
            <v>9463</v>
          </cell>
          <cell r="H874">
            <v>2778.5</v>
          </cell>
          <cell r="J874">
            <v>15150</v>
          </cell>
          <cell r="L874">
            <v>1955</v>
          </cell>
          <cell r="N874">
            <v>937.5</v>
          </cell>
        </row>
        <row r="875">
          <cell r="B875">
            <v>5.7778999999999998</v>
          </cell>
          <cell r="D875">
            <v>6.0673000000000004</v>
          </cell>
          <cell r="F875">
            <v>9504</v>
          </cell>
          <cell r="H875">
            <v>2793.5</v>
          </cell>
          <cell r="J875">
            <v>15450</v>
          </cell>
          <cell r="L875">
            <v>1984</v>
          </cell>
          <cell r="N875">
            <v>929</v>
          </cell>
        </row>
        <row r="876">
          <cell r="B876">
            <v>5.7756999999999996</v>
          </cell>
          <cell r="D876">
            <v>6.0632000000000001</v>
          </cell>
          <cell r="F876">
            <v>9415.5</v>
          </cell>
          <cell r="H876">
            <v>2801.5</v>
          </cell>
          <cell r="J876">
            <v>15645</v>
          </cell>
          <cell r="L876">
            <v>1981</v>
          </cell>
          <cell r="N876">
            <v>922</v>
          </cell>
        </row>
        <row r="877">
          <cell r="B877">
            <v>5.8228</v>
          </cell>
          <cell r="D877">
            <v>6.0815000000000001</v>
          </cell>
          <cell r="F877">
            <v>9363.5</v>
          </cell>
          <cell r="H877">
            <v>2768</v>
          </cell>
          <cell r="J877">
            <v>15460</v>
          </cell>
          <cell r="L877">
            <v>1980.5</v>
          </cell>
          <cell r="N877">
            <v>918</v>
          </cell>
        </row>
        <row r="878">
          <cell r="B878" t="str">
            <v>FERIADO</v>
          </cell>
          <cell r="D878" t="str">
            <v>FERIADO</v>
          </cell>
          <cell r="F878">
            <v>9360.5</v>
          </cell>
          <cell r="H878">
            <v>2806.5</v>
          </cell>
          <cell r="J878">
            <v>15600</v>
          </cell>
          <cell r="L878">
            <v>1972</v>
          </cell>
          <cell r="N878">
            <v>940</v>
          </cell>
        </row>
        <row r="879">
          <cell r="B879" t="str">
            <v>FERIADO</v>
          </cell>
          <cell r="D879" t="str">
            <v>FERIADO</v>
          </cell>
          <cell r="F879">
            <v>9395</v>
          </cell>
          <cell r="H879">
            <v>2798</v>
          </cell>
          <cell r="J879">
            <v>15760</v>
          </cell>
          <cell r="L879">
            <v>1990</v>
          </cell>
          <cell r="N879">
            <v>946</v>
          </cell>
        </row>
        <row r="880">
          <cell r="B880">
            <v>5.8487999999999998</v>
          </cell>
          <cell r="D880">
            <v>6.2378</v>
          </cell>
          <cell r="F880">
            <v>9541</v>
          </cell>
          <cell r="H880">
            <v>2827</v>
          </cell>
          <cell r="J880">
            <v>15675</v>
          </cell>
          <cell r="L880">
            <v>1995</v>
          </cell>
          <cell r="N880">
            <v>941</v>
          </cell>
        </row>
        <row r="881">
          <cell r="B881">
            <v>5.7914000000000003</v>
          </cell>
          <cell r="D881">
            <v>6.2173999999999996</v>
          </cell>
          <cell r="F881">
            <v>9654</v>
          </cell>
          <cell r="H881">
            <v>2888</v>
          </cell>
          <cell r="J881">
            <v>15990</v>
          </cell>
          <cell r="L881">
            <v>2021</v>
          </cell>
          <cell r="N881">
            <v>947</v>
          </cell>
        </row>
        <row r="882">
          <cell r="B882">
            <v>5.7488999999999999</v>
          </cell>
          <cell r="D882">
            <v>6.2694999999999999</v>
          </cell>
          <cell r="F882">
            <v>9664</v>
          </cell>
          <cell r="H882">
            <v>2850.5</v>
          </cell>
          <cell r="J882">
            <v>16050</v>
          </cell>
          <cell r="L882">
            <v>2005</v>
          </cell>
          <cell r="N882">
            <v>942</v>
          </cell>
        </row>
        <row r="883">
          <cell r="B883">
            <v>5.7687999999999997</v>
          </cell>
          <cell r="D883">
            <v>6.2771999999999997</v>
          </cell>
          <cell r="F883">
            <v>9547</v>
          </cell>
          <cell r="H883">
            <v>2827</v>
          </cell>
          <cell r="J883">
            <v>16420</v>
          </cell>
          <cell r="L883">
            <v>2032</v>
          </cell>
          <cell r="N883">
            <v>955</v>
          </cell>
        </row>
        <row r="884">
          <cell r="B884">
            <v>5.7930000000000001</v>
          </cell>
          <cell r="D884">
            <v>6.3742999999999999</v>
          </cell>
          <cell r="F884">
            <v>9628</v>
          </cell>
          <cell r="H884">
            <v>2875</v>
          </cell>
          <cell r="J884">
            <v>16295</v>
          </cell>
          <cell r="L884">
            <v>2029</v>
          </cell>
          <cell r="N884">
            <v>951</v>
          </cell>
        </row>
        <row r="885">
          <cell r="B885">
            <v>5.8346</v>
          </cell>
          <cell r="D885">
            <v>6.3639999999999999</v>
          </cell>
          <cell r="F885">
            <v>9766</v>
          </cell>
          <cell r="H885">
            <v>2936</v>
          </cell>
          <cell r="J885">
            <v>16460</v>
          </cell>
          <cell r="L885">
            <v>2062</v>
          </cell>
          <cell r="N885">
            <v>954</v>
          </cell>
        </row>
        <row r="886">
          <cell r="B886">
            <v>5.8268000000000004</v>
          </cell>
          <cell r="D886">
            <v>6.3112000000000004</v>
          </cell>
          <cell r="F886">
            <v>9702.5</v>
          </cell>
          <cell r="H886">
            <v>2906</v>
          </cell>
          <cell r="J886">
            <v>16230</v>
          </cell>
          <cell r="L886">
            <v>2050</v>
          </cell>
          <cell r="N886">
            <v>945</v>
          </cell>
        </row>
        <row r="887">
          <cell r="B887">
            <v>5.8131000000000004</v>
          </cell>
          <cell r="D887">
            <v>6.2408000000000001</v>
          </cell>
          <cell r="F887">
            <v>9759</v>
          </cell>
          <cell r="H887">
            <v>2966</v>
          </cell>
          <cell r="J887">
            <v>16450</v>
          </cell>
          <cell r="L887">
            <v>2067</v>
          </cell>
          <cell r="N887">
            <v>971</v>
          </cell>
        </row>
        <row r="888">
          <cell r="B888">
            <v>5.7419000000000002</v>
          </cell>
          <cell r="D888">
            <v>6.2344999999999997</v>
          </cell>
          <cell r="F888">
            <v>9748</v>
          </cell>
          <cell r="H888">
            <v>2948</v>
          </cell>
          <cell r="J888">
            <v>16310</v>
          </cell>
          <cell r="L888">
            <v>2075</v>
          </cell>
          <cell r="N888">
            <v>974</v>
          </cell>
        </row>
        <row r="889">
          <cell r="B889">
            <v>5.7081999999999997</v>
          </cell>
          <cell r="D889">
            <v>6.2110000000000003</v>
          </cell>
          <cell r="F889">
            <v>9834</v>
          </cell>
          <cell r="H889">
            <v>2897</v>
          </cell>
          <cell r="J889">
            <v>16060</v>
          </cell>
          <cell r="L889">
            <v>2074.5</v>
          </cell>
          <cell r="N889">
            <v>966</v>
          </cell>
        </row>
        <row r="890">
          <cell r="B890">
            <v>5.6852</v>
          </cell>
          <cell r="D890">
            <v>6.1624999999999996</v>
          </cell>
          <cell r="F890">
            <v>9914</v>
          </cell>
          <cell r="H890">
            <v>2915</v>
          </cell>
          <cell r="J890">
            <v>16350</v>
          </cell>
          <cell r="L890">
            <v>2081</v>
          </cell>
          <cell r="N890">
            <v>963</v>
          </cell>
        </row>
        <row r="891">
          <cell r="B891">
            <v>5.6657000000000002</v>
          </cell>
          <cell r="D891">
            <v>6.1417999999999999</v>
          </cell>
          <cell r="F891">
            <v>9911.5</v>
          </cell>
          <cell r="H891">
            <v>2899</v>
          </cell>
          <cell r="J891">
            <v>16010</v>
          </cell>
          <cell r="L891">
            <v>2040.5</v>
          </cell>
          <cell r="N891">
            <v>947</v>
          </cell>
        </row>
        <row r="892">
          <cell r="B892">
            <v>5.6627999999999998</v>
          </cell>
          <cell r="D892">
            <v>6.1841999999999997</v>
          </cell>
          <cell r="F892">
            <v>9829</v>
          </cell>
          <cell r="H892">
            <v>2906.5</v>
          </cell>
          <cell r="J892">
            <v>15915</v>
          </cell>
          <cell r="L892">
            <v>2020</v>
          </cell>
          <cell r="N892">
            <v>957</v>
          </cell>
        </row>
        <row r="893">
          <cell r="B893">
            <v>5.7241</v>
          </cell>
          <cell r="D893">
            <v>6.1954000000000002</v>
          </cell>
          <cell r="F893">
            <v>9978</v>
          </cell>
          <cell r="H893">
            <v>2947</v>
          </cell>
          <cell r="J893">
            <v>15895</v>
          </cell>
          <cell r="L893">
            <v>2022</v>
          </cell>
          <cell r="N893">
            <v>955</v>
          </cell>
        </row>
        <row r="894">
          <cell r="B894">
            <v>5.7403000000000004</v>
          </cell>
          <cell r="D894">
            <v>6.1562000000000001</v>
          </cell>
          <cell r="F894">
            <v>9982</v>
          </cell>
          <cell r="H894">
            <v>2947.5</v>
          </cell>
          <cell r="J894">
            <v>15785</v>
          </cell>
          <cell r="L894">
            <v>2044.5</v>
          </cell>
          <cell r="N894">
            <v>965</v>
          </cell>
        </row>
        <row r="895">
          <cell r="B895">
            <v>5.6992000000000003</v>
          </cell>
          <cell r="D895">
            <v>6.1760999999999999</v>
          </cell>
          <cell r="F895">
            <v>9884</v>
          </cell>
          <cell r="H895">
            <v>2930.5</v>
          </cell>
          <cell r="J895">
            <v>15975</v>
          </cell>
          <cell r="L895">
            <v>2068</v>
          </cell>
          <cell r="N895">
            <v>964</v>
          </cell>
        </row>
        <row r="896">
          <cell r="B896">
            <v>5.7298</v>
          </cell>
          <cell r="D896">
            <v>6.2060000000000004</v>
          </cell>
          <cell r="F896">
            <v>9787</v>
          </cell>
          <cell r="H896">
            <v>2892</v>
          </cell>
          <cell r="J896">
            <v>16040</v>
          </cell>
          <cell r="L896">
            <v>2046</v>
          </cell>
          <cell r="N896">
            <v>977</v>
          </cell>
        </row>
        <row r="897">
          <cell r="B897">
            <v>5.7473999999999998</v>
          </cell>
          <cell r="D897">
            <v>6.2404999999999999</v>
          </cell>
          <cell r="F897">
            <v>9795</v>
          </cell>
          <cell r="H897">
            <v>2852</v>
          </cell>
          <cell r="J897">
            <v>16160</v>
          </cell>
          <cell r="L897">
            <v>2011.5</v>
          </cell>
          <cell r="N897">
            <v>979</v>
          </cell>
        </row>
        <row r="898">
          <cell r="B898">
            <v>5.766</v>
          </cell>
          <cell r="D898">
            <v>6.1981000000000002</v>
          </cell>
          <cell r="F898">
            <v>9673</v>
          </cell>
          <cell r="H898">
            <v>2829</v>
          </cell>
          <cell r="J898">
            <v>15715</v>
          </cell>
          <cell r="L898">
            <v>2002</v>
          </cell>
          <cell r="N898">
            <v>986</v>
          </cell>
        </row>
        <row r="899">
          <cell r="B899">
            <v>5.7422000000000004</v>
          </cell>
          <cell r="D899">
            <v>6.1597</v>
          </cell>
          <cell r="F899">
            <v>9652</v>
          </cell>
          <cell r="H899">
            <v>2817</v>
          </cell>
          <cell r="J899">
            <v>15850</v>
          </cell>
          <cell r="L899">
            <v>1973</v>
          </cell>
          <cell r="N899">
            <v>993</v>
          </cell>
        </row>
        <row r="900">
          <cell r="B900">
            <v>5.7050999999999998</v>
          </cell>
          <cell r="D900">
            <v>6.1852999999999998</v>
          </cell>
          <cell r="F900">
            <v>9646</v>
          </cell>
          <cell r="H900">
            <v>2774</v>
          </cell>
          <cell r="J900">
            <v>15795</v>
          </cell>
          <cell r="L900">
            <v>1949.5</v>
          </cell>
          <cell r="N900">
            <v>984</v>
          </cell>
        </row>
        <row r="901">
          <cell r="B901">
            <v>5.6923000000000004</v>
          </cell>
          <cell r="D901">
            <v>6.1948999999999996</v>
          </cell>
          <cell r="F901">
            <v>9397</v>
          </cell>
          <cell r="H901">
            <v>2724.5</v>
          </cell>
          <cell r="J901">
            <v>15650</v>
          </cell>
          <cell r="L901">
            <v>1931</v>
          </cell>
          <cell r="N901">
            <v>945</v>
          </cell>
        </row>
        <row r="902">
          <cell r="B902">
            <v>5.6067</v>
          </cell>
          <cell r="D902">
            <v>6.3623000000000003</v>
          </cell>
          <cell r="F902">
            <v>8830.5</v>
          </cell>
          <cell r="H902">
            <v>2648.5</v>
          </cell>
          <cell r="J902">
            <v>15050</v>
          </cell>
          <cell r="L902">
            <v>1892</v>
          </cell>
          <cell r="N902">
            <v>922</v>
          </cell>
        </row>
        <row r="903">
          <cell r="B903">
            <v>5.7777000000000003</v>
          </cell>
          <cell r="D903">
            <v>6.4240000000000004</v>
          </cell>
          <cell r="F903">
            <v>8825</v>
          </cell>
          <cell r="H903">
            <v>2576.5</v>
          </cell>
          <cell r="J903">
            <v>14360</v>
          </cell>
          <cell r="L903">
            <v>1863</v>
          </cell>
          <cell r="N903">
            <v>914</v>
          </cell>
        </row>
        <row r="904">
          <cell r="B904">
            <v>5.8876999999999997</v>
          </cell>
          <cell r="D904">
            <v>6.4770000000000003</v>
          </cell>
          <cell r="F904">
            <v>8760</v>
          </cell>
          <cell r="H904">
            <v>2612</v>
          </cell>
          <cell r="J904">
            <v>14270</v>
          </cell>
          <cell r="L904">
            <v>1857</v>
          </cell>
          <cell r="N904">
            <v>971</v>
          </cell>
        </row>
        <row r="905">
          <cell r="B905">
            <v>5.9367999999999999</v>
          </cell>
          <cell r="D905">
            <v>6.6882999999999999</v>
          </cell>
          <cell r="F905">
            <v>8539</v>
          </cell>
          <cell r="H905">
            <v>2534</v>
          </cell>
          <cell r="J905">
            <v>13815</v>
          </cell>
          <cell r="L905">
            <v>1820</v>
          </cell>
          <cell r="N905">
            <v>901</v>
          </cell>
        </row>
        <row r="906">
          <cell r="B906">
            <v>6.0605000000000002</v>
          </cell>
          <cell r="D906">
            <v>6.6119000000000003</v>
          </cell>
          <cell r="F906">
            <v>8978</v>
          </cell>
          <cell r="H906">
            <v>2622</v>
          </cell>
          <cell r="J906">
            <v>14590</v>
          </cell>
          <cell r="L906">
            <v>1867</v>
          </cell>
          <cell r="N906">
            <v>917</v>
          </cell>
        </row>
        <row r="907">
          <cell r="B907">
            <v>5.9115000000000002</v>
          </cell>
          <cell r="D907">
            <v>6.6494999999999997</v>
          </cell>
          <cell r="F907">
            <v>9180</v>
          </cell>
          <cell r="H907">
            <v>2651</v>
          </cell>
          <cell r="J907">
            <v>15015</v>
          </cell>
          <cell r="L907">
            <v>1881.5</v>
          </cell>
          <cell r="N907">
            <v>924</v>
          </cell>
        </row>
        <row r="908">
          <cell r="B908">
            <v>5.8737000000000004</v>
          </cell>
          <cell r="D908">
            <v>6.6345999999999998</v>
          </cell>
          <cell r="F908">
            <v>9212.5</v>
          </cell>
          <cell r="H908">
            <v>2628</v>
          </cell>
          <cell r="J908">
            <v>15175</v>
          </cell>
          <cell r="L908">
            <v>1897</v>
          </cell>
          <cell r="N908">
            <v>949</v>
          </cell>
        </row>
        <row r="909">
          <cell r="B909">
            <v>5.8425000000000002</v>
          </cell>
          <cell r="D909">
            <v>6.6261999999999999</v>
          </cell>
          <cell r="F909">
            <v>9094</v>
          </cell>
          <cell r="H909">
            <v>2608</v>
          </cell>
          <cell r="J909">
            <v>15360</v>
          </cell>
          <cell r="L909">
            <v>1917</v>
          </cell>
          <cell r="N909">
            <v>964</v>
          </cell>
        </row>
        <row r="910">
          <cell r="B910">
            <v>5.8707000000000003</v>
          </cell>
          <cell r="D910">
            <v>6.6928000000000001</v>
          </cell>
          <cell r="F910">
            <v>9083</v>
          </cell>
          <cell r="H910">
            <v>2544</v>
          </cell>
          <cell r="J910">
            <v>15400</v>
          </cell>
          <cell r="L910">
            <v>1884</v>
          </cell>
          <cell r="N910">
            <v>969</v>
          </cell>
        </row>
        <row r="911">
          <cell r="B911">
            <v>5.8807999999999998</v>
          </cell>
          <cell r="D911">
            <v>6.6534000000000004</v>
          </cell>
          <cell r="F911">
            <v>9104</v>
          </cell>
          <cell r="H911">
            <v>2521</v>
          </cell>
          <cell r="J911">
            <v>15425</v>
          </cell>
          <cell r="L911">
            <v>1891</v>
          </cell>
          <cell r="N911">
            <v>951</v>
          </cell>
        </row>
        <row r="912">
          <cell r="B912">
            <v>5.8559000000000001</v>
          </cell>
          <cell r="D912">
            <v>6.5907</v>
          </cell>
          <cell r="F912">
            <v>9293.5</v>
          </cell>
          <cell r="H912">
            <v>2567</v>
          </cell>
          <cell r="J912">
            <v>15525</v>
          </cell>
          <cell r="L912">
            <v>1912</v>
          </cell>
          <cell r="N912">
            <v>937</v>
          </cell>
        </row>
        <row r="913">
          <cell r="B913">
            <v>5.7495000000000003</v>
          </cell>
          <cell r="D913">
            <v>6.4541000000000004</v>
          </cell>
          <cell r="F913">
            <v>9416.5</v>
          </cell>
          <cell r="H913">
            <v>2608</v>
          </cell>
          <cell r="J913">
            <v>15550</v>
          </cell>
          <cell r="L913">
            <v>1920</v>
          </cell>
          <cell r="N913">
            <v>941</v>
          </cell>
        </row>
        <row r="914">
          <cell r="B914">
            <v>5.6879999999999997</v>
          </cell>
          <cell r="D914">
            <v>6.4459</v>
          </cell>
          <cell r="F914">
            <v>9410.5</v>
          </cell>
          <cell r="H914">
            <v>2636</v>
          </cell>
          <cell r="J914">
            <v>15625</v>
          </cell>
          <cell r="L914">
            <v>1929</v>
          </cell>
          <cell r="N914">
            <v>947</v>
          </cell>
        </row>
        <row r="915">
          <cell r="B915">
            <v>5.6738</v>
          </cell>
          <cell r="D915">
            <v>6.4683999999999999</v>
          </cell>
          <cell r="F915">
            <v>9364</v>
          </cell>
          <cell r="H915">
            <v>2618</v>
          </cell>
          <cell r="J915">
            <v>15530</v>
          </cell>
          <cell r="L915">
            <v>1936</v>
          </cell>
          <cell r="N915">
            <v>943</v>
          </cell>
        </row>
        <row r="916">
          <cell r="B916">
            <v>5.6845999999999997</v>
          </cell>
          <cell r="D916">
            <v>6.4530000000000003</v>
          </cell>
          <cell r="F916">
            <v>9365.5</v>
          </cell>
          <cell r="H916">
            <v>2599</v>
          </cell>
          <cell r="J916">
            <v>15450</v>
          </cell>
          <cell r="L916">
            <v>1961</v>
          </cell>
          <cell r="N916">
            <v>956</v>
          </cell>
        </row>
        <row r="917">
          <cell r="B917">
            <v>5.6467000000000001</v>
          </cell>
          <cell r="D917">
            <v>6.4337</v>
          </cell>
          <cell r="F917">
            <v>9487.5</v>
          </cell>
          <cell r="H917">
            <v>2625</v>
          </cell>
          <cell r="J917">
            <v>15380</v>
          </cell>
          <cell r="L917">
            <v>1954</v>
          </cell>
          <cell r="N917">
            <v>946</v>
          </cell>
        </row>
        <row r="918">
          <cell r="B918">
            <v>5.6608000000000001</v>
          </cell>
          <cell r="D918">
            <v>6.4231999999999996</v>
          </cell>
          <cell r="F918">
            <v>9204</v>
          </cell>
          <cell r="H918">
            <v>2593</v>
          </cell>
          <cell r="J918">
            <v>15375</v>
          </cell>
          <cell r="L918">
            <v>1947.5</v>
          </cell>
          <cell r="N918">
            <v>933</v>
          </cell>
        </row>
        <row r="919">
          <cell r="B919">
            <v>5.6608000000000001</v>
          </cell>
          <cell r="D919" t="str">
            <v>FERIADO</v>
          </cell>
          <cell r="F919">
            <v>9195</v>
          </cell>
          <cell r="H919">
            <v>2567.5</v>
          </cell>
          <cell r="J919">
            <v>15005</v>
          </cell>
          <cell r="L919">
            <v>1948</v>
          </cell>
          <cell r="N919">
            <v>948</v>
          </cell>
        </row>
        <row r="920">
          <cell r="B920" t="str">
            <v>FERIADO</v>
          </cell>
          <cell r="D920">
            <v>6.3882000000000003</v>
          </cell>
          <cell r="F920">
            <v>9376</v>
          </cell>
          <cell r="H920">
            <v>2581.5</v>
          </cell>
          <cell r="J920">
            <v>15325</v>
          </cell>
          <cell r="L920">
            <v>1947</v>
          </cell>
          <cell r="N920">
            <v>954</v>
          </cell>
        </row>
        <row r="921">
          <cell r="B921">
            <v>5.6394000000000002</v>
          </cell>
          <cell r="D921">
            <v>6.3933999999999997</v>
          </cell>
          <cell r="F921" t="str">
            <v>FERIADO</v>
          </cell>
          <cell r="H921" t="str">
            <v>FERIADO</v>
          </cell>
          <cell r="J921" t="str">
            <v>FERIADO</v>
          </cell>
          <cell r="L921" t="str">
            <v>FERIADO</v>
          </cell>
          <cell r="N921">
            <v>954</v>
          </cell>
        </row>
        <row r="922">
          <cell r="B922">
            <v>5.6520000000000001</v>
          </cell>
          <cell r="D922">
            <v>6.4892000000000003</v>
          </cell>
          <cell r="F922">
            <v>9500</v>
          </cell>
          <cell r="H922">
            <v>2584</v>
          </cell>
          <cell r="J922">
            <v>15440</v>
          </cell>
          <cell r="L922">
            <v>1924</v>
          </cell>
          <cell r="N922">
            <v>961</v>
          </cell>
        </row>
        <row r="923">
          <cell r="B923">
            <v>5.7210000000000001</v>
          </cell>
          <cell r="D923">
            <v>6.5090000000000003</v>
          </cell>
          <cell r="F923">
            <v>9486</v>
          </cell>
          <cell r="H923">
            <v>2583.5</v>
          </cell>
          <cell r="J923">
            <v>15355</v>
          </cell>
          <cell r="L923">
            <v>1912.5</v>
          </cell>
        </row>
        <row r="924">
          <cell r="B924">
            <v>5.7374999999999998</v>
          </cell>
          <cell r="D924">
            <v>6.3944000000000001</v>
          </cell>
          <cell r="F924">
            <v>9413</v>
          </cell>
          <cell r="H924">
            <v>2562</v>
          </cell>
          <cell r="J924">
            <v>15375</v>
          </cell>
          <cell r="L924">
            <v>1925</v>
          </cell>
        </row>
        <row r="925">
          <cell r="B925">
            <v>5.6859999999999999</v>
          </cell>
          <cell r="D925">
            <v>6.3674999999999997</v>
          </cell>
          <cell r="F925">
            <v>9485.5</v>
          </cell>
          <cell r="H925">
            <v>2622</v>
          </cell>
          <cell r="J925">
            <v>15460</v>
          </cell>
          <cell r="L925">
            <v>1992</v>
          </cell>
        </row>
        <row r="926">
          <cell r="B926">
            <v>5.6510999999999996</v>
          </cell>
          <cell r="D926">
            <v>6.3087999999999997</v>
          </cell>
          <cell r="F926">
            <v>9590</v>
          </cell>
          <cell r="H926">
            <v>2686</v>
          </cell>
          <cell r="J926">
            <v>15485</v>
          </cell>
          <cell r="L926">
            <v>1998.5</v>
          </cell>
        </row>
        <row r="927">
          <cell r="B927">
            <v>5.6821999999999999</v>
          </cell>
          <cell r="D927">
            <v>6.2859999999999996</v>
          </cell>
          <cell r="F927">
            <v>9534</v>
          </cell>
          <cell r="H927">
            <v>2638.5</v>
          </cell>
          <cell r="J927">
            <v>15475</v>
          </cell>
          <cell r="L927">
            <v>1987</v>
          </cell>
        </row>
        <row r="928">
          <cell r="B928">
            <v>5.6261999999999999</v>
          </cell>
          <cell r="D928">
            <v>6.2853000000000003</v>
          </cell>
          <cell r="F928">
            <v>9649.5</v>
          </cell>
          <cell r="H928">
            <v>2738</v>
          </cell>
          <cell r="J928">
            <v>15725</v>
          </cell>
          <cell r="L928">
            <v>1994</v>
          </cell>
        </row>
        <row r="929">
          <cell r="B929">
            <v>5.61</v>
          </cell>
          <cell r="D929">
            <v>6.3013000000000003</v>
          </cell>
          <cell r="F929">
            <v>9537.5</v>
          </cell>
          <cell r="H929">
            <v>2691</v>
          </cell>
          <cell r="J929">
            <v>15475</v>
          </cell>
          <cell r="L929">
            <v>1977</v>
          </cell>
        </row>
        <row r="930">
          <cell r="B930">
            <v>5.6327999999999996</v>
          </cell>
          <cell r="D930">
            <v>6.3407999999999998</v>
          </cell>
          <cell r="F930">
            <v>9534</v>
          </cell>
          <cell r="H930">
            <v>2681</v>
          </cell>
          <cell r="J930">
            <v>15435</v>
          </cell>
          <cell r="L930">
            <v>1995</v>
          </cell>
        </row>
        <row r="931">
          <cell r="B931">
            <v>5.6924999999999999</v>
          </cell>
          <cell r="D931">
            <v>6.3573000000000004</v>
          </cell>
          <cell r="F931">
            <v>9545</v>
          </cell>
          <cell r="H931">
            <v>2658.5</v>
          </cell>
          <cell r="J931">
            <v>15310</v>
          </cell>
          <cell r="L931">
            <v>1970.5</v>
          </cell>
        </row>
        <row r="932">
          <cell r="B932">
            <v>5.6590999999999996</v>
          </cell>
          <cell r="D932">
            <v>6.3701999999999996</v>
          </cell>
          <cell r="F932">
            <v>9530</v>
          </cell>
          <cell r="H932">
            <v>2666</v>
          </cell>
          <cell r="J932">
            <v>15350</v>
          </cell>
          <cell r="L932">
            <v>1957</v>
          </cell>
        </row>
        <row r="933">
          <cell r="B933">
            <v>5.6619999999999999</v>
          </cell>
          <cell r="D933">
            <v>6.4156000000000004</v>
          </cell>
          <cell r="F933">
            <v>9532.5</v>
          </cell>
          <cell r="H933">
            <v>2680.5</v>
          </cell>
          <cell r="J933">
            <v>15330</v>
          </cell>
          <cell r="L933">
            <v>1944.5</v>
          </cell>
        </row>
        <row r="934">
          <cell r="B934">
            <v>5.6570999999999998</v>
          </cell>
          <cell r="D934">
            <v>6.3606999999999996</v>
          </cell>
          <cell r="F934">
            <v>9493</v>
          </cell>
          <cell r="H934">
            <v>2662</v>
          </cell>
          <cell r="J934">
            <v>15250</v>
          </cell>
          <cell r="L934">
            <v>1928.5</v>
          </cell>
        </row>
        <row r="935">
          <cell r="B935">
            <v>5.6390000000000002</v>
          </cell>
          <cell r="D935">
            <v>6.46</v>
          </cell>
          <cell r="F935">
            <v>9595</v>
          </cell>
          <cell r="H935">
            <v>2651</v>
          </cell>
          <cell r="J935">
            <v>15205</v>
          </cell>
          <cell r="L935">
            <v>1958</v>
          </cell>
        </row>
        <row r="936">
          <cell r="B936">
            <v>5.6932</v>
          </cell>
          <cell r="D936">
            <v>6.4425999999999997</v>
          </cell>
          <cell r="F936" t="str">
            <v>FERIADO</v>
          </cell>
          <cell r="H936" t="str">
            <v>FERIADO</v>
          </cell>
          <cell r="J936" t="str">
            <v>FERIADO</v>
          </cell>
          <cell r="L936" t="str">
            <v>FERIADO</v>
          </cell>
        </row>
        <row r="937">
          <cell r="B937">
            <v>5.6619000000000002</v>
          </cell>
          <cell r="D937">
            <v>6.4028999999999998</v>
          </cell>
          <cell r="F937">
            <v>9653</v>
          </cell>
          <cell r="H937">
            <v>2672</v>
          </cell>
          <cell r="J937">
            <v>15275</v>
          </cell>
          <cell r="L937">
            <v>1964</v>
          </cell>
        </row>
        <row r="938">
          <cell r="B938">
            <v>5.6539000000000001</v>
          </cell>
          <cell r="D938">
            <v>6.4245999999999999</v>
          </cell>
          <cell r="F938">
            <v>9682</v>
          </cell>
          <cell r="H938">
            <v>2685</v>
          </cell>
          <cell r="J938">
            <v>14965</v>
          </cell>
          <cell r="L938">
            <v>1960</v>
          </cell>
        </row>
        <row r="939">
          <cell r="B939">
            <v>5.6936</v>
          </cell>
          <cell r="D939">
            <v>6.4295</v>
          </cell>
          <cell r="F939">
            <v>9641.5</v>
          </cell>
          <cell r="H939">
            <v>2682</v>
          </cell>
          <cell r="J939">
            <v>15105</v>
          </cell>
          <cell r="L939">
            <v>1957</v>
          </cell>
        </row>
        <row r="940">
          <cell r="B940">
            <v>5.6558999999999999</v>
          </cell>
          <cell r="D940">
            <v>6.4757999999999996</v>
          </cell>
          <cell r="F940">
            <v>9623</v>
          </cell>
          <cell r="H940">
            <v>2631</v>
          </cell>
          <cell r="J940">
            <v>15150</v>
          </cell>
          <cell r="L940">
            <v>1926</v>
          </cell>
        </row>
        <row r="941">
          <cell r="B941">
            <v>5.7087000000000003</v>
          </cell>
          <cell r="D941">
            <v>6.5072000000000001</v>
          </cell>
          <cell r="F941">
            <v>9655</v>
          </cell>
          <cell r="H941">
            <v>2653</v>
          </cell>
          <cell r="J941">
            <v>15145</v>
          </cell>
          <cell r="L941">
            <v>1957</v>
          </cell>
        </row>
        <row r="942">
          <cell r="B942">
            <v>5.6936999999999998</v>
          </cell>
          <cell r="D942">
            <v>6.4466000000000001</v>
          </cell>
          <cell r="F942">
            <v>9643</v>
          </cell>
          <cell r="H942">
            <v>2667</v>
          </cell>
          <cell r="J942">
            <v>15200</v>
          </cell>
          <cell r="L942">
            <v>1952</v>
          </cell>
        </row>
        <row r="943">
          <cell r="B943">
            <v>5.6694000000000004</v>
          </cell>
          <cell r="D943">
            <v>6.4336000000000002</v>
          </cell>
          <cell r="F943">
            <v>9673.5</v>
          </cell>
          <cell r="H943">
            <v>2679</v>
          </cell>
          <cell r="J943">
            <v>15280</v>
          </cell>
          <cell r="L943">
            <v>1965</v>
          </cell>
        </row>
        <row r="944">
          <cell r="B944">
            <v>5.6332000000000004</v>
          </cell>
          <cell r="D944">
            <v>6.4005000000000001</v>
          </cell>
          <cell r="F944">
            <v>9834</v>
          </cell>
          <cell r="H944">
            <v>2655</v>
          </cell>
          <cell r="J944">
            <v>15285</v>
          </cell>
          <cell r="L944">
            <v>1965</v>
          </cell>
        </row>
        <row r="945">
          <cell r="B945">
            <v>5.5968999999999998</v>
          </cell>
          <cell r="D945">
            <v>6.3745000000000003</v>
          </cell>
          <cell r="F945">
            <v>9795</v>
          </cell>
          <cell r="H945">
            <v>2629</v>
          </cell>
          <cell r="J945">
            <v>15225</v>
          </cell>
          <cell r="L945">
            <v>1955</v>
          </cell>
        </row>
        <row r="946">
          <cell r="B946">
            <v>5.5946999999999996</v>
          </cell>
          <cell r="D946">
            <v>6.3693</v>
          </cell>
          <cell r="F946">
            <v>9849</v>
          </cell>
          <cell r="H946">
            <v>2617</v>
          </cell>
          <cell r="J946">
            <v>15240</v>
          </cell>
          <cell r="L946">
            <v>1964</v>
          </cell>
        </row>
        <row r="947">
          <cell r="B947">
            <v>5.5759999999999996</v>
          </cell>
          <cell r="D947">
            <v>6.3449999999999998</v>
          </cell>
          <cell r="F947">
            <v>9854</v>
          </cell>
          <cell r="H947">
            <v>2616</v>
          </cell>
          <cell r="J947">
            <v>15070</v>
          </cell>
          <cell r="L947">
            <v>1958</v>
          </cell>
        </row>
        <row r="948">
          <cell r="B948">
            <v>5.5556999999999999</v>
          </cell>
          <cell r="D948">
            <v>6.3631000000000002</v>
          </cell>
          <cell r="F948">
            <v>9730</v>
          </cell>
          <cell r="H948">
            <v>2633</v>
          </cell>
          <cell r="J948">
            <v>15030</v>
          </cell>
          <cell r="L948">
            <v>1957.5</v>
          </cell>
        </row>
        <row r="949">
          <cell r="B949">
            <v>5.5389999999999997</v>
          </cell>
          <cell r="D949">
            <v>6.4109999999999996</v>
          </cell>
          <cell r="F949">
            <v>9779</v>
          </cell>
          <cell r="H949">
            <v>2615</v>
          </cell>
          <cell r="J949">
            <v>14940</v>
          </cell>
          <cell r="L949">
            <v>1966</v>
          </cell>
        </row>
        <row r="950">
          <cell r="B950">
            <v>5.5388000000000002</v>
          </cell>
          <cell r="D950">
            <v>6.431</v>
          </cell>
          <cell r="F950">
            <v>9658</v>
          </cell>
          <cell r="H950">
            <v>2562.5</v>
          </cell>
          <cell r="J950">
            <v>14970</v>
          </cell>
          <cell r="L950">
            <v>1954</v>
          </cell>
        </row>
        <row r="951">
          <cell r="B951">
            <v>5.5651999999999999</v>
          </cell>
          <cell r="D951">
            <v>6.3819999999999997</v>
          </cell>
          <cell r="F951">
            <v>9738</v>
          </cell>
          <cell r="H951">
            <v>2634</v>
          </cell>
          <cell r="J951">
            <v>15000</v>
          </cell>
          <cell r="L951">
            <v>1973</v>
          </cell>
        </row>
        <row r="952">
          <cell r="B952">
            <v>5.5122999999999998</v>
          </cell>
          <cell r="D952">
            <v>6.3163</v>
          </cell>
          <cell r="F952">
            <v>9820.5</v>
          </cell>
          <cell r="H952">
            <v>2612.5</v>
          </cell>
          <cell r="J952">
            <v>14820</v>
          </cell>
          <cell r="L952">
            <v>1951</v>
          </cell>
        </row>
        <row r="953">
          <cell r="B953">
            <v>5.4772999999999996</v>
          </cell>
          <cell r="D953">
            <v>6.3208000000000002</v>
          </cell>
          <cell r="F953">
            <v>9841</v>
          </cell>
          <cell r="H953">
            <v>2603</v>
          </cell>
          <cell r="J953">
            <v>14785</v>
          </cell>
          <cell r="L953">
            <v>1945</v>
          </cell>
        </row>
        <row r="954">
          <cell r="B954">
            <v>5.4878999999999998</v>
          </cell>
          <cell r="D954">
            <v>6.3297999999999996</v>
          </cell>
          <cell r="F954">
            <v>9712</v>
          </cell>
          <cell r="H954">
            <v>2599</v>
          </cell>
          <cell r="J954">
            <v>14850</v>
          </cell>
          <cell r="L954">
            <v>1958</v>
          </cell>
        </row>
        <row r="955">
          <cell r="B955" t="str">
            <v>FERIADO</v>
          </cell>
          <cell r="D955">
            <v>6.3297999999999996</v>
          </cell>
          <cell r="F955">
            <v>9945</v>
          </cell>
          <cell r="H955">
            <v>2616</v>
          </cell>
          <cell r="J955">
            <v>14770</v>
          </cell>
          <cell r="L955">
            <v>1956.5</v>
          </cell>
        </row>
        <row r="956">
          <cell r="B956">
            <v>5.4957000000000003</v>
          </cell>
          <cell r="D956">
            <v>6.3692000000000002</v>
          </cell>
          <cell r="F956">
            <v>10035</v>
          </cell>
          <cell r="H956">
            <v>2646</v>
          </cell>
          <cell r="J956">
            <v>14605</v>
          </cell>
          <cell r="L956">
            <v>1979</v>
          </cell>
        </row>
        <row r="957">
          <cell r="B957">
            <v>5.5213000000000001</v>
          </cell>
          <cell r="D957">
            <v>6.3760000000000003</v>
          </cell>
          <cell r="F957">
            <v>9930.5</v>
          </cell>
          <cell r="H957">
            <v>2687</v>
          </cell>
          <cell r="J957">
            <v>14745</v>
          </cell>
          <cell r="L957">
            <v>2002</v>
          </cell>
        </row>
        <row r="958">
          <cell r="B958">
            <v>5.4938000000000002</v>
          </cell>
          <cell r="D958">
            <v>6.4394</v>
          </cell>
          <cell r="F958">
            <v>9810</v>
          </cell>
          <cell r="H958">
            <v>2692</v>
          </cell>
          <cell r="J958">
            <v>14805</v>
          </cell>
          <cell r="L958">
            <v>2020</v>
          </cell>
        </row>
        <row r="959">
          <cell r="B959">
            <v>5.5427</v>
          </cell>
          <cell r="D959">
            <v>6.4600999999999997</v>
          </cell>
          <cell r="F959">
            <v>10115</v>
          </cell>
          <cell r="H959">
            <v>2736</v>
          </cell>
          <cell r="J959">
            <v>14960</v>
          </cell>
          <cell r="L959">
            <v>2017.5</v>
          </cell>
        </row>
        <row r="960">
          <cell r="B960">
            <v>5.5145</v>
          </cell>
          <cell r="D960">
            <v>6.4187000000000003</v>
          </cell>
          <cell r="F960">
            <v>10051</v>
          </cell>
          <cell r="H960">
            <v>2753</v>
          </cell>
          <cell r="J960">
            <v>15030</v>
          </cell>
          <cell r="L960">
            <v>2010</v>
          </cell>
        </row>
        <row r="961">
          <cell r="B961">
            <v>5.4759000000000002</v>
          </cell>
          <cell r="D961">
            <v>6.4218000000000002</v>
          </cell>
          <cell r="F961">
            <v>10040</v>
          </cell>
          <cell r="H961">
            <v>2764</v>
          </cell>
          <cell r="J961">
            <v>15020</v>
          </cell>
          <cell r="L961">
            <v>2025</v>
          </cell>
        </row>
        <row r="962">
          <cell r="B962">
            <v>5.4570999999999996</v>
          </cell>
          <cell r="D962">
            <v>6.4180000000000001</v>
          </cell>
          <cell r="F962">
            <v>10061</v>
          </cell>
          <cell r="H962">
            <v>2719</v>
          </cell>
          <cell r="J962">
            <v>14965</v>
          </cell>
          <cell r="L962">
            <v>2014.5</v>
          </cell>
        </row>
        <row r="963">
          <cell r="B963">
            <v>5.4511000000000003</v>
          </cell>
          <cell r="D963">
            <v>6.4257</v>
          </cell>
          <cell r="F963">
            <v>10045</v>
          </cell>
          <cell r="H963">
            <v>2710.5</v>
          </cell>
          <cell r="J963">
            <v>15085</v>
          </cell>
          <cell r="L963">
            <v>2022.5</v>
          </cell>
        </row>
        <row r="964">
          <cell r="B964">
            <v>5.4512</v>
          </cell>
          <cell r="D964">
            <v>6.3724999999999996</v>
          </cell>
          <cell r="F964">
            <v>10120</v>
          </cell>
          <cell r="H964">
            <v>2727.5</v>
          </cell>
          <cell r="J964">
            <v>15250</v>
          </cell>
          <cell r="L964">
            <v>2030.5</v>
          </cell>
        </row>
        <row r="965">
          <cell r="B965">
            <v>5.4207999999999998</v>
          </cell>
          <cell r="D965">
            <v>6.3695000000000004</v>
          </cell>
          <cell r="F965">
            <v>9970.5</v>
          </cell>
          <cell r="H965">
            <v>2714</v>
          </cell>
          <cell r="J965">
            <v>15120</v>
          </cell>
          <cell r="L965">
            <v>2041</v>
          </cell>
        </row>
        <row r="966">
          <cell r="B966">
            <v>5.4089999999999998</v>
          </cell>
          <cell r="D966">
            <v>6.3993000000000002</v>
          </cell>
          <cell r="F966">
            <v>9893</v>
          </cell>
          <cell r="H966">
            <v>2672</v>
          </cell>
          <cell r="J966">
            <v>14920</v>
          </cell>
          <cell r="L966">
            <v>2013</v>
          </cell>
        </row>
        <row r="967">
          <cell r="B967">
            <v>5.4551999999999996</v>
          </cell>
          <cell r="D967">
            <v>6.3874000000000004</v>
          </cell>
          <cell r="F967">
            <v>9925</v>
          </cell>
          <cell r="H967">
            <v>2699</v>
          </cell>
          <cell r="J967">
            <v>14940</v>
          </cell>
          <cell r="L967">
            <v>2032.5</v>
          </cell>
        </row>
        <row r="968">
          <cell r="B968">
            <v>5.4570999999999996</v>
          </cell>
          <cell r="D968">
            <v>6.3933</v>
          </cell>
          <cell r="F968">
            <v>9635</v>
          </cell>
          <cell r="H968">
            <v>2717.5</v>
          </cell>
          <cell r="J968">
            <v>14825</v>
          </cell>
          <cell r="L968">
            <v>2017</v>
          </cell>
        </row>
        <row r="969">
          <cell r="B969">
            <v>5.4626000000000001</v>
          </cell>
          <cell r="D969">
            <v>6.4778000000000002</v>
          </cell>
          <cell r="F969">
            <v>9752</v>
          </cell>
          <cell r="H969">
            <v>2783</v>
          </cell>
          <cell r="J969">
            <v>15100</v>
          </cell>
          <cell r="L969">
            <v>2029</v>
          </cell>
        </row>
        <row r="970">
          <cell r="B970">
            <v>5.5433000000000003</v>
          </cell>
          <cell r="D970">
            <v>6.516</v>
          </cell>
          <cell r="F970">
            <v>9637.5</v>
          </cell>
          <cell r="H970">
            <v>2743</v>
          </cell>
          <cell r="J970">
            <v>14955</v>
          </cell>
          <cell r="L970">
            <v>1995</v>
          </cell>
        </row>
        <row r="971">
          <cell r="B971">
            <v>5.5721999999999996</v>
          </cell>
          <cell r="D971">
            <v>6.4878</v>
          </cell>
          <cell r="F971">
            <v>9555</v>
          </cell>
          <cell r="H971">
            <v>2711</v>
          </cell>
          <cell r="J971">
            <v>14885</v>
          </cell>
          <cell r="L971">
            <v>1965.5</v>
          </cell>
        </row>
        <row r="972">
          <cell r="B972">
            <v>5.5594999999999999</v>
          </cell>
          <cell r="D972">
            <v>6.4560000000000004</v>
          </cell>
          <cell r="F972">
            <v>9564</v>
          </cell>
          <cell r="H972">
            <v>2699</v>
          </cell>
          <cell r="J972">
            <v>14840</v>
          </cell>
          <cell r="L972">
            <v>1967</v>
          </cell>
        </row>
        <row r="973">
          <cell r="B973">
            <v>5.5575999999999999</v>
          </cell>
          <cell r="D973">
            <v>6.4775</v>
          </cell>
          <cell r="F973">
            <v>9563</v>
          </cell>
          <cell r="H973">
            <v>2677</v>
          </cell>
          <cell r="J973">
            <v>14800</v>
          </cell>
          <cell r="L973">
            <v>1953</v>
          </cell>
        </row>
        <row r="974">
          <cell r="B974">
            <v>5.5721999999999996</v>
          </cell>
          <cell r="D974">
            <v>6.4630999999999998</v>
          </cell>
          <cell r="F974">
            <v>9586</v>
          </cell>
          <cell r="H974">
            <v>2701</v>
          </cell>
          <cell r="J974">
            <v>14800</v>
          </cell>
          <cell r="L974">
            <v>1940</v>
          </cell>
        </row>
        <row r="975">
          <cell r="B975">
            <v>5.5736999999999997</v>
          </cell>
          <cell r="D975">
            <v>6.4577999999999998</v>
          </cell>
          <cell r="F975">
            <v>9667</v>
          </cell>
          <cell r="H975">
            <v>2780.5</v>
          </cell>
          <cell r="J975">
            <v>14900</v>
          </cell>
          <cell r="L975">
            <v>1978</v>
          </cell>
        </row>
        <row r="976">
          <cell r="B976">
            <v>5.5465999999999998</v>
          </cell>
          <cell r="D976">
            <v>6.5091000000000001</v>
          </cell>
          <cell r="F976">
            <v>9773.5</v>
          </cell>
          <cell r="H976">
            <v>2846</v>
          </cell>
          <cell r="J976">
            <v>15275</v>
          </cell>
          <cell r="L976">
            <v>1976.5</v>
          </cell>
        </row>
        <row r="977">
          <cell r="B977">
            <v>5.5625</v>
          </cell>
          <cell r="D977">
            <v>6.5439999999999996</v>
          </cell>
          <cell r="F977">
            <v>9818.5</v>
          </cell>
          <cell r="H977">
            <v>2822</v>
          </cell>
          <cell r="J977">
            <v>15280</v>
          </cell>
          <cell r="L977">
            <v>1978</v>
          </cell>
        </row>
        <row r="978">
          <cell r="B978">
            <v>5.5709</v>
          </cell>
          <cell r="D978">
            <v>6.5221</v>
          </cell>
          <cell r="F978">
            <v>9862</v>
          </cell>
          <cell r="H978">
            <v>2862</v>
          </cell>
          <cell r="J978">
            <v>15330</v>
          </cell>
          <cell r="L978">
            <v>2007</v>
          </cell>
        </row>
        <row r="979">
          <cell r="B979">
            <v>5.5537000000000001</v>
          </cell>
          <cell r="D979">
            <v>6.4970999999999997</v>
          </cell>
          <cell r="F979">
            <v>9861</v>
          </cell>
          <cell r="H979">
            <v>2854</v>
          </cell>
          <cell r="J979">
            <v>15330</v>
          </cell>
          <cell r="L979">
            <v>2007</v>
          </cell>
        </row>
        <row r="980">
          <cell r="B980">
            <v>5.5239000000000003</v>
          </cell>
          <cell r="D980">
            <v>6.5002000000000004</v>
          </cell>
          <cell r="F980">
            <v>9788</v>
          </cell>
          <cell r="H980">
            <v>2844.5</v>
          </cell>
          <cell r="J980">
            <v>15245</v>
          </cell>
          <cell r="L980">
            <v>2008</v>
          </cell>
        </row>
        <row r="981">
          <cell r="B981">
            <v>5.5426000000000002</v>
          </cell>
          <cell r="D981">
            <v>6.4855</v>
          </cell>
          <cell r="F981">
            <v>9783</v>
          </cell>
          <cell r="H981">
            <v>2816</v>
          </cell>
          <cell r="J981">
            <v>15050</v>
          </cell>
          <cell r="L981">
            <v>2007.5</v>
          </cell>
        </row>
        <row r="982">
          <cell r="B982">
            <v>5.5876999999999999</v>
          </cell>
          <cell r="D982">
            <v>6.4310999999999998</v>
          </cell>
          <cell r="F982">
            <v>9733.5</v>
          </cell>
          <cell r="H982">
            <v>2791</v>
          </cell>
          <cell r="J982">
            <v>14950</v>
          </cell>
          <cell r="L982">
            <v>1983.5</v>
          </cell>
        </row>
        <row r="983">
          <cell r="B983">
            <v>5.5763999999999996</v>
          </cell>
          <cell r="D983">
            <v>6.4253</v>
          </cell>
          <cell r="F983">
            <v>9699.5</v>
          </cell>
          <cell r="H983">
            <v>2795</v>
          </cell>
          <cell r="J983">
            <v>14890</v>
          </cell>
          <cell r="L983">
            <v>1976</v>
          </cell>
        </row>
        <row r="984">
          <cell r="B984">
            <v>5.6033999999999997</v>
          </cell>
          <cell r="D984">
            <v>6.4020000000000001</v>
          </cell>
          <cell r="F984">
            <v>9606</v>
          </cell>
          <cell r="H984">
            <v>2769</v>
          </cell>
          <cell r="J984">
            <v>14800</v>
          </cell>
          <cell r="L984">
            <v>1940</v>
          </cell>
        </row>
        <row r="985">
          <cell r="B985">
            <v>5.6021000000000001</v>
          </cell>
          <cell r="D985">
            <v>6.4038000000000004</v>
          </cell>
          <cell r="F985">
            <v>9535.5</v>
          </cell>
          <cell r="H985">
            <v>2707</v>
          </cell>
          <cell r="J985">
            <v>14600</v>
          </cell>
          <cell r="L985">
            <v>1926</v>
          </cell>
        </row>
        <row r="986">
          <cell r="B986">
            <v>5.5435999999999996</v>
          </cell>
          <cell r="D986">
            <v>6.3742000000000001</v>
          </cell>
          <cell r="F986">
            <v>9622.5</v>
          </cell>
          <cell r="H986">
            <v>2736</v>
          </cell>
          <cell r="J986">
            <v>14880</v>
          </cell>
          <cell r="L986">
            <v>1927.5</v>
          </cell>
        </row>
        <row r="987">
          <cell r="B987">
            <v>5.5113000000000003</v>
          </cell>
          <cell r="D987">
            <v>6.3815</v>
          </cell>
          <cell r="F987">
            <v>9576.5</v>
          </cell>
          <cell r="H987">
            <v>2754.5</v>
          </cell>
          <cell r="J987">
            <v>14755</v>
          </cell>
          <cell r="L987">
            <v>1919.5</v>
          </cell>
        </row>
        <row r="988">
          <cell r="B988">
            <v>5.5118999999999998</v>
          </cell>
          <cell r="D988">
            <v>6.3810000000000002</v>
          </cell>
          <cell r="F988">
            <v>9604.5</v>
          </cell>
          <cell r="H988">
            <v>2777.5</v>
          </cell>
          <cell r="J988">
            <v>14940</v>
          </cell>
          <cell r="L988">
            <v>1952</v>
          </cell>
        </row>
        <row r="989">
          <cell r="B989">
            <v>5.4802</v>
          </cell>
          <cell r="D989">
            <v>6.3586</v>
          </cell>
          <cell r="F989">
            <v>9636.5</v>
          </cell>
          <cell r="H989">
            <v>2808</v>
          </cell>
          <cell r="J989">
            <v>14980</v>
          </cell>
          <cell r="L989">
            <v>1974</v>
          </cell>
        </row>
        <row r="990">
          <cell r="B990">
            <v>5.4638</v>
          </cell>
          <cell r="D990">
            <v>6.3247999999999998</v>
          </cell>
          <cell r="F990">
            <v>9627</v>
          </cell>
          <cell r="H990">
            <v>2811</v>
          </cell>
          <cell r="J990">
            <v>14885</v>
          </cell>
          <cell r="L990">
            <v>1963</v>
          </cell>
        </row>
        <row r="991">
          <cell r="B991">
            <v>5.4253999999999998</v>
          </cell>
          <cell r="D991">
            <v>6.3213999999999997</v>
          </cell>
          <cell r="F991">
            <v>9643.5</v>
          </cell>
          <cell r="H991">
            <v>2803.5</v>
          </cell>
          <cell r="J991">
            <v>15045</v>
          </cell>
          <cell r="L991">
            <v>1958.501</v>
          </cell>
        </row>
        <row r="992">
          <cell r="B992">
            <v>5.4473000000000003</v>
          </cell>
          <cell r="D992">
            <v>6.3076999999999996</v>
          </cell>
          <cell r="F992">
            <v>9661.5</v>
          </cell>
          <cell r="H992">
            <v>2826.5</v>
          </cell>
          <cell r="J992">
            <v>14985</v>
          </cell>
          <cell r="L992">
            <v>1974</v>
          </cell>
        </row>
        <row r="993">
          <cell r="B993">
            <v>5.4051999999999998</v>
          </cell>
          <cell r="D993">
            <v>6.3159000000000001</v>
          </cell>
          <cell r="F993">
            <v>9746.5</v>
          </cell>
          <cell r="H993">
            <v>2841.5</v>
          </cell>
          <cell r="J993">
            <v>15135</v>
          </cell>
          <cell r="L993">
            <v>1969.5</v>
          </cell>
        </row>
        <row r="994">
          <cell r="B994">
            <v>5.3928000000000003</v>
          </cell>
          <cell r="D994">
            <v>6.3159000000000001</v>
          </cell>
          <cell r="F994">
            <v>9665.5</v>
          </cell>
          <cell r="H994">
            <v>2824</v>
          </cell>
          <cell r="J994">
            <v>14880</v>
          </cell>
          <cell r="L994">
            <v>1942.5</v>
          </cell>
        </row>
        <row r="995">
          <cell r="B995">
            <v>5.4095000000000004</v>
          </cell>
          <cell r="D995">
            <v>6.2969999999999997</v>
          </cell>
          <cell r="F995">
            <v>9621</v>
          </cell>
          <cell r="H995">
            <v>2811.5</v>
          </cell>
          <cell r="J995">
            <v>14910</v>
          </cell>
          <cell r="L995">
            <v>1945.5</v>
          </cell>
        </row>
        <row r="996">
          <cell r="B996">
            <v>5.3928000000000003</v>
          </cell>
          <cell r="D996">
            <v>6.3116000000000003</v>
          </cell>
          <cell r="F996">
            <v>9626.5</v>
          </cell>
          <cell r="H996">
            <v>2787</v>
          </cell>
          <cell r="J996">
            <v>14900</v>
          </cell>
          <cell r="L996">
            <v>1925</v>
          </cell>
        </row>
        <row r="997">
          <cell r="B997">
            <v>5.4154999999999998</v>
          </cell>
          <cell r="D997">
            <v>6.3785999999999996</v>
          </cell>
          <cell r="F997">
            <v>9621.5</v>
          </cell>
          <cell r="H997">
            <v>2758</v>
          </cell>
          <cell r="J997">
            <v>14885</v>
          </cell>
          <cell r="L997">
            <v>1932</v>
          </cell>
        </row>
        <row r="998">
          <cell r="B998">
            <v>5.4715999999999996</v>
          </cell>
          <cell r="D998">
            <v>6.3738000000000001</v>
          </cell>
          <cell r="F998">
            <v>9576.5</v>
          </cell>
          <cell r="H998">
            <v>2763</v>
          </cell>
          <cell r="J998">
            <v>14780</v>
          </cell>
          <cell r="L998">
            <v>1929</v>
          </cell>
        </row>
        <row r="999">
          <cell r="B999">
            <v>5.4725999999999999</v>
          </cell>
          <cell r="D999">
            <v>6.3609999999999998</v>
          </cell>
          <cell r="F999">
            <v>9611</v>
          </cell>
          <cell r="H999">
            <v>2762</v>
          </cell>
          <cell r="J999">
            <v>14770</v>
          </cell>
          <cell r="L999">
            <v>1932</v>
          </cell>
        </row>
        <row r="1000">
          <cell r="B1000">
            <v>5.4828000000000001</v>
          </cell>
          <cell r="D1000">
            <v>6.3209</v>
          </cell>
          <cell r="F1000">
            <v>9643</v>
          </cell>
          <cell r="H1000">
            <v>2772</v>
          </cell>
          <cell r="J1000">
            <v>14745</v>
          </cell>
          <cell r="L1000">
            <v>1946</v>
          </cell>
        </row>
        <row r="1001">
          <cell r="B1001">
            <v>5.4391999999999996</v>
          </cell>
          <cell r="D1001">
            <v>6.3183999999999996</v>
          </cell>
          <cell r="F1001" t="str">
            <v>FERIADO</v>
          </cell>
          <cell r="H1001" t="str">
            <v>FERIADO</v>
          </cell>
          <cell r="J1001" t="str">
            <v>FERIADO</v>
          </cell>
          <cell r="L1001" t="str">
            <v>FERIADO</v>
          </cell>
        </row>
        <row r="1002">
          <cell r="B1002">
            <v>5.4173999999999998</v>
          </cell>
          <cell r="D1002">
            <v>6.3160999999999996</v>
          </cell>
          <cell r="F1002">
            <v>9707.5</v>
          </cell>
          <cell r="H1002">
            <v>2789</v>
          </cell>
          <cell r="J1002">
            <v>14975</v>
          </cell>
          <cell r="L1002">
            <v>1951.5</v>
          </cell>
        </row>
        <row r="1003">
          <cell r="B1003">
            <v>5.4218000000000002</v>
          </cell>
          <cell r="D1003">
            <v>6.3449</v>
          </cell>
          <cell r="F1003">
            <v>9682</v>
          </cell>
          <cell r="H1003">
            <v>2775</v>
          </cell>
          <cell r="J1003">
            <v>14925</v>
          </cell>
          <cell r="L1003">
            <v>1949</v>
          </cell>
        </row>
        <row r="1004">
          <cell r="B1004">
            <v>5.4428000000000001</v>
          </cell>
          <cell r="D1004">
            <v>6.3609999999999998</v>
          </cell>
          <cell r="F1004">
            <v>9703.5</v>
          </cell>
          <cell r="H1004">
            <v>2764.5</v>
          </cell>
          <cell r="J1004">
            <v>15015</v>
          </cell>
          <cell r="L1004">
            <v>1944</v>
          </cell>
        </row>
        <row r="1005">
          <cell r="B1005">
            <v>5.4115000000000002</v>
          </cell>
          <cell r="D1005">
            <v>6.3712</v>
          </cell>
          <cell r="F1005">
            <v>9805</v>
          </cell>
          <cell r="H1005">
            <v>2815.5</v>
          </cell>
          <cell r="J1005">
            <v>15190</v>
          </cell>
          <cell r="L1005">
            <v>1943</v>
          </cell>
        </row>
        <row r="1006">
          <cell r="B1006">
            <v>5.4264000000000001</v>
          </cell>
          <cell r="D1006">
            <v>6.3609999999999998</v>
          </cell>
          <cell r="F1006">
            <v>9804.5</v>
          </cell>
          <cell r="H1006">
            <v>2840</v>
          </cell>
          <cell r="J1006">
            <v>15265</v>
          </cell>
          <cell r="L1006">
            <v>1955</v>
          </cell>
        </row>
        <row r="1007">
          <cell r="B1007">
            <v>5.4378000000000002</v>
          </cell>
          <cell r="D1007">
            <v>6.3712</v>
          </cell>
          <cell r="F1007">
            <v>9773.5</v>
          </cell>
          <cell r="H1007">
            <v>2874</v>
          </cell>
          <cell r="J1007">
            <v>15100</v>
          </cell>
          <cell r="L1007">
            <v>1947</v>
          </cell>
        </row>
        <row r="1008">
          <cell r="B1008">
            <v>5.468</v>
          </cell>
          <cell r="D1008">
            <v>6.3604000000000003</v>
          </cell>
          <cell r="F1008">
            <v>9873</v>
          </cell>
          <cell r="H1008">
            <v>2888</v>
          </cell>
          <cell r="J1008">
            <v>15110</v>
          </cell>
          <cell r="L1008">
            <v>1958</v>
          </cell>
        </row>
        <row r="1009">
          <cell r="B1009">
            <v>5.4485000000000001</v>
          </cell>
          <cell r="D1009">
            <v>6.3575999999999997</v>
          </cell>
          <cell r="F1009">
            <v>9813</v>
          </cell>
          <cell r="H1009">
            <v>2848</v>
          </cell>
          <cell r="J1009">
            <v>15070</v>
          </cell>
          <cell r="L1009">
            <v>1954</v>
          </cell>
        </row>
        <row r="1010">
          <cell r="B1010">
            <v>5.4587000000000003</v>
          </cell>
          <cell r="D1010">
            <v>6.3449</v>
          </cell>
          <cell r="F1010">
            <v>9881</v>
          </cell>
          <cell r="H1010">
            <v>2889.5</v>
          </cell>
          <cell r="J1010">
            <v>15110</v>
          </cell>
          <cell r="L1010">
            <v>1954</v>
          </cell>
        </row>
        <row r="1011">
          <cell r="B1011">
            <v>5.3967999999999998</v>
          </cell>
          <cell r="D1011">
            <v>6.3769999999999998</v>
          </cell>
          <cell r="F1011">
            <v>9810.5</v>
          </cell>
          <cell r="H1011">
            <v>2884.5</v>
          </cell>
          <cell r="J1011">
            <v>15095</v>
          </cell>
          <cell r="L1011">
            <v>1946</v>
          </cell>
        </row>
        <row r="1012">
          <cell r="B1012">
            <v>5.4278000000000004</v>
          </cell>
          <cell r="D1012">
            <v>6.3612000000000002</v>
          </cell>
          <cell r="F1012">
            <v>9822.5</v>
          </cell>
          <cell r="H1012">
            <v>2877</v>
          </cell>
          <cell r="J1012">
            <v>14970</v>
          </cell>
          <cell r="L1012">
            <v>1942.5</v>
          </cell>
        </row>
        <row r="1013">
          <cell r="B1013">
            <v>5.4278000000000004</v>
          </cell>
          <cell r="D1013">
            <v>6.3392999999999997</v>
          </cell>
          <cell r="F1013">
            <v>9847</v>
          </cell>
          <cell r="H1013">
            <v>2892</v>
          </cell>
          <cell r="J1013">
            <v>14940</v>
          </cell>
          <cell r="L1013">
            <v>1938</v>
          </cell>
        </row>
        <row r="1014">
          <cell r="B1014">
            <v>5.4123000000000001</v>
          </cell>
          <cell r="D1014">
            <v>6.3174000000000001</v>
          </cell>
          <cell r="F1014">
            <v>9926</v>
          </cell>
          <cell r="H1014">
            <v>2908</v>
          </cell>
          <cell r="J1014">
            <v>14900</v>
          </cell>
          <cell r="L1014">
            <v>1943.5</v>
          </cell>
        </row>
        <row r="1015">
          <cell r="B1015">
            <v>5.3857999999999997</v>
          </cell>
          <cell r="D1015">
            <v>6.2865000000000002</v>
          </cell>
          <cell r="F1015">
            <v>10004.5</v>
          </cell>
          <cell r="H1015">
            <v>2950</v>
          </cell>
          <cell r="J1015">
            <v>15175</v>
          </cell>
          <cell r="L1015">
            <v>1957</v>
          </cell>
        </row>
        <row r="1016">
          <cell r="B1016">
            <v>5.3677000000000001</v>
          </cell>
          <cell r="D1016">
            <v>6.2624000000000004</v>
          </cell>
          <cell r="F1016">
            <v>9986</v>
          </cell>
          <cell r="H1016">
            <v>2979</v>
          </cell>
          <cell r="J1016">
            <v>15285</v>
          </cell>
          <cell r="L1016">
            <v>1962</v>
          </cell>
        </row>
        <row r="1017">
          <cell r="B1017">
            <v>5.3208000000000002</v>
          </cell>
          <cell r="D1017">
            <v>6.2896000000000001</v>
          </cell>
          <cell r="F1017">
            <v>10071.5</v>
          </cell>
          <cell r="H1017">
            <v>3019</v>
          </cell>
          <cell r="J1017">
            <v>15235</v>
          </cell>
          <cell r="L1017">
            <v>1953.5</v>
          </cell>
        </row>
        <row r="1018">
          <cell r="B1018">
            <v>5.3095999999999997</v>
          </cell>
          <cell r="D1018">
            <v>6.2778999999999998</v>
          </cell>
          <cell r="F1018">
            <v>9894</v>
          </cell>
          <cell r="H1018">
            <v>2975.5</v>
          </cell>
          <cell r="J1018">
            <v>15075</v>
          </cell>
          <cell r="L1018">
            <v>1950</v>
          </cell>
        </row>
        <row r="1019">
          <cell r="B1019">
            <v>5.3010999999999999</v>
          </cell>
          <cell r="D1019">
            <v>6.2432999999999996</v>
          </cell>
          <cell r="F1019">
            <v>9895</v>
          </cell>
          <cell r="H1019">
            <v>2958</v>
          </cell>
          <cell r="J1019">
            <v>15100</v>
          </cell>
          <cell r="L1019">
            <v>1969</v>
          </cell>
        </row>
        <row r="1020">
          <cell r="B1020">
            <v>5.3010000000000002</v>
          </cell>
          <cell r="D1020">
            <v>6.2603</v>
          </cell>
          <cell r="F1020">
            <v>9904</v>
          </cell>
          <cell r="H1020">
            <v>2927</v>
          </cell>
          <cell r="J1020">
            <v>15135</v>
          </cell>
          <cell r="L1020">
            <v>1964</v>
          </cell>
        </row>
        <row r="1021">
          <cell r="B1021">
            <v>5.3276000000000003</v>
          </cell>
          <cell r="D1021">
            <v>6.2916999999999996</v>
          </cell>
          <cell r="F1021">
            <v>9921.5</v>
          </cell>
          <cell r="H1021">
            <v>2985</v>
          </cell>
          <cell r="J1021">
            <v>15020</v>
          </cell>
          <cell r="L1021">
            <v>1964</v>
          </cell>
        </row>
        <row r="1022">
          <cell r="B1022">
            <v>5.3456999999999999</v>
          </cell>
          <cell r="D1022">
            <v>6.2602000000000002</v>
          </cell>
          <cell r="F1022">
            <v>9900</v>
          </cell>
          <cell r="H1022">
            <v>2910.5</v>
          </cell>
          <cell r="J1022">
            <v>15100</v>
          </cell>
          <cell r="L1022">
            <v>1945</v>
          </cell>
        </row>
        <row r="1023">
          <cell r="B1023">
            <v>5.3063000000000002</v>
          </cell>
          <cell r="D1023">
            <v>6.2351999999999999</v>
          </cell>
          <cell r="F1023">
            <v>9862</v>
          </cell>
          <cell r="H1023">
            <v>2923.5</v>
          </cell>
          <cell r="J1023">
            <v>15100</v>
          </cell>
          <cell r="L1023">
            <v>1959</v>
          </cell>
        </row>
        <row r="1024">
          <cell r="B1024">
            <v>5.3112000000000004</v>
          </cell>
          <cell r="D1024">
            <v>6.2351000000000001</v>
          </cell>
          <cell r="F1024">
            <v>10312</v>
          </cell>
          <cell r="H1024">
            <v>3012</v>
          </cell>
          <cell r="J1024">
            <v>15285</v>
          </cell>
          <cell r="L1024">
            <v>1965.5</v>
          </cell>
        </row>
        <row r="1025">
          <cell r="B1025">
            <v>5.3425000000000002</v>
          </cell>
          <cell r="D1025">
            <v>6.2476000000000003</v>
          </cell>
          <cell r="F1025">
            <v>10125.5</v>
          </cell>
          <cell r="H1025">
            <v>2935</v>
          </cell>
          <cell r="J1025">
            <v>15035</v>
          </cell>
          <cell r="L1025">
            <v>1957.5</v>
          </cell>
        </row>
        <row r="1026">
          <cell r="B1026">
            <v>5.3445</v>
          </cell>
          <cell r="D1026">
            <v>6.2424999999999997</v>
          </cell>
          <cell r="F1026">
            <v>10233</v>
          </cell>
          <cell r="H1026">
            <v>2974.5</v>
          </cell>
          <cell r="J1026">
            <v>15065</v>
          </cell>
          <cell r="L1026">
            <v>1957</v>
          </cell>
        </row>
        <row r="1027">
          <cell r="B1027">
            <v>5.3228999999999997</v>
          </cell>
          <cell r="D1027">
            <v>6.2396000000000003</v>
          </cell>
          <cell r="F1027">
            <v>10300</v>
          </cell>
          <cell r="H1027">
            <v>3010</v>
          </cell>
          <cell r="J1027">
            <v>15075</v>
          </cell>
          <cell r="L1027">
            <v>1957</v>
          </cell>
        </row>
        <row r="1028">
          <cell r="B1028">
            <v>5.3186</v>
          </cell>
          <cell r="D1028">
            <v>6.2358000000000002</v>
          </cell>
          <cell r="F1028">
            <v>10263</v>
          </cell>
          <cell r="H1028">
            <v>3027</v>
          </cell>
          <cell r="J1028">
            <v>14965</v>
          </cell>
          <cell r="L1028">
            <v>1958</v>
          </cell>
        </row>
        <row r="1029">
          <cell r="B1029">
            <v>5.3208000000000002</v>
          </cell>
          <cell r="D1029">
            <v>6.2502000000000004</v>
          </cell>
          <cell r="F1029">
            <v>10455</v>
          </cell>
          <cell r="H1029">
            <v>3102</v>
          </cell>
          <cell r="J1029">
            <v>15110</v>
          </cell>
          <cell r="L1029">
            <v>1987.5</v>
          </cell>
        </row>
        <row r="1030">
          <cell r="B1030">
            <v>5.3449</v>
          </cell>
          <cell r="D1030">
            <v>6.2826000000000004</v>
          </cell>
          <cell r="F1030">
            <v>10537.5</v>
          </cell>
          <cell r="H1030">
            <v>3057</v>
          </cell>
          <cell r="J1030">
            <v>15230</v>
          </cell>
          <cell r="L1030">
            <v>1985</v>
          </cell>
        </row>
        <row r="1031">
          <cell r="B1031">
            <v>5.3498000000000001</v>
          </cell>
          <cell r="D1031">
            <v>6.2302</v>
          </cell>
          <cell r="F1031">
            <v>10609.5</v>
          </cell>
          <cell r="H1031">
            <v>3071</v>
          </cell>
          <cell r="J1031">
            <v>15185</v>
          </cell>
          <cell r="L1031">
            <v>1968</v>
          </cell>
        </row>
        <row r="1032">
          <cell r="B1032">
            <v>5.3226000000000004</v>
          </cell>
          <cell r="D1032">
            <v>6.2283999999999997</v>
          </cell>
          <cell r="F1032">
            <v>10643</v>
          </cell>
          <cell r="H1032">
            <v>3086</v>
          </cell>
          <cell r="J1032">
            <v>15310</v>
          </cell>
          <cell r="L1032">
            <v>1969</v>
          </cell>
        </row>
        <row r="1033">
          <cell r="B1033">
            <v>5.3362999999999996</v>
          </cell>
          <cell r="D1033">
            <v>6.1994999999999996</v>
          </cell>
          <cell r="F1033">
            <v>10738</v>
          </cell>
          <cell r="H1033">
            <v>3092.5</v>
          </cell>
          <cell r="J1033">
            <v>15190</v>
          </cell>
          <cell r="L1033">
            <v>1967</v>
          </cell>
        </row>
        <row r="1034">
          <cell r="B1034">
            <v>5.3426999999999998</v>
          </cell>
          <cell r="D1034">
            <v>6.1871999999999998</v>
          </cell>
          <cell r="F1034">
            <v>10866.5</v>
          </cell>
          <cell r="H1034">
            <v>3111</v>
          </cell>
          <cell r="J1034">
            <v>15325</v>
          </cell>
          <cell r="L1034">
            <v>1992</v>
          </cell>
        </row>
        <row r="1035">
          <cell r="B1035">
            <v>5.3537999999999997</v>
          </cell>
          <cell r="D1035">
            <v>6.3216000000000001</v>
          </cell>
          <cell r="F1035">
            <v>10735</v>
          </cell>
          <cell r="H1035">
            <v>3113</v>
          </cell>
          <cell r="J1035">
            <v>15175</v>
          </cell>
          <cell r="L1035">
            <v>1978</v>
          </cell>
        </row>
        <row r="1036">
          <cell r="B1036">
            <v>5.4446000000000003</v>
          </cell>
          <cell r="D1036">
            <v>6.3220999999999998</v>
          </cell>
          <cell r="F1036">
            <v>10617.5</v>
          </cell>
          <cell r="H1036">
            <v>3119</v>
          </cell>
          <cell r="J1036">
            <v>15040</v>
          </cell>
          <cell r="L1036">
            <v>1956.5</v>
          </cell>
        </row>
        <row r="1037">
          <cell r="B1037">
            <v>5.4629000000000003</v>
          </cell>
          <cell r="D1037">
            <v>6.3815999999999997</v>
          </cell>
          <cell r="F1037">
            <v>10600</v>
          </cell>
          <cell r="H1037">
            <v>3049</v>
          </cell>
          <cell r="J1037">
            <v>14910</v>
          </cell>
          <cell r="L1037">
            <v>1940</v>
          </cell>
        </row>
        <row r="1038">
          <cell r="B1038">
            <v>5.4981999999999998</v>
          </cell>
          <cell r="D1038">
            <v>6.3372999999999999</v>
          </cell>
          <cell r="F1038">
            <v>10702</v>
          </cell>
          <cell r="H1038">
            <v>3151</v>
          </cell>
          <cell r="J1038">
            <v>15050</v>
          </cell>
          <cell r="L1038">
            <v>1951.5</v>
          </cell>
        </row>
        <row r="1039">
          <cell r="B1039">
            <v>5.4463999999999997</v>
          </cell>
          <cell r="D1039">
            <v>6.3380999999999998</v>
          </cell>
          <cell r="F1039">
            <v>10495</v>
          </cell>
          <cell r="H1039">
            <v>3100</v>
          </cell>
          <cell r="J1039">
            <v>14975</v>
          </cell>
          <cell r="L1039">
            <v>1940</v>
          </cell>
        </row>
        <row r="1040">
          <cell r="B1040">
            <v>5.4353999999999996</v>
          </cell>
          <cell r="D1040">
            <v>6.3476999999999997</v>
          </cell>
          <cell r="F1040">
            <v>10527.5</v>
          </cell>
          <cell r="H1040">
            <v>3080</v>
          </cell>
          <cell r="J1040">
            <v>14930</v>
          </cell>
          <cell r="L1040">
            <v>1936</v>
          </cell>
        </row>
        <row r="1041">
          <cell r="B1041">
            <v>5.4390000000000001</v>
          </cell>
          <cell r="D1041">
            <v>6.2858000000000001</v>
          </cell>
          <cell r="F1041">
            <v>10581</v>
          </cell>
          <cell r="H1041">
            <v>3159</v>
          </cell>
          <cell r="J1041">
            <v>14925</v>
          </cell>
          <cell r="L1041">
            <v>1938</v>
          </cell>
        </row>
        <row r="1042">
          <cell r="B1042">
            <v>5.3771000000000004</v>
          </cell>
          <cell r="D1042">
            <v>6.2531999999999996</v>
          </cell>
          <cell r="F1042">
            <v>10612</v>
          </cell>
          <cell r="H1042">
            <v>3326</v>
          </cell>
          <cell r="J1042">
            <v>14985</v>
          </cell>
          <cell r="L1042">
            <v>1949</v>
          </cell>
        </row>
        <row r="1043">
          <cell r="B1043">
            <v>5.3848000000000003</v>
          </cell>
          <cell r="D1043">
            <v>6.2568999999999999</v>
          </cell>
          <cell r="F1043">
            <v>10600</v>
          </cell>
          <cell r="H1043">
            <v>3325</v>
          </cell>
          <cell r="J1043">
            <v>14935</v>
          </cell>
          <cell r="L1043">
            <v>1953</v>
          </cell>
        </row>
        <row r="1044">
          <cell r="B1044">
            <v>5.3898000000000001</v>
          </cell>
          <cell r="D1044">
            <v>6.2507000000000001</v>
          </cell>
          <cell r="F1044">
            <v>10797</v>
          </cell>
          <cell r="H1044">
            <v>3221</v>
          </cell>
          <cell r="J1044">
            <v>15110</v>
          </cell>
          <cell r="L1044">
            <v>1973</v>
          </cell>
        </row>
        <row r="1045">
          <cell r="B1045">
            <v>5.3840000000000003</v>
          </cell>
          <cell r="D1045">
            <v>6.2526999999999999</v>
          </cell>
          <cell r="F1045">
            <v>10807</v>
          </cell>
          <cell r="H1045">
            <v>3227</v>
          </cell>
          <cell r="J1045">
            <v>15085</v>
          </cell>
          <cell r="L1045">
            <v>1979</v>
          </cell>
        </row>
        <row r="1046">
          <cell r="B1046">
            <v>5.3796999999999997</v>
          </cell>
          <cell r="D1046">
            <v>6.2519</v>
          </cell>
          <cell r="F1046">
            <v>10987</v>
          </cell>
          <cell r="H1046">
            <v>3280</v>
          </cell>
          <cell r="J1046">
            <v>15155</v>
          </cell>
          <cell r="L1046">
            <v>1987</v>
          </cell>
        </row>
        <row r="1047">
          <cell r="B1047">
            <v>5.3743999999999996</v>
          </cell>
          <cell r="D1047">
            <v>6.2584999999999997</v>
          </cell>
          <cell r="F1047">
            <v>10917</v>
          </cell>
          <cell r="H1047">
            <v>3165</v>
          </cell>
          <cell r="J1047">
            <v>15035</v>
          </cell>
          <cell r="L1047">
            <v>1977</v>
          </cell>
        </row>
        <row r="1048">
          <cell r="B1048">
            <v>5.3689999999999998</v>
          </cell>
          <cell r="D1048">
            <v>6.2291999999999996</v>
          </cell>
          <cell r="F1048">
            <v>11067.5</v>
          </cell>
          <cell r="H1048">
            <v>3259</v>
          </cell>
          <cell r="J1048">
            <v>15130</v>
          </cell>
          <cell r="L1048">
            <v>1999</v>
          </cell>
        </row>
        <row r="1049">
          <cell r="B1049">
            <v>5.3415999999999997</v>
          </cell>
          <cell r="D1049">
            <v>6.226</v>
          </cell>
          <cell r="F1049">
            <v>10949</v>
          </cell>
          <cell r="H1049">
            <v>3139.5</v>
          </cell>
          <cell r="J1049">
            <v>15025</v>
          </cell>
          <cell r="L1049">
            <v>1986</v>
          </cell>
        </row>
        <row r="1050">
          <cell r="B1050">
            <v>5.3849999999999998</v>
          </cell>
          <cell r="D1050">
            <v>6.2127999999999997</v>
          </cell>
          <cell r="F1050">
            <v>10901.5</v>
          </cell>
          <cell r="H1050">
            <v>3170</v>
          </cell>
          <cell r="J1050">
            <v>15055</v>
          </cell>
          <cell r="L1050">
            <v>2000</v>
          </cell>
        </row>
        <row r="1051">
          <cell r="B1051">
            <v>5.3842999999999996</v>
          </cell>
          <cell r="D1051">
            <v>6.1657999999999999</v>
          </cell>
          <cell r="F1051">
            <v>10872.5</v>
          </cell>
          <cell r="H1051">
            <v>3190</v>
          </cell>
          <cell r="J1051">
            <v>14970</v>
          </cell>
          <cell r="L1051">
            <v>1995</v>
          </cell>
        </row>
        <row r="1052">
          <cell r="B1052">
            <v>5.3505000000000003</v>
          </cell>
          <cell r="D1052">
            <v>6.1867999999999999</v>
          </cell>
          <cell r="F1052">
            <v>10600.5</v>
          </cell>
          <cell r="H1052">
            <v>3241</v>
          </cell>
          <cell r="J1052">
            <v>14940</v>
          </cell>
          <cell r="L1052">
            <v>1990</v>
          </cell>
        </row>
        <row r="1053">
          <cell r="B1053">
            <v>5.3845999999999998</v>
          </cell>
          <cell r="D1053">
            <v>6.1741999999999999</v>
          </cell>
          <cell r="F1053">
            <v>10603</v>
          </cell>
          <cell r="H1053">
            <v>3189</v>
          </cell>
          <cell r="J1053">
            <v>14840</v>
          </cell>
          <cell r="L1053">
            <v>2003</v>
          </cell>
        </row>
        <row r="1054">
          <cell r="B1054">
            <v>5.3798000000000004</v>
          </cell>
          <cell r="D1054">
            <v>6.1669999999999998</v>
          </cell>
          <cell r="F1054">
            <v>10723</v>
          </cell>
          <cell r="H1054">
            <v>3186</v>
          </cell>
          <cell r="J1054">
            <v>14920</v>
          </cell>
          <cell r="L1054">
            <v>2000.5</v>
          </cell>
        </row>
        <row r="1055">
          <cell r="B1055">
            <v>5.3451000000000004</v>
          </cell>
          <cell r="D1055">
            <v>6.1974999999999998</v>
          </cell>
          <cell r="F1055">
            <v>10720</v>
          </cell>
          <cell r="H1055">
            <v>3190</v>
          </cell>
          <cell r="J1055">
            <v>14870</v>
          </cell>
          <cell r="L1055">
            <v>2045</v>
          </cell>
        </row>
        <row r="1056">
          <cell r="B1056">
            <v>5.3567</v>
          </cell>
          <cell r="D1056">
            <v>6.1391</v>
          </cell>
          <cell r="F1056">
            <v>10800</v>
          </cell>
          <cell r="H1056">
            <v>3296</v>
          </cell>
          <cell r="J1056">
            <v>14920</v>
          </cell>
          <cell r="L1056">
            <v>2043.5</v>
          </cell>
        </row>
        <row r="1057">
          <cell r="B1057">
            <v>5.3181000000000003</v>
          </cell>
          <cell r="D1057">
            <v>6.1127000000000002</v>
          </cell>
          <cell r="F1057">
            <v>10777</v>
          </cell>
          <cell r="H1057">
            <v>3172</v>
          </cell>
          <cell r="J1057">
            <v>14850</v>
          </cell>
          <cell r="L1057">
            <v>2037</v>
          </cell>
        </row>
        <row r="1058">
          <cell r="B1058">
            <v>5.2728999999999999</v>
          </cell>
          <cell r="D1058">
            <v>6.1303000000000001</v>
          </cell>
          <cell r="F1058">
            <v>10833</v>
          </cell>
          <cell r="H1058">
            <v>3179.5</v>
          </cell>
          <cell r="J1058">
            <v>14845</v>
          </cell>
          <cell r="L1058">
            <v>2044</v>
          </cell>
        </row>
        <row r="1059">
          <cell r="B1059">
            <v>5.2885</v>
          </cell>
          <cell r="D1059">
            <v>6.1464999999999996</v>
          </cell>
          <cell r="F1059">
            <v>10942</v>
          </cell>
          <cell r="H1059">
            <v>3180</v>
          </cell>
          <cell r="J1059">
            <v>14855</v>
          </cell>
          <cell r="L1059">
            <v>2058.5</v>
          </cell>
        </row>
        <row r="1060">
          <cell r="B1060">
            <v>5.282</v>
          </cell>
          <cell r="D1060">
            <v>6.1486000000000001</v>
          </cell>
          <cell r="F1060">
            <v>10851</v>
          </cell>
          <cell r="H1060">
            <v>3255</v>
          </cell>
          <cell r="J1060">
            <v>14670</v>
          </cell>
          <cell r="L1060">
            <v>2056</v>
          </cell>
        </row>
        <row r="1061">
          <cell r="B1061">
            <v>5.2952000000000004</v>
          </cell>
          <cell r="D1061">
            <v>6.1581999999999999</v>
          </cell>
          <cell r="F1061">
            <v>10799</v>
          </cell>
          <cell r="H1061">
            <v>3231</v>
          </cell>
          <cell r="J1061">
            <v>14580</v>
          </cell>
          <cell r="L1061">
            <v>2024</v>
          </cell>
        </row>
        <row r="1062">
          <cell r="B1062">
            <v>5.3108000000000004</v>
          </cell>
          <cell r="D1062">
            <v>6.1795999999999998</v>
          </cell>
          <cell r="F1062">
            <v>10649</v>
          </cell>
          <cell r="H1062">
            <v>3125</v>
          </cell>
          <cell r="J1062">
            <v>14450</v>
          </cell>
          <cell r="L1062">
            <v>2012</v>
          </cell>
        </row>
        <row r="1063">
          <cell r="B1063">
            <v>5.3361000000000001</v>
          </cell>
          <cell r="D1063">
            <v>6.1585999999999999</v>
          </cell>
          <cell r="F1063">
            <v>10784</v>
          </cell>
          <cell r="H1063">
            <v>3160</v>
          </cell>
          <cell r="J1063">
            <v>14460</v>
          </cell>
          <cell r="L1063">
            <v>1994</v>
          </cell>
        </row>
        <row r="1064">
          <cell r="B1064">
            <v>5.3346</v>
          </cell>
          <cell r="D1064">
            <v>6.1585999999999999</v>
          </cell>
          <cell r="F1064">
            <v>10789</v>
          </cell>
          <cell r="H1064">
            <v>3140</v>
          </cell>
          <cell r="J1064">
            <v>14370</v>
          </cell>
          <cell r="L1064">
            <v>1993</v>
          </cell>
        </row>
        <row r="1065">
          <cell r="B1065">
            <v>5.3902000000000001</v>
          </cell>
          <cell r="D1065">
            <v>6.1990999999999996</v>
          </cell>
          <cell r="F1065">
            <v>10685.5</v>
          </cell>
          <cell r="H1065">
            <v>3119</v>
          </cell>
          <cell r="J1065">
            <v>14280</v>
          </cell>
          <cell r="L1065">
            <v>1977</v>
          </cell>
        </row>
        <row r="1066">
          <cell r="B1066">
            <v>5.3948</v>
          </cell>
          <cell r="D1066">
            <v>6.2190000000000003</v>
          </cell>
          <cell r="F1066">
            <v>10795</v>
          </cell>
          <cell r="H1066">
            <v>3136.5</v>
          </cell>
          <cell r="J1066">
            <v>14440</v>
          </cell>
          <cell r="L1066">
            <v>1960</v>
          </cell>
        </row>
        <row r="1067">
          <cell r="B1067">
            <v>5.3841000000000001</v>
          </cell>
          <cell r="D1067">
            <v>6.2244000000000002</v>
          </cell>
          <cell r="F1067">
            <v>10876</v>
          </cell>
          <cell r="H1067">
            <v>3118</v>
          </cell>
          <cell r="J1067">
            <v>14650</v>
          </cell>
          <cell r="L1067">
            <v>1961.5</v>
          </cell>
        </row>
        <row r="1068">
          <cell r="B1068">
            <v>5.3841000000000001</v>
          </cell>
          <cell r="D1068">
            <v>6.2218999999999998</v>
          </cell>
          <cell r="F1068">
            <v>10978</v>
          </cell>
          <cell r="H1068">
            <v>3194</v>
          </cell>
          <cell r="J1068">
            <v>14610</v>
          </cell>
          <cell r="L1068">
            <v>1947</v>
          </cell>
        </row>
        <row r="1069">
          <cell r="B1069">
            <v>5.3693999999999997</v>
          </cell>
          <cell r="D1069">
            <v>6.2008999999999999</v>
          </cell>
          <cell r="F1069">
            <v>10934</v>
          </cell>
          <cell r="H1069">
            <v>3191</v>
          </cell>
          <cell r="J1069">
            <v>14605</v>
          </cell>
          <cell r="L1069">
            <v>1940</v>
          </cell>
        </row>
        <row r="1070">
          <cell r="B1070">
            <v>5.3490000000000002</v>
          </cell>
          <cell r="D1070">
            <v>6.1901999999999999</v>
          </cell>
          <cell r="F1070">
            <v>11004</v>
          </cell>
          <cell r="H1070">
            <v>3255</v>
          </cell>
          <cell r="J1070">
            <v>14660</v>
          </cell>
          <cell r="L1070">
            <v>1955</v>
          </cell>
        </row>
        <row r="1071">
          <cell r="B1071">
            <v>5.3338000000000001</v>
          </cell>
          <cell r="D1071">
            <v>6.2167000000000003</v>
          </cell>
          <cell r="F1071">
            <v>11299</v>
          </cell>
          <cell r="H1071">
            <v>3315</v>
          </cell>
          <cell r="J1071">
            <v>14695</v>
          </cell>
          <cell r="L1071">
            <v>1946</v>
          </cell>
        </row>
        <row r="1072">
          <cell r="B1072">
            <v>5.3468999999999998</v>
          </cell>
          <cell r="D1072">
            <v>6.2045000000000003</v>
          </cell>
          <cell r="F1072">
            <v>11285</v>
          </cell>
          <cell r="H1072">
            <v>3350.5</v>
          </cell>
          <cell r="J1072">
            <v>14725</v>
          </cell>
          <cell r="L1072">
            <v>1965</v>
          </cell>
        </row>
        <row r="1073">
          <cell r="B1073">
            <v>5.3464999999999998</v>
          </cell>
          <cell r="D1073">
            <v>6.1919000000000004</v>
          </cell>
          <cell r="F1073">
            <v>11437</v>
          </cell>
          <cell r="H1073">
            <v>3240.5</v>
          </cell>
          <cell r="J1073">
            <v>14680</v>
          </cell>
          <cell r="L1073">
            <v>1961</v>
          </cell>
        </row>
        <row r="1074">
          <cell r="B1074">
            <v>5.3113999999999999</v>
          </cell>
          <cell r="D1074">
            <v>6.1803999999999997</v>
          </cell>
          <cell r="F1074">
            <v>11472</v>
          </cell>
          <cell r="H1074">
            <v>3226</v>
          </cell>
          <cell r="J1074">
            <v>14725</v>
          </cell>
          <cell r="L1074">
            <v>1962</v>
          </cell>
        </row>
        <row r="1075">
          <cell r="B1075">
            <v>5.2952000000000004</v>
          </cell>
          <cell r="D1075">
            <v>6.2194000000000003</v>
          </cell>
          <cell r="F1075">
            <v>11645</v>
          </cell>
          <cell r="H1075">
            <v>3222</v>
          </cell>
          <cell r="J1075">
            <v>14720</v>
          </cell>
          <cell r="L1075">
            <v>1967</v>
          </cell>
        </row>
        <row r="1076">
          <cell r="B1076">
            <v>5.3404999999999996</v>
          </cell>
          <cell r="D1076">
            <v>6.3052000000000001</v>
          </cell>
          <cell r="F1076">
            <v>11695</v>
          </cell>
          <cell r="H1076">
            <v>3256</v>
          </cell>
          <cell r="J1076">
            <v>14705</v>
          </cell>
          <cell r="L1076">
            <v>1961.5</v>
          </cell>
        </row>
        <row r="1077">
          <cell r="B1077">
            <v>5.4249000000000001</v>
          </cell>
          <cell r="D1077">
            <v>6.3446999999999996</v>
          </cell>
          <cell r="F1077">
            <v>11563.5</v>
          </cell>
          <cell r="H1077">
            <v>3262</v>
          </cell>
          <cell r="J1077">
            <v>14665</v>
          </cell>
          <cell r="L1077">
            <v>1939</v>
          </cell>
        </row>
        <row r="1078">
          <cell r="B1078">
            <v>5.4569999999999999</v>
          </cell>
          <cell r="D1078">
            <v>6.3617999999999997</v>
          </cell>
          <cell r="F1078">
            <v>11645</v>
          </cell>
          <cell r="H1078">
            <v>3259</v>
          </cell>
          <cell r="J1078">
            <v>14550</v>
          </cell>
          <cell r="L1078">
            <v>1937</v>
          </cell>
        </row>
        <row r="1079">
          <cell r="B1079">
            <v>5.4656000000000002</v>
          </cell>
          <cell r="D1079">
            <v>6.3754</v>
          </cell>
          <cell r="F1079">
            <v>11740</v>
          </cell>
          <cell r="H1079">
            <v>3320</v>
          </cell>
          <cell r="J1079">
            <v>14450</v>
          </cell>
          <cell r="L1079">
            <v>1936</v>
          </cell>
        </row>
        <row r="1080">
          <cell r="B1080">
            <v>5.4237000000000002</v>
          </cell>
          <cell r="D1080">
            <v>6.3391000000000002</v>
          </cell>
          <cell r="F1080">
            <v>11816</v>
          </cell>
          <cell r="H1080">
            <v>3242</v>
          </cell>
          <cell r="J1080">
            <v>14420</v>
          </cell>
          <cell r="L1080">
            <v>1932</v>
          </cell>
        </row>
        <row r="1081">
          <cell r="B1081">
            <v>5.4010999999999996</v>
          </cell>
          <cell r="D1081">
            <v>6.3423999999999996</v>
          </cell>
          <cell r="F1081">
            <v>11774.5</v>
          </cell>
          <cell r="H1081">
            <v>3127</v>
          </cell>
          <cell r="J1081">
            <v>14225</v>
          </cell>
          <cell r="L1081">
            <v>1904.5</v>
          </cell>
        </row>
        <row r="1082">
          <cell r="B1082">
            <v>5.3929</v>
          </cell>
          <cell r="D1082">
            <v>6.4139999999999997</v>
          </cell>
          <cell r="F1082">
            <v>11636</v>
          </cell>
          <cell r="H1082">
            <v>3027</v>
          </cell>
          <cell r="J1082">
            <v>14125</v>
          </cell>
          <cell r="L1082">
            <v>1901</v>
          </cell>
        </row>
        <row r="1083">
          <cell r="B1083">
            <v>5.4504999999999999</v>
          </cell>
          <cell r="D1083">
            <v>6.4737999999999998</v>
          </cell>
          <cell r="F1083">
            <v>11720</v>
          </cell>
          <cell r="H1083">
            <v>3033.5</v>
          </cell>
          <cell r="J1083">
            <v>14275</v>
          </cell>
          <cell r="L1083">
            <v>1914</v>
          </cell>
        </row>
        <row r="1084">
          <cell r="B1084">
            <v>5.5092999999999996</v>
          </cell>
          <cell r="D1084">
            <v>6.4817999999999998</v>
          </cell>
          <cell r="F1084">
            <v>11721.5</v>
          </cell>
          <cell r="H1084">
            <v>3036</v>
          </cell>
          <cell r="J1084">
            <v>14335</v>
          </cell>
          <cell r="L1084">
            <v>1913</v>
          </cell>
        </row>
        <row r="1085">
          <cell r="B1085">
            <v>5.5282999999999998</v>
          </cell>
          <cell r="D1085">
            <v>6.4580000000000002</v>
          </cell>
          <cell r="F1085">
            <v>11845</v>
          </cell>
          <cell r="H1085">
            <v>3040</v>
          </cell>
          <cell r="J1085">
            <v>14565</v>
          </cell>
          <cell r="L1085">
            <v>1937</v>
          </cell>
        </row>
        <row r="1086">
          <cell r="B1086">
            <v>5.516</v>
          </cell>
          <cell r="D1086">
            <v>6.5147000000000004</v>
          </cell>
          <cell r="F1086">
            <v>11940</v>
          </cell>
          <cell r="H1086">
            <v>3033.5</v>
          </cell>
          <cell r="J1086">
            <v>14885</v>
          </cell>
          <cell r="L1086">
            <v>1924</v>
          </cell>
        </row>
        <row r="1087">
          <cell r="B1087">
            <v>5.5388999999999999</v>
          </cell>
          <cell r="D1087">
            <v>6.5500999999999996</v>
          </cell>
          <cell r="F1087">
            <v>12070</v>
          </cell>
          <cell r="H1087">
            <v>3086.5</v>
          </cell>
          <cell r="J1087">
            <v>15465</v>
          </cell>
          <cell r="L1087">
            <v>1946</v>
          </cell>
        </row>
        <row r="1088">
          <cell r="B1088">
            <v>5.5643000000000002</v>
          </cell>
          <cell r="D1088">
            <v>6.5209000000000001</v>
          </cell>
          <cell r="F1088">
            <v>12253</v>
          </cell>
          <cell r="H1088">
            <v>3059.5</v>
          </cell>
          <cell r="J1088">
            <v>15435</v>
          </cell>
          <cell r="L1088">
            <v>1945.5</v>
          </cell>
        </row>
        <row r="1089">
          <cell r="B1089">
            <v>5.5350000000000001</v>
          </cell>
          <cell r="D1089">
            <v>6.5247000000000002</v>
          </cell>
          <cell r="F1089" t="str">
            <v>FERIADO</v>
          </cell>
          <cell r="H1089" t="str">
            <v>FERIADO</v>
          </cell>
          <cell r="J1089" t="str">
            <v>FERIADO</v>
          </cell>
          <cell r="L1089" t="str">
            <v>FERIADO</v>
          </cell>
        </row>
        <row r="1090">
          <cell r="B1090">
            <v>5.5412999999999997</v>
          </cell>
          <cell r="D1090">
            <v>6.5580999999999996</v>
          </cell>
          <cell r="F1090">
            <v>12306</v>
          </cell>
          <cell r="H1090">
            <v>3056</v>
          </cell>
          <cell r="J1090">
            <v>15850</v>
          </cell>
          <cell r="L1090">
            <v>1955</v>
          </cell>
        </row>
        <row r="1091">
          <cell r="B1091">
            <v>5.5739000000000001</v>
          </cell>
          <cell r="D1091">
            <v>6.4695999999999998</v>
          </cell>
          <cell r="F1091">
            <v>12512</v>
          </cell>
          <cell r="H1091">
            <v>3099</v>
          </cell>
          <cell r="J1091">
            <v>16475</v>
          </cell>
          <cell r="L1091">
            <v>1980</v>
          </cell>
        </row>
        <row r="1092">
          <cell r="B1092">
            <v>5.5023999999999997</v>
          </cell>
          <cell r="D1092">
            <v>6.4679000000000002</v>
          </cell>
          <cell r="F1092">
            <v>12504</v>
          </cell>
          <cell r="H1092">
            <v>3063.5</v>
          </cell>
          <cell r="J1092">
            <v>16485</v>
          </cell>
          <cell r="L1092">
            <v>1962</v>
          </cell>
        </row>
        <row r="1093">
          <cell r="B1093">
            <v>5.5023999999999997</v>
          </cell>
          <cell r="D1093">
            <v>6.3879999999999999</v>
          </cell>
          <cell r="F1093">
            <v>12571</v>
          </cell>
          <cell r="H1093">
            <v>3106</v>
          </cell>
          <cell r="J1093">
            <v>16765</v>
          </cell>
          <cell r="L1093">
            <v>1968</v>
          </cell>
        </row>
        <row r="1094">
          <cell r="B1094">
            <v>5.4371999999999998</v>
          </cell>
          <cell r="D1094">
            <v>6.3605</v>
          </cell>
          <cell r="F1094">
            <v>12884</v>
          </cell>
          <cell r="H1094">
            <v>3128</v>
          </cell>
          <cell r="J1094">
            <v>16745</v>
          </cell>
          <cell r="L1094">
            <v>1962</v>
          </cell>
        </row>
        <row r="1095">
          <cell r="B1095">
            <v>5.4351000000000003</v>
          </cell>
          <cell r="D1095">
            <v>6.2908999999999997</v>
          </cell>
          <cell r="F1095">
            <v>13269.5</v>
          </cell>
          <cell r="H1095">
            <v>3206.5</v>
          </cell>
          <cell r="J1095">
            <v>17830</v>
          </cell>
          <cell r="L1095">
            <v>2000</v>
          </cell>
        </row>
        <row r="1096">
          <cell r="B1096">
            <v>5.3796999999999997</v>
          </cell>
          <cell r="D1096">
            <v>6.2843999999999998</v>
          </cell>
          <cell r="F1096">
            <v>13145</v>
          </cell>
          <cell r="H1096">
            <v>3165</v>
          </cell>
          <cell r="J1096">
            <v>18450</v>
          </cell>
          <cell r="L1096">
            <v>2024</v>
          </cell>
        </row>
        <row r="1097">
          <cell r="B1097">
            <v>5.3879999999999999</v>
          </cell>
          <cell r="D1097">
            <v>6.2820999999999998</v>
          </cell>
          <cell r="F1097">
            <v>12885</v>
          </cell>
          <cell r="H1097">
            <v>3107</v>
          </cell>
          <cell r="J1097">
            <v>16920</v>
          </cell>
          <cell r="L1097">
            <v>2006</v>
          </cell>
        </row>
        <row r="1098">
          <cell r="B1098">
            <v>5.3860000000000001</v>
          </cell>
          <cell r="D1098">
            <v>6.2507999999999999</v>
          </cell>
          <cell r="F1098">
            <v>13060</v>
          </cell>
          <cell r="H1098">
            <v>3101.5</v>
          </cell>
          <cell r="J1098">
            <v>17675</v>
          </cell>
          <cell r="L1098">
            <v>1995</v>
          </cell>
        </row>
        <row r="1099">
          <cell r="B1099">
            <v>5.3707000000000003</v>
          </cell>
          <cell r="D1099">
            <v>6.2789999999999999</v>
          </cell>
          <cell r="F1099">
            <v>13310</v>
          </cell>
          <cell r="H1099">
            <v>3150</v>
          </cell>
          <cell r="J1099">
            <v>17930</v>
          </cell>
          <cell r="L1099">
            <v>2020</v>
          </cell>
        </row>
        <row r="1100">
          <cell r="B1100">
            <v>5.3760000000000003</v>
          </cell>
          <cell r="D1100">
            <v>6.2633000000000001</v>
          </cell>
          <cell r="F1100">
            <v>13310</v>
          </cell>
          <cell r="H1100">
            <v>3259.5</v>
          </cell>
          <cell r="J1100">
            <v>17620</v>
          </cell>
          <cell r="L1100">
            <v>2018.5</v>
          </cell>
        </row>
        <row r="1101">
          <cell r="B1101">
            <v>5.3764000000000003</v>
          </cell>
          <cell r="D1101">
            <v>6.2713000000000001</v>
          </cell>
          <cell r="F1101">
            <v>13335</v>
          </cell>
          <cell r="H1101">
            <v>3237.5</v>
          </cell>
          <cell r="J1101">
            <v>18000</v>
          </cell>
          <cell r="L1101">
            <v>2029</v>
          </cell>
        </row>
        <row r="1102">
          <cell r="B1102">
            <v>5.3795000000000002</v>
          </cell>
          <cell r="D1102">
            <v>6.2465000000000002</v>
          </cell>
          <cell r="F1102">
            <v>13205</v>
          </cell>
          <cell r="H1102">
            <v>3288.5</v>
          </cell>
          <cell r="J1102">
            <v>17905</v>
          </cell>
          <cell r="L1102">
            <v>2040</v>
          </cell>
        </row>
        <row r="1103">
          <cell r="B1103">
            <v>5.3845999999999998</v>
          </cell>
          <cell r="D1103">
            <v>6.2366000000000001</v>
          </cell>
          <cell r="F1103">
            <v>13000</v>
          </cell>
          <cell r="H1103">
            <v>3201.5</v>
          </cell>
          <cell r="J1103">
            <v>17625</v>
          </cell>
          <cell r="L1103">
            <v>2017</v>
          </cell>
        </row>
        <row r="1104">
          <cell r="B1104">
            <v>5.3798000000000004</v>
          </cell>
          <cell r="D1104">
            <v>6.2439999999999998</v>
          </cell>
          <cell r="F1104">
            <v>13000</v>
          </cell>
          <cell r="H1104">
            <v>3184</v>
          </cell>
          <cell r="J1104">
            <v>18000</v>
          </cell>
          <cell r="L1104">
            <v>2012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issas"/>
      <sheetName val="Pricing Geral"/>
      <sheetName val="Base Controladoria"/>
      <sheetName val="Base Consolidada"/>
      <sheetName val="Orçamento Importado"/>
      <sheetName val="Pricing Embalagem"/>
      <sheetName val="Pricing Componentes Nac"/>
      <sheetName val="Pricing Secundário"/>
      <sheetName val="Pricing MP (LME Revisada)"/>
      <sheetName val="Pricing MP"/>
      <sheetName val="Pricing MP termoplastico"/>
      <sheetName val="Planilha3"/>
      <sheetName val="Planilha2"/>
      <sheetName val="MD Estoque jan-19"/>
      <sheetName val="MD fev-19"/>
      <sheetName val="Não orçados"/>
      <sheetName val="Tabela TM"/>
      <sheetName val="Custo integral Jan_Ago-19"/>
      <sheetName val="Custo integral Ago-19"/>
      <sheetName val="Proj Knoema"/>
      <sheetName val="Planilha1"/>
      <sheetName val="Resum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5">
          <cell r="K15">
            <v>5900</v>
          </cell>
        </row>
        <row r="21">
          <cell r="K21">
            <v>4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opLeftCell="A31" workbookViewId="0">
      <selection activeCell="B30" sqref="B30"/>
    </sheetView>
  </sheetViews>
  <sheetFormatPr defaultRowHeight="14.5" x14ac:dyDescent="0.35"/>
  <cols>
    <col min="2" max="2" width="11.453125" bestFit="1" customWidth="1"/>
    <col min="4" max="4" width="11.453125" bestFit="1" customWidth="1"/>
    <col min="6" max="6" width="11.453125" bestFit="1" customWidth="1"/>
    <col min="8" max="8" width="11.453125" bestFit="1" customWidth="1"/>
    <col min="10" max="10" width="11.453125" bestFit="1" customWidth="1"/>
    <col min="12" max="12" width="11.453125" bestFit="1" customWidth="1"/>
    <col min="18" max="18" width="11.7265625" bestFit="1" customWidth="1"/>
  </cols>
  <sheetData>
    <row r="1" spans="1:19" ht="15" thickBot="1" x14ac:dyDescent="0.4">
      <c r="A1" s="350" t="s">
        <v>0</v>
      </c>
      <c r="B1" s="351"/>
      <c r="C1" s="351"/>
      <c r="D1" s="351"/>
      <c r="E1" s="351"/>
      <c r="F1" s="351"/>
      <c r="G1" s="351"/>
      <c r="H1" s="351"/>
      <c r="I1" s="377"/>
      <c r="J1" s="377"/>
      <c r="K1" s="351"/>
      <c r="L1" s="352"/>
      <c r="P1" s="78" t="s">
        <v>35</v>
      </c>
      <c r="Q1" s="78" t="s">
        <v>36</v>
      </c>
      <c r="R1" s="78" t="s">
        <v>37</v>
      </c>
      <c r="S1" s="78" t="s">
        <v>36</v>
      </c>
    </row>
    <row r="2" spans="1:19" x14ac:dyDescent="0.35">
      <c r="A2" s="378" t="s">
        <v>1</v>
      </c>
      <c r="B2" s="379"/>
      <c r="C2" s="353" t="s">
        <v>2</v>
      </c>
      <c r="D2" s="354"/>
      <c r="E2" s="378" t="s">
        <v>3</v>
      </c>
      <c r="F2" s="379"/>
      <c r="G2" s="378" t="s">
        <v>4</v>
      </c>
      <c r="H2" s="379"/>
      <c r="I2" s="380" t="s">
        <v>5</v>
      </c>
      <c r="J2" s="380"/>
      <c r="K2" s="378" t="s">
        <v>6</v>
      </c>
      <c r="L2" s="379"/>
      <c r="O2" s="76">
        <v>41275</v>
      </c>
      <c r="P2" s="77">
        <v>8049.2454545454557</v>
      </c>
      <c r="Q2" s="79">
        <v>9.5984124044812269E-3</v>
      </c>
      <c r="R2" s="80">
        <v>16364.920933636367</v>
      </c>
      <c r="S2" s="79">
        <v>9.5984124044812269E-3</v>
      </c>
    </row>
    <row r="3" spans="1:19" x14ac:dyDescent="0.35">
      <c r="A3" s="1"/>
      <c r="B3" s="2" t="s">
        <v>7</v>
      </c>
      <c r="C3" s="3"/>
      <c r="D3" s="4" t="s">
        <v>8</v>
      </c>
      <c r="E3" s="3"/>
      <c r="F3" s="5" t="s">
        <v>8</v>
      </c>
      <c r="G3" s="3"/>
      <c r="H3" s="4" t="s">
        <v>8</v>
      </c>
      <c r="I3" s="6"/>
      <c r="J3" s="7" t="s">
        <v>8</v>
      </c>
      <c r="K3" s="3"/>
      <c r="L3" s="4" t="s">
        <v>8</v>
      </c>
      <c r="O3" s="76">
        <v>41306</v>
      </c>
      <c r="P3" s="77">
        <v>8070.4750000000004</v>
      </c>
      <c r="Q3" s="79">
        <v>2.6374578306040952E-3</v>
      </c>
      <c r="R3" s="80">
        <v>15912.555557500002</v>
      </c>
      <c r="S3" s="79">
        <v>-2.7642380795532939E-2</v>
      </c>
    </row>
    <row r="4" spans="1:19" x14ac:dyDescent="0.35">
      <c r="A4" s="8"/>
      <c r="B4" s="9"/>
      <c r="C4" s="8">
        <v>1</v>
      </c>
      <c r="D4" s="10">
        <v>8160</v>
      </c>
      <c r="E4" s="8">
        <v>1</v>
      </c>
      <c r="F4" s="10">
        <v>7620.5</v>
      </c>
      <c r="G4" s="8">
        <v>1</v>
      </c>
      <c r="H4" s="10" t="s">
        <v>9</v>
      </c>
      <c r="I4" s="6">
        <v>1</v>
      </c>
      <c r="J4" s="10">
        <v>6875</v>
      </c>
      <c r="K4" s="11">
        <v>3</v>
      </c>
      <c r="L4" s="10">
        <v>7330.5</v>
      </c>
      <c r="O4" s="76">
        <v>41334</v>
      </c>
      <c r="P4" s="77">
        <v>7662.4</v>
      </c>
      <c r="Q4" s="79">
        <v>-5.0563938305985823E-2</v>
      </c>
      <c r="R4" s="80">
        <v>15212.928959999999</v>
      </c>
      <c r="S4" s="79">
        <v>-4.396695395481276E-2</v>
      </c>
    </row>
    <row r="5" spans="1:19" x14ac:dyDescent="0.35">
      <c r="A5" s="8">
        <v>2</v>
      </c>
      <c r="B5" s="10">
        <v>8085</v>
      </c>
      <c r="C5" s="8">
        <v>4</v>
      </c>
      <c r="D5" s="10">
        <v>8226</v>
      </c>
      <c r="E5" s="8">
        <v>4</v>
      </c>
      <c r="F5" s="10">
        <v>7751</v>
      </c>
      <c r="G5" s="8">
        <v>2</v>
      </c>
      <c r="H5" s="10">
        <v>7434.5</v>
      </c>
      <c r="I5" s="6">
        <v>2</v>
      </c>
      <c r="J5" s="10">
        <v>6870.5</v>
      </c>
      <c r="K5" s="11">
        <v>4</v>
      </c>
      <c r="L5" s="10">
        <v>7337.5</v>
      </c>
      <c r="O5" s="76">
        <v>41365</v>
      </c>
      <c r="P5" s="77">
        <v>7203.3571428571431</v>
      </c>
      <c r="Q5" s="79">
        <v>-5.9908495659696248E-2</v>
      </c>
      <c r="R5" s="80">
        <v>14413.917642857143</v>
      </c>
      <c r="S5" s="79">
        <v>-5.2521859481742816E-2</v>
      </c>
    </row>
    <row r="6" spans="1:19" x14ac:dyDescent="0.35">
      <c r="A6" s="8">
        <v>3</v>
      </c>
      <c r="B6" s="10">
        <v>8140.5</v>
      </c>
      <c r="C6" s="8">
        <v>5</v>
      </c>
      <c r="D6" s="10">
        <v>8242.5</v>
      </c>
      <c r="E6" s="8">
        <v>5</v>
      </c>
      <c r="F6" s="10">
        <v>7720</v>
      </c>
      <c r="G6" s="8">
        <v>3</v>
      </c>
      <c r="H6" s="10">
        <v>7405.5</v>
      </c>
      <c r="I6" s="6">
        <v>3</v>
      </c>
      <c r="J6" s="10">
        <v>7122</v>
      </c>
      <c r="K6" s="11">
        <v>5</v>
      </c>
      <c r="L6" s="10">
        <v>7421.5</v>
      </c>
      <c r="O6" s="76">
        <v>41395</v>
      </c>
      <c r="P6" s="77">
        <v>7229.1428571428569</v>
      </c>
      <c r="Q6" s="79">
        <v>3.5796801094727382E-3</v>
      </c>
      <c r="R6" s="80">
        <v>14704.07657142857</v>
      </c>
      <c r="S6" s="79">
        <v>2.0130469436615339E-2</v>
      </c>
    </row>
    <row r="7" spans="1:19" x14ac:dyDescent="0.35">
      <c r="A7" s="8">
        <v>4</v>
      </c>
      <c r="B7" s="10">
        <v>8026</v>
      </c>
      <c r="C7" s="8">
        <v>6</v>
      </c>
      <c r="D7" s="10">
        <v>8200</v>
      </c>
      <c r="E7" s="8">
        <v>6</v>
      </c>
      <c r="F7" s="10">
        <v>7699.5</v>
      </c>
      <c r="G7" s="8">
        <v>4</v>
      </c>
      <c r="H7" s="10">
        <v>7336.5</v>
      </c>
      <c r="I7" s="6">
        <v>6</v>
      </c>
      <c r="J7" s="10" t="s">
        <v>9</v>
      </c>
      <c r="K7" s="11">
        <v>6</v>
      </c>
      <c r="L7" s="10">
        <v>7311</v>
      </c>
      <c r="O7" s="76">
        <v>41426</v>
      </c>
      <c r="P7" s="77">
        <v>7004.05</v>
      </c>
      <c r="Q7" s="79">
        <v>-3.1136866650857575E-2</v>
      </c>
      <c r="R7" s="80">
        <v>15198.788500000001</v>
      </c>
      <c r="S7" s="79">
        <v>3.3644542461966243E-2</v>
      </c>
    </row>
    <row r="8" spans="1:19" x14ac:dyDescent="0.35">
      <c r="A8" s="8">
        <v>7</v>
      </c>
      <c r="B8" s="10">
        <v>7995.5</v>
      </c>
      <c r="C8" s="8">
        <v>7</v>
      </c>
      <c r="D8" s="10">
        <v>8212</v>
      </c>
      <c r="E8" s="8">
        <v>7</v>
      </c>
      <c r="F8" s="10">
        <v>7671</v>
      </c>
      <c r="G8" s="8">
        <v>5</v>
      </c>
      <c r="H8" s="10">
        <v>7376</v>
      </c>
      <c r="I8" s="6">
        <v>7</v>
      </c>
      <c r="J8" s="10">
        <v>7240.5</v>
      </c>
      <c r="K8" s="11">
        <v>7</v>
      </c>
      <c r="L8" s="10">
        <v>7282</v>
      </c>
      <c r="O8" s="76">
        <v>41456</v>
      </c>
      <c r="P8" s="77">
        <v>6896.977272727273</v>
      </c>
      <c r="Q8" s="79">
        <v>-1.528725912475315E-2</v>
      </c>
      <c r="R8" s="80">
        <v>15536.682762727272</v>
      </c>
      <c r="S8" s="79">
        <v>2.223165765661328E-2</v>
      </c>
    </row>
    <row r="9" spans="1:19" x14ac:dyDescent="0.35">
      <c r="A9" s="8">
        <v>8</v>
      </c>
      <c r="B9" s="10">
        <v>8050.5</v>
      </c>
      <c r="C9" s="8">
        <v>8</v>
      </c>
      <c r="D9" s="10">
        <v>8215</v>
      </c>
      <c r="E9" s="8">
        <v>8</v>
      </c>
      <c r="F9" s="10">
        <v>7730</v>
      </c>
      <c r="G9" s="8">
        <v>8</v>
      </c>
      <c r="H9" s="10">
        <v>7457.5</v>
      </c>
      <c r="I9" s="6">
        <v>8</v>
      </c>
      <c r="J9" s="10">
        <v>7326</v>
      </c>
      <c r="K9" s="11">
        <v>10</v>
      </c>
      <c r="L9" s="10">
        <v>7120</v>
      </c>
      <c r="O9" s="76">
        <v>41487</v>
      </c>
      <c r="P9" s="77">
        <v>7182.2619047619046</v>
      </c>
      <c r="Q9" s="79">
        <v>4.1363719315522962E-2</v>
      </c>
      <c r="R9" s="80">
        <v>16802.901726190477</v>
      </c>
      <c r="S9" s="79">
        <v>8.1498668847180378E-2</v>
      </c>
    </row>
    <row r="10" spans="1:19" x14ac:dyDescent="0.35">
      <c r="A10" s="8">
        <v>9</v>
      </c>
      <c r="B10" s="10">
        <v>8059</v>
      </c>
      <c r="C10" s="8">
        <v>11</v>
      </c>
      <c r="D10" s="10">
        <v>8216</v>
      </c>
      <c r="E10" s="8">
        <v>11</v>
      </c>
      <c r="F10" s="10">
        <v>7667</v>
      </c>
      <c r="G10" s="8">
        <v>9</v>
      </c>
      <c r="H10" s="10">
        <v>7485.5</v>
      </c>
      <c r="I10" s="6">
        <v>9</v>
      </c>
      <c r="J10" s="10">
        <v>7311</v>
      </c>
      <c r="K10" s="11">
        <v>11</v>
      </c>
      <c r="L10" s="10">
        <v>7036</v>
      </c>
      <c r="O10" s="76">
        <v>41518</v>
      </c>
      <c r="P10" s="77">
        <v>7161.4285714285716</v>
      </c>
      <c r="Q10" s="79">
        <v>-2.9006646665892255E-3</v>
      </c>
      <c r="R10" s="80">
        <v>16264.320428571429</v>
      </c>
      <c r="S10" s="79">
        <v>-3.2052874342505255E-2</v>
      </c>
    </row>
    <row r="11" spans="1:19" x14ac:dyDescent="0.35">
      <c r="A11" s="8">
        <v>10</v>
      </c>
      <c r="B11" s="10">
        <v>8117</v>
      </c>
      <c r="C11" s="8">
        <v>12</v>
      </c>
      <c r="D11" s="10">
        <v>8184.5</v>
      </c>
      <c r="E11" s="8">
        <v>12</v>
      </c>
      <c r="F11" s="10">
        <v>7815</v>
      </c>
      <c r="G11" s="8">
        <v>10</v>
      </c>
      <c r="H11" s="10">
        <v>7547</v>
      </c>
      <c r="I11" s="6">
        <v>10</v>
      </c>
      <c r="J11" s="10">
        <v>7390.5</v>
      </c>
      <c r="K11" s="11">
        <v>12</v>
      </c>
      <c r="L11" s="10">
        <v>7086</v>
      </c>
      <c r="O11" s="76">
        <v>41548</v>
      </c>
      <c r="P11" s="77">
        <v>7188.782608695652</v>
      </c>
      <c r="Q11" s="79">
        <v>3.8196341685530211E-3</v>
      </c>
      <c r="R11" s="80">
        <v>15720.429808695651</v>
      </c>
      <c r="S11" s="79">
        <v>-3.3440722117127564E-2</v>
      </c>
    </row>
    <row r="12" spans="1:19" x14ac:dyDescent="0.35">
      <c r="A12" s="8">
        <v>11</v>
      </c>
      <c r="B12" s="10">
        <v>8071</v>
      </c>
      <c r="C12" s="8">
        <v>13</v>
      </c>
      <c r="D12" s="10">
        <v>8221</v>
      </c>
      <c r="E12" s="8">
        <v>13</v>
      </c>
      <c r="F12" s="10">
        <v>7777.5</v>
      </c>
      <c r="G12" s="8">
        <v>11</v>
      </c>
      <c r="H12" s="10">
        <v>7510</v>
      </c>
      <c r="I12" s="6">
        <v>13</v>
      </c>
      <c r="J12" s="10">
        <v>7350.5</v>
      </c>
      <c r="K12" s="11">
        <v>13</v>
      </c>
      <c r="L12" s="10">
        <v>7057.5</v>
      </c>
      <c r="O12" s="76">
        <v>41579</v>
      </c>
      <c r="P12" s="77">
        <v>7066.4047619047615</v>
      </c>
      <c r="Q12" s="79">
        <v>-1.7023445199589204E-2</v>
      </c>
      <c r="R12" s="80">
        <v>16235.77158095238</v>
      </c>
      <c r="S12" s="79">
        <v>3.2781659186676304E-2</v>
      </c>
    </row>
    <row r="13" spans="1:19" x14ac:dyDescent="0.35">
      <c r="A13" s="8">
        <v>14</v>
      </c>
      <c r="B13" s="10">
        <v>8030</v>
      </c>
      <c r="C13" s="8">
        <v>14</v>
      </c>
      <c r="D13" s="10">
        <v>8197</v>
      </c>
      <c r="E13" s="8">
        <v>14</v>
      </c>
      <c r="F13" s="10">
        <v>7762</v>
      </c>
      <c r="G13" s="8">
        <v>12</v>
      </c>
      <c r="H13" s="10">
        <v>7510</v>
      </c>
      <c r="I13" s="6">
        <v>14</v>
      </c>
      <c r="J13" s="10">
        <v>7195</v>
      </c>
      <c r="K13" s="11">
        <v>14</v>
      </c>
      <c r="L13" s="10">
        <v>7045</v>
      </c>
      <c r="O13" s="76">
        <v>41609</v>
      </c>
      <c r="P13" s="77">
        <v>7202.95</v>
      </c>
      <c r="Q13" s="79">
        <v>1.9323155507785073E-2</v>
      </c>
      <c r="R13" s="80">
        <v>16911.086009999999</v>
      </c>
      <c r="S13" s="79">
        <v>4.1594230719523617E-2</v>
      </c>
    </row>
    <row r="14" spans="1:19" x14ac:dyDescent="0.35">
      <c r="A14" s="8">
        <v>15</v>
      </c>
      <c r="B14" s="10">
        <v>7945</v>
      </c>
      <c r="C14" s="8">
        <v>15</v>
      </c>
      <c r="D14" s="10">
        <v>8198.5</v>
      </c>
      <c r="E14" s="8">
        <v>15</v>
      </c>
      <c r="F14" s="10">
        <v>7782</v>
      </c>
      <c r="G14" s="8">
        <v>15</v>
      </c>
      <c r="H14" s="10">
        <v>7120.5</v>
      </c>
      <c r="I14" s="6">
        <v>15</v>
      </c>
      <c r="J14" s="10">
        <v>7095.5</v>
      </c>
      <c r="K14" s="11">
        <v>17</v>
      </c>
      <c r="L14" s="10">
        <v>7020.5</v>
      </c>
    </row>
    <row r="15" spans="1:19" x14ac:dyDescent="0.35">
      <c r="A15" s="8">
        <v>16</v>
      </c>
      <c r="B15" s="10">
        <v>7910.5</v>
      </c>
      <c r="C15" s="8">
        <v>18</v>
      </c>
      <c r="D15" s="10">
        <v>8075.5</v>
      </c>
      <c r="E15" s="8">
        <v>18</v>
      </c>
      <c r="F15" s="10">
        <v>7555.5</v>
      </c>
      <c r="G15" s="8">
        <v>16</v>
      </c>
      <c r="H15" s="10">
        <v>7219</v>
      </c>
      <c r="I15" s="6">
        <v>16</v>
      </c>
      <c r="J15" s="10">
        <v>7095.5</v>
      </c>
      <c r="K15" s="11">
        <v>18</v>
      </c>
      <c r="L15" s="10">
        <v>6970.5</v>
      </c>
    </row>
    <row r="16" spans="1:19" x14ac:dyDescent="0.35">
      <c r="A16" s="8">
        <v>17</v>
      </c>
      <c r="B16" s="10">
        <v>7930</v>
      </c>
      <c r="C16" s="8">
        <v>19</v>
      </c>
      <c r="D16" s="10">
        <v>8070</v>
      </c>
      <c r="E16" s="8">
        <v>19</v>
      </c>
      <c r="F16" s="10">
        <v>7539</v>
      </c>
      <c r="G16" s="8">
        <v>17</v>
      </c>
      <c r="H16" s="10">
        <v>7067</v>
      </c>
      <c r="I16" s="6">
        <v>17</v>
      </c>
      <c r="J16" s="10">
        <v>7329.5</v>
      </c>
      <c r="K16" s="11">
        <v>19</v>
      </c>
      <c r="L16" s="10">
        <v>6972.5</v>
      </c>
    </row>
    <row r="17" spans="1:12" x14ac:dyDescent="0.35">
      <c r="A17" s="8">
        <v>18</v>
      </c>
      <c r="B17" s="10">
        <v>8053</v>
      </c>
      <c r="C17" s="8">
        <v>20</v>
      </c>
      <c r="D17" s="10">
        <v>8009.5</v>
      </c>
      <c r="E17" s="8">
        <v>20</v>
      </c>
      <c r="F17" s="10">
        <v>7574.5</v>
      </c>
      <c r="G17" s="8">
        <v>18</v>
      </c>
      <c r="H17" s="10">
        <v>6962.5</v>
      </c>
      <c r="I17" s="6">
        <v>20</v>
      </c>
      <c r="J17" s="10">
        <v>7276</v>
      </c>
      <c r="K17" s="11">
        <v>20</v>
      </c>
      <c r="L17" s="10">
        <v>6808</v>
      </c>
    </row>
    <row r="18" spans="1:12" x14ac:dyDescent="0.35">
      <c r="A18" s="8">
        <v>21</v>
      </c>
      <c r="B18" s="10">
        <v>8020.5</v>
      </c>
      <c r="C18" s="8">
        <v>21</v>
      </c>
      <c r="D18" s="10">
        <v>7847.5</v>
      </c>
      <c r="E18" s="8">
        <v>21</v>
      </c>
      <c r="F18" s="10">
        <v>7580</v>
      </c>
      <c r="G18" s="8">
        <v>19</v>
      </c>
      <c r="H18" s="10">
        <v>6975</v>
      </c>
      <c r="I18" s="6">
        <v>21</v>
      </c>
      <c r="J18" s="10">
        <v>7384</v>
      </c>
      <c r="K18" s="11">
        <v>21</v>
      </c>
      <c r="L18" s="10">
        <v>6777</v>
      </c>
    </row>
    <row r="19" spans="1:12" x14ac:dyDescent="0.35">
      <c r="A19" s="8">
        <v>22</v>
      </c>
      <c r="B19" s="10">
        <v>8068</v>
      </c>
      <c r="C19" s="8">
        <v>22</v>
      </c>
      <c r="D19" s="10">
        <v>7825</v>
      </c>
      <c r="E19" s="8">
        <v>22</v>
      </c>
      <c r="F19" s="10">
        <v>7618</v>
      </c>
      <c r="G19" s="8">
        <v>22</v>
      </c>
      <c r="H19" s="10">
        <v>6875.5</v>
      </c>
      <c r="I19" s="6">
        <v>22</v>
      </c>
      <c r="J19" s="10">
        <v>7480</v>
      </c>
      <c r="K19" s="11">
        <v>24</v>
      </c>
      <c r="L19" s="10">
        <v>6637.5</v>
      </c>
    </row>
    <row r="20" spans="1:12" x14ac:dyDescent="0.35">
      <c r="A20" s="8">
        <v>23</v>
      </c>
      <c r="B20" s="10">
        <v>8115.2</v>
      </c>
      <c r="C20" s="8">
        <v>25</v>
      </c>
      <c r="D20" s="10">
        <v>7865.5</v>
      </c>
      <c r="E20" s="8">
        <v>25</v>
      </c>
      <c r="F20" s="10">
        <v>7602</v>
      </c>
      <c r="G20" s="8">
        <v>23</v>
      </c>
      <c r="H20" s="10">
        <v>6811</v>
      </c>
      <c r="I20" s="6">
        <v>23</v>
      </c>
      <c r="J20" s="10">
        <v>7285.5</v>
      </c>
      <c r="K20" s="11">
        <v>25</v>
      </c>
      <c r="L20" s="10">
        <v>6726.5</v>
      </c>
    </row>
    <row r="21" spans="1:12" x14ac:dyDescent="0.35">
      <c r="A21" s="8">
        <v>24</v>
      </c>
      <c r="B21" s="10">
        <v>8036</v>
      </c>
      <c r="C21" s="8">
        <v>26</v>
      </c>
      <c r="D21" s="10">
        <v>7785</v>
      </c>
      <c r="E21" s="8">
        <v>26</v>
      </c>
      <c r="F21" s="10">
        <v>7631</v>
      </c>
      <c r="G21" s="8">
        <v>24</v>
      </c>
      <c r="H21" s="10">
        <v>6935.5</v>
      </c>
      <c r="I21" s="6">
        <v>24</v>
      </c>
      <c r="J21" s="10">
        <v>7240</v>
      </c>
      <c r="K21" s="11">
        <v>26</v>
      </c>
      <c r="L21" s="10">
        <v>6685.5</v>
      </c>
    </row>
    <row r="22" spans="1:12" x14ac:dyDescent="0.35">
      <c r="A22" s="8">
        <v>25</v>
      </c>
      <c r="B22" s="10">
        <v>8060</v>
      </c>
      <c r="C22" s="8">
        <v>27</v>
      </c>
      <c r="D22" s="10">
        <v>7831</v>
      </c>
      <c r="E22" s="8">
        <v>27</v>
      </c>
      <c r="F22" s="10">
        <v>7570</v>
      </c>
      <c r="G22" s="8">
        <v>25</v>
      </c>
      <c r="H22" s="10">
        <v>7035</v>
      </c>
      <c r="I22" s="6">
        <v>27</v>
      </c>
      <c r="J22" s="10" t="s">
        <v>9</v>
      </c>
      <c r="K22" s="11">
        <v>27</v>
      </c>
      <c r="L22" s="10">
        <v>6705.5</v>
      </c>
    </row>
    <row r="23" spans="1:12" x14ac:dyDescent="0.35">
      <c r="A23" s="8">
        <v>28</v>
      </c>
      <c r="B23" s="10">
        <v>8015</v>
      </c>
      <c r="C23" s="12">
        <v>28</v>
      </c>
      <c r="D23" s="13">
        <v>7828</v>
      </c>
      <c r="E23" s="12">
        <v>28</v>
      </c>
      <c r="F23" s="13">
        <v>7582.5</v>
      </c>
      <c r="G23" s="8">
        <v>26</v>
      </c>
      <c r="H23" s="10">
        <v>7054.5</v>
      </c>
      <c r="I23" s="14">
        <v>28</v>
      </c>
      <c r="J23" s="10">
        <v>7257</v>
      </c>
      <c r="K23" s="15">
        <v>28</v>
      </c>
      <c r="L23" s="13">
        <v>6750.5</v>
      </c>
    </row>
    <row r="24" spans="1:12" x14ac:dyDescent="0.35">
      <c r="A24" s="8">
        <v>29</v>
      </c>
      <c r="B24" s="10">
        <v>8010.5</v>
      </c>
      <c r="C24" s="369"/>
      <c r="D24" s="370"/>
      <c r="E24" s="369"/>
      <c r="F24" s="370"/>
      <c r="G24" s="8">
        <v>29</v>
      </c>
      <c r="H24" s="10">
        <v>7079</v>
      </c>
      <c r="I24" s="14">
        <v>29</v>
      </c>
      <c r="J24" s="10">
        <v>7201.5</v>
      </c>
      <c r="K24" s="369"/>
      <c r="L24" s="370"/>
    </row>
    <row r="25" spans="1:12" x14ac:dyDescent="0.35">
      <c r="A25" s="8">
        <v>30</v>
      </c>
      <c r="B25" s="10">
        <v>8175.2</v>
      </c>
      <c r="C25" s="369"/>
      <c r="D25" s="370"/>
      <c r="E25" s="369"/>
      <c r="F25" s="370"/>
      <c r="G25" s="12">
        <v>30</v>
      </c>
      <c r="H25" s="13">
        <v>7073.5</v>
      </c>
      <c r="I25" s="14">
        <v>30</v>
      </c>
      <c r="J25" s="10">
        <v>7245.5</v>
      </c>
      <c r="K25" s="369"/>
      <c r="L25" s="370"/>
    </row>
    <row r="26" spans="1:12" x14ac:dyDescent="0.35">
      <c r="A26" s="12">
        <v>31</v>
      </c>
      <c r="B26" s="13">
        <v>8170</v>
      </c>
      <c r="C26" s="369"/>
      <c r="D26" s="370"/>
      <c r="E26" s="369"/>
      <c r="F26" s="370"/>
      <c r="G26" s="369"/>
      <c r="H26" s="370"/>
      <c r="I26" s="16">
        <v>31</v>
      </c>
      <c r="J26" s="13">
        <v>7241</v>
      </c>
      <c r="K26" s="369"/>
      <c r="L26" s="370"/>
    </row>
    <row r="27" spans="1:12" ht="15" thickBot="1" x14ac:dyDescent="0.4">
      <c r="A27" s="373" t="e">
        <f>B28/B69-1</f>
        <v>#DIV/0!</v>
      </c>
      <c r="B27" s="374"/>
      <c r="C27" s="373">
        <f>D28/B28-1</f>
        <v>2.6374578306040952E-3</v>
      </c>
      <c r="D27" s="374"/>
      <c r="E27" s="373">
        <f>F28/D28-1</f>
        <v>-5.0563938305985823E-2</v>
      </c>
      <c r="F27" s="374"/>
      <c r="G27" s="373">
        <f>H28/F28-1</f>
        <v>-5.9908495659696248E-2</v>
      </c>
      <c r="H27" s="374"/>
      <c r="I27" s="375">
        <f>J28/H28-1</f>
        <v>3.5796801094727382E-3</v>
      </c>
      <c r="J27" s="376"/>
      <c r="K27" s="371">
        <f>L28/J28-1</f>
        <v>-3.1136866650857575E-2</v>
      </c>
      <c r="L27" s="372"/>
    </row>
    <row r="28" spans="1:12" ht="15" thickBot="1" x14ac:dyDescent="0.4">
      <c r="A28" s="17" t="s">
        <v>10</v>
      </c>
      <c r="B28" s="18">
        <f>AVERAGE(B4:B26)</f>
        <v>8049.2454545454557</v>
      </c>
      <c r="C28" s="19" t="s">
        <v>10</v>
      </c>
      <c r="D28" s="18">
        <f>AVERAGE(D4:D24)</f>
        <v>8070.4750000000004</v>
      </c>
      <c r="E28" s="19" t="s">
        <v>10</v>
      </c>
      <c r="F28" s="18">
        <f>AVERAGE(F4:F25)</f>
        <v>7662.4</v>
      </c>
      <c r="G28" s="19" t="s">
        <v>10</v>
      </c>
      <c r="H28" s="18">
        <f>AVERAGE(H4:H25)</f>
        <v>7203.3571428571431</v>
      </c>
      <c r="I28" s="20" t="s">
        <v>10</v>
      </c>
      <c r="J28" s="18">
        <f>AVERAGE(J4:J26)</f>
        <v>7229.1428571428569</v>
      </c>
      <c r="K28" s="19" t="s">
        <v>10</v>
      </c>
      <c r="L28" s="18">
        <f>AVERAGE(L4:L24)</f>
        <v>7004.05</v>
      </c>
    </row>
    <row r="29" spans="1:12" ht="15" thickBot="1" x14ac:dyDescent="0.4">
      <c r="A29" s="361"/>
      <c r="B29" s="362"/>
      <c r="C29" s="363">
        <f>D23/B26-1</f>
        <v>-4.1860465116279055E-2</v>
      </c>
      <c r="D29" s="364"/>
      <c r="E29" s="363">
        <f>F23/D23-1</f>
        <v>-3.1361778231987714E-2</v>
      </c>
      <c r="F29" s="365"/>
      <c r="G29" s="363">
        <f>H25/F23-1</f>
        <v>-6.712825585229143E-2</v>
      </c>
      <c r="H29" s="365"/>
      <c r="I29" s="366">
        <f>J26/H25-1</f>
        <v>2.3679932141089877E-2</v>
      </c>
      <c r="J29" s="366"/>
      <c r="K29" s="367">
        <f>L23/J26-1</f>
        <v>-6.7739262532799382E-2</v>
      </c>
      <c r="L29" s="368"/>
    </row>
    <row r="30" spans="1:12" ht="15" thickBot="1" x14ac:dyDescent="0.4">
      <c r="A30" s="21" t="s">
        <v>11</v>
      </c>
      <c r="B30" s="21">
        <f>B28*A31</f>
        <v>16364.920933636367</v>
      </c>
      <c r="C30" s="21" t="s">
        <v>11</v>
      </c>
      <c r="D30" s="21">
        <f>D28*C31</f>
        <v>15912.555557500002</v>
      </c>
      <c r="E30" s="21" t="s">
        <v>11</v>
      </c>
      <c r="F30" s="21">
        <f>F28*E31</f>
        <v>15212.928959999999</v>
      </c>
      <c r="G30" s="21" t="s">
        <v>11</v>
      </c>
      <c r="H30" s="21">
        <f>H28*G31</f>
        <v>14413.917642857143</v>
      </c>
      <c r="I30" s="21" t="s">
        <v>11</v>
      </c>
      <c r="J30" s="21">
        <f>J28*I31</f>
        <v>14704.07657142857</v>
      </c>
      <c r="K30" s="21" t="s">
        <v>11</v>
      </c>
      <c r="L30" s="21">
        <f>L28*K31</f>
        <v>15198.788500000001</v>
      </c>
    </row>
    <row r="31" spans="1:12" ht="15" thickBot="1" x14ac:dyDescent="0.4">
      <c r="A31" s="21">
        <v>2.0331000000000001</v>
      </c>
      <c r="B31" s="22"/>
      <c r="C31" s="21">
        <v>1.9717</v>
      </c>
      <c r="D31" s="22">
        <f>D30/B30-1</f>
        <v>-2.7642380795532939E-2</v>
      </c>
      <c r="E31" s="21">
        <v>1.9854000000000001</v>
      </c>
      <c r="F31" s="22">
        <f>F30/D30-1</f>
        <v>-4.396695395481276E-2</v>
      </c>
      <c r="G31" s="21">
        <v>2.0009999999999999</v>
      </c>
      <c r="H31" s="22">
        <f>H30/F30-1</f>
        <v>-5.2521859481742816E-2</v>
      </c>
      <c r="I31" s="21">
        <v>2.0339999999999998</v>
      </c>
      <c r="J31" s="22">
        <f>J30/H30-1</f>
        <v>2.0130469436615339E-2</v>
      </c>
      <c r="K31" s="21">
        <v>2.17</v>
      </c>
      <c r="L31" s="22">
        <f>L30/J30-1</f>
        <v>3.3644542461966243E-2</v>
      </c>
    </row>
    <row r="32" spans="1:12" ht="15" thickBot="1" x14ac:dyDescent="0.4">
      <c r="A32" s="350" t="s">
        <v>0</v>
      </c>
      <c r="B32" s="351"/>
      <c r="C32" s="351"/>
      <c r="D32" s="351"/>
      <c r="E32" s="351"/>
      <c r="F32" s="351"/>
      <c r="G32" s="351"/>
      <c r="H32" s="351"/>
      <c r="I32" s="351"/>
      <c r="J32" s="351"/>
      <c r="K32" s="351"/>
      <c r="L32" s="352"/>
    </row>
    <row r="33" spans="1:12" x14ac:dyDescent="0.35">
      <c r="A33" s="353" t="s">
        <v>12</v>
      </c>
      <c r="B33" s="354"/>
      <c r="C33" s="353" t="s">
        <v>13</v>
      </c>
      <c r="D33" s="354"/>
      <c r="E33" s="355" t="s">
        <v>14</v>
      </c>
      <c r="F33" s="356"/>
      <c r="G33" s="353" t="s">
        <v>15</v>
      </c>
      <c r="H33" s="354"/>
      <c r="I33" s="355" t="s">
        <v>16</v>
      </c>
      <c r="J33" s="356"/>
      <c r="K33" s="353" t="s">
        <v>17</v>
      </c>
      <c r="L33" s="354"/>
    </row>
    <row r="34" spans="1:12" x14ac:dyDescent="0.35">
      <c r="A34" s="1"/>
      <c r="B34" s="2" t="s">
        <v>7</v>
      </c>
      <c r="C34" s="3"/>
      <c r="D34" s="4" t="s">
        <v>8</v>
      </c>
      <c r="E34" s="23"/>
      <c r="F34" s="24" t="s">
        <v>8</v>
      </c>
      <c r="G34" s="3"/>
      <c r="H34" s="4" t="s">
        <v>8</v>
      </c>
      <c r="I34" s="6"/>
      <c r="J34" s="7" t="s">
        <v>18</v>
      </c>
      <c r="K34" s="3"/>
      <c r="L34" s="4" t="s">
        <v>8</v>
      </c>
    </row>
    <row r="35" spans="1:12" x14ac:dyDescent="0.35">
      <c r="A35" s="8">
        <v>1</v>
      </c>
      <c r="B35" s="10">
        <v>6917</v>
      </c>
      <c r="C35" s="8">
        <v>1</v>
      </c>
      <c r="D35" s="10">
        <v>6999</v>
      </c>
      <c r="E35" s="6">
        <v>2</v>
      </c>
      <c r="F35" s="25">
        <v>7175.5</v>
      </c>
      <c r="G35" s="8">
        <v>1</v>
      </c>
      <c r="H35" s="9">
        <v>7219</v>
      </c>
      <c r="I35" s="6">
        <v>1</v>
      </c>
      <c r="J35" s="25">
        <v>7255.5</v>
      </c>
      <c r="K35" s="8">
        <v>2</v>
      </c>
      <c r="L35" s="9">
        <v>7008.5</v>
      </c>
    </row>
    <row r="36" spans="1:12" x14ac:dyDescent="0.35">
      <c r="A36" s="8">
        <v>2</v>
      </c>
      <c r="B36" s="10">
        <v>6980</v>
      </c>
      <c r="C36" s="8">
        <v>2</v>
      </c>
      <c r="D36" s="10">
        <v>7019</v>
      </c>
      <c r="E36" s="6">
        <v>3</v>
      </c>
      <c r="F36" s="25">
        <v>7183.5</v>
      </c>
      <c r="G36" s="8">
        <v>2</v>
      </c>
      <c r="H36" s="9">
        <v>7156</v>
      </c>
      <c r="I36" s="6">
        <v>4</v>
      </c>
      <c r="J36" s="25">
        <v>7180</v>
      </c>
      <c r="K36" s="8">
        <v>3</v>
      </c>
      <c r="L36" s="9">
        <v>6945</v>
      </c>
    </row>
    <row r="37" spans="1:12" x14ac:dyDescent="0.35">
      <c r="A37" s="8">
        <v>3</v>
      </c>
      <c r="B37" s="10">
        <v>6922</v>
      </c>
      <c r="C37" s="8">
        <v>5</v>
      </c>
      <c r="D37" s="10">
        <v>6950.5</v>
      </c>
      <c r="E37" s="6">
        <v>4</v>
      </c>
      <c r="F37" s="25">
        <v>7125.5</v>
      </c>
      <c r="G37" s="8">
        <v>3</v>
      </c>
      <c r="H37" s="9">
        <v>7216.5</v>
      </c>
      <c r="I37" s="6">
        <v>5</v>
      </c>
      <c r="J37" s="25">
        <v>7138.5</v>
      </c>
      <c r="K37" s="8">
        <v>4</v>
      </c>
      <c r="L37" s="9">
        <v>6975</v>
      </c>
    </row>
    <row r="38" spans="1:12" x14ac:dyDescent="0.35">
      <c r="A38" s="8">
        <v>4</v>
      </c>
      <c r="B38" s="10">
        <v>6920.5</v>
      </c>
      <c r="C38" s="8">
        <v>6</v>
      </c>
      <c r="D38" s="10">
        <v>7026.5</v>
      </c>
      <c r="E38" s="6">
        <v>5</v>
      </c>
      <c r="F38" s="25">
        <v>7103</v>
      </c>
      <c r="G38" s="8">
        <v>4</v>
      </c>
      <c r="H38" s="9">
        <v>7148</v>
      </c>
      <c r="I38" s="6">
        <v>6</v>
      </c>
      <c r="J38" s="25">
        <v>7200</v>
      </c>
      <c r="K38" s="8">
        <v>5</v>
      </c>
      <c r="L38" s="9">
        <v>7081</v>
      </c>
    </row>
    <row r="39" spans="1:12" x14ac:dyDescent="0.35">
      <c r="A39" s="8">
        <v>5</v>
      </c>
      <c r="B39" s="10">
        <v>6821</v>
      </c>
      <c r="C39" s="8">
        <v>7</v>
      </c>
      <c r="D39" s="10">
        <v>6892</v>
      </c>
      <c r="E39" s="6">
        <v>6</v>
      </c>
      <c r="F39" s="25">
        <v>7170.5</v>
      </c>
      <c r="G39" s="8">
        <v>7</v>
      </c>
      <c r="H39" s="9">
        <v>7171</v>
      </c>
      <c r="I39" s="6">
        <v>7</v>
      </c>
      <c r="J39" s="25">
        <v>7119</v>
      </c>
      <c r="K39" s="8">
        <v>6</v>
      </c>
      <c r="L39" s="9">
        <v>7113</v>
      </c>
    </row>
    <row r="40" spans="1:12" x14ac:dyDescent="0.35">
      <c r="A40" s="8">
        <v>8</v>
      </c>
      <c r="B40" s="10">
        <v>6765</v>
      </c>
      <c r="C40" s="8">
        <v>8</v>
      </c>
      <c r="D40" s="10">
        <v>7121.5</v>
      </c>
      <c r="E40" s="6">
        <v>9</v>
      </c>
      <c r="F40" s="25">
        <v>7191.5</v>
      </c>
      <c r="G40" s="8">
        <v>8</v>
      </c>
      <c r="H40" s="9">
        <v>7231.5</v>
      </c>
      <c r="I40" s="6">
        <v>8</v>
      </c>
      <c r="J40" s="25">
        <v>7125.5</v>
      </c>
      <c r="K40" s="8">
        <v>9</v>
      </c>
      <c r="L40" s="9">
        <v>7141</v>
      </c>
    </row>
    <row r="41" spans="1:12" x14ac:dyDescent="0.35">
      <c r="A41" s="8">
        <v>9</v>
      </c>
      <c r="B41" s="10">
        <v>6719</v>
      </c>
      <c r="C41" s="8">
        <v>9</v>
      </c>
      <c r="D41" s="10">
        <v>7186</v>
      </c>
      <c r="E41" s="6">
        <v>10</v>
      </c>
      <c r="F41" s="25">
        <v>7172</v>
      </c>
      <c r="G41" s="8">
        <v>9</v>
      </c>
      <c r="H41" s="9">
        <v>7141</v>
      </c>
      <c r="I41" s="6">
        <v>11</v>
      </c>
      <c r="J41" s="25">
        <v>7135</v>
      </c>
      <c r="K41" s="8">
        <v>10</v>
      </c>
      <c r="L41" s="9">
        <v>7165.5</v>
      </c>
    </row>
    <row r="42" spans="1:12" x14ac:dyDescent="0.35">
      <c r="A42" s="8">
        <v>10</v>
      </c>
      <c r="B42" s="10">
        <v>6780</v>
      </c>
      <c r="C42" s="8">
        <v>12</v>
      </c>
      <c r="D42" s="10">
        <v>7246</v>
      </c>
      <c r="E42" s="6">
        <v>11</v>
      </c>
      <c r="F42" s="25">
        <v>7163</v>
      </c>
      <c r="G42" s="8">
        <v>10</v>
      </c>
      <c r="H42" s="9">
        <v>7112.5</v>
      </c>
      <c r="I42" s="6">
        <v>12</v>
      </c>
      <c r="J42" s="25">
        <v>7124</v>
      </c>
      <c r="K42" s="8">
        <v>11</v>
      </c>
      <c r="L42" s="9">
        <v>7169.5</v>
      </c>
    </row>
    <row r="43" spans="1:12" x14ac:dyDescent="0.35">
      <c r="A43" s="8">
        <v>11</v>
      </c>
      <c r="B43" s="10">
        <v>6995.5</v>
      </c>
      <c r="C43" s="8">
        <v>13</v>
      </c>
      <c r="D43" s="10">
        <v>7281</v>
      </c>
      <c r="E43" s="6">
        <v>12</v>
      </c>
      <c r="F43" s="25">
        <v>7043.5</v>
      </c>
      <c r="G43" s="8">
        <v>11</v>
      </c>
      <c r="H43" s="9">
        <v>7125</v>
      </c>
      <c r="I43" s="6">
        <v>13</v>
      </c>
      <c r="J43" s="25">
        <v>7021.5</v>
      </c>
      <c r="K43" s="8">
        <v>12</v>
      </c>
      <c r="L43" s="9">
        <v>7230</v>
      </c>
    </row>
    <row r="44" spans="1:12" x14ac:dyDescent="0.35">
      <c r="A44" s="8">
        <v>12</v>
      </c>
      <c r="B44" s="10">
        <v>6923</v>
      </c>
      <c r="C44" s="8">
        <v>14</v>
      </c>
      <c r="D44" s="10">
        <v>7272.5</v>
      </c>
      <c r="E44" s="6">
        <v>13</v>
      </c>
      <c r="F44" s="25">
        <v>7028.5</v>
      </c>
      <c r="G44" s="8">
        <v>14</v>
      </c>
      <c r="H44" s="9">
        <v>7205.5</v>
      </c>
      <c r="I44" s="6">
        <v>14</v>
      </c>
      <c r="J44" s="25">
        <v>6939</v>
      </c>
      <c r="K44" s="8">
        <v>13</v>
      </c>
      <c r="L44" s="9">
        <v>7218.5</v>
      </c>
    </row>
    <row r="45" spans="1:12" x14ac:dyDescent="0.35">
      <c r="A45" s="8">
        <v>15</v>
      </c>
      <c r="B45" s="10">
        <v>6891.5</v>
      </c>
      <c r="C45" s="8">
        <v>15</v>
      </c>
      <c r="D45" s="10">
        <v>7228</v>
      </c>
      <c r="E45" s="6">
        <v>16</v>
      </c>
      <c r="F45" s="25">
        <v>7050</v>
      </c>
      <c r="G45" s="8">
        <v>15</v>
      </c>
      <c r="H45" s="9">
        <v>7186</v>
      </c>
      <c r="I45" s="6">
        <v>15</v>
      </c>
      <c r="J45" s="25">
        <v>6967.5</v>
      </c>
      <c r="K45" s="8">
        <v>16</v>
      </c>
      <c r="L45" s="9">
        <v>7325.5</v>
      </c>
    </row>
    <row r="46" spans="1:12" x14ac:dyDescent="0.35">
      <c r="A46" s="8">
        <v>16</v>
      </c>
      <c r="B46" s="10">
        <v>6936.5</v>
      </c>
      <c r="C46" s="8">
        <v>16</v>
      </c>
      <c r="D46" s="10">
        <v>7335.5</v>
      </c>
      <c r="E46" s="6">
        <v>17</v>
      </c>
      <c r="F46" s="25">
        <v>7056.5</v>
      </c>
      <c r="G46" s="8">
        <v>16</v>
      </c>
      <c r="H46" s="9">
        <v>7158.5</v>
      </c>
      <c r="I46" s="6">
        <v>18</v>
      </c>
      <c r="J46" s="25">
        <v>6999.5</v>
      </c>
      <c r="K46" s="8">
        <v>17</v>
      </c>
      <c r="L46" s="9">
        <v>7286</v>
      </c>
    </row>
    <row r="47" spans="1:12" x14ac:dyDescent="0.35">
      <c r="A47" s="8">
        <v>17</v>
      </c>
      <c r="B47" s="10">
        <v>6924</v>
      </c>
      <c r="C47" s="8">
        <v>19</v>
      </c>
      <c r="D47" s="10">
        <v>7285.5</v>
      </c>
      <c r="E47" s="6">
        <v>18</v>
      </c>
      <c r="F47" s="25">
        <v>7090.5</v>
      </c>
      <c r="G47" s="8">
        <v>17</v>
      </c>
      <c r="H47" s="9">
        <v>7172</v>
      </c>
      <c r="I47" s="6">
        <v>19</v>
      </c>
      <c r="J47" s="25">
        <v>6947</v>
      </c>
      <c r="K47" s="8">
        <v>18</v>
      </c>
      <c r="L47" s="9">
        <v>7230</v>
      </c>
    </row>
    <row r="48" spans="1:12" x14ac:dyDescent="0.35">
      <c r="A48" s="8">
        <v>18</v>
      </c>
      <c r="B48" s="10">
        <v>6855.5</v>
      </c>
      <c r="C48" s="8">
        <v>20</v>
      </c>
      <c r="D48" s="10">
        <v>7265.5</v>
      </c>
      <c r="E48" s="6">
        <v>19</v>
      </c>
      <c r="F48" s="25">
        <v>7301.5</v>
      </c>
      <c r="G48" s="8">
        <v>18</v>
      </c>
      <c r="H48" s="9">
        <v>7241.5</v>
      </c>
      <c r="I48" s="6">
        <v>20</v>
      </c>
      <c r="J48" s="25">
        <v>6980</v>
      </c>
      <c r="K48" s="8">
        <v>19</v>
      </c>
      <c r="L48" s="9">
        <v>7218.5</v>
      </c>
    </row>
    <row r="49" spans="1:12" x14ac:dyDescent="0.35">
      <c r="A49" s="8">
        <v>19</v>
      </c>
      <c r="B49" s="10">
        <v>6920</v>
      </c>
      <c r="C49" s="8">
        <v>21</v>
      </c>
      <c r="D49" s="10">
        <v>7236</v>
      </c>
      <c r="E49" s="6">
        <v>20</v>
      </c>
      <c r="F49" s="25">
        <v>7295</v>
      </c>
      <c r="G49" s="8">
        <v>21</v>
      </c>
      <c r="H49" s="9">
        <v>7225.5</v>
      </c>
      <c r="I49" s="6">
        <v>21</v>
      </c>
      <c r="J49" s="25">
        <v>6992</v>
      </c>
      <c r="K49" s="8">
        <v>20</v>
      </c>
      <c r="L49" s="9">
        <v>7264.5</v>
      </c>
    </row>
    <row r="50" spans="1:12" x14ac:dyDescent="0.35">
      <c r="A50" s="8">
        <v>22</v>
      </c>
      <c r="B50" s="10">
        <v>6980</v>
      </c>
      <c r="C50" s="8">
        <v>22</v>
      </c>
      <c r="D50" s="10">
        <v>7340.5</v>
      </c>
      <c r="E50" s="6">
        <v>23</v>
      </c>
      <c r="F50" s="25">
        <v>7181</v>
      </c>
      <c r="G50" s="8">
        <v>22</v>
      </c>
      <c r="H50" s="9">
        <v>7260</v>
      </c>
      <c r="I50" s="6">
        <v>22</v>
      </c>
      <c r="J50" s="25">
        <v>7065.5</v>
      </c>
      <c r="K50" s="8">
        <v>23</v>
      </c>
      <c r="L50" s="9">
        <v>7251</v>
      </c>
    </row>
    <row r="51" spans="1:12" x14ac:dyDescent="0.35">
      <c r="A51" s="8">
        <v>23</v>
      </c>
      <c r="B51" s="10">
        <v>6961</v>
      </c>
      <c r="C51" s="8">
        <v>23</v>
      </c>
      <c r="D51" s="10">
        <v>7300.5</v>
      </c>
      <c r="E51" s="6">
        <v>24</v>
      </c>
      <c r="F51" s="25">
        <v>7140.5</v>
      </c>
      <c r="G51" s="8">
        <v>23</v>
      </c>
      <c r="H51" s="9">
        <v>7200.5</v>
      </c>
      <c r="I51" s="6">
        <v>25</v>
      </c>
      <c r="J51" s="25">
        <v>7067.5</v>
      </c>
      <c r="K51" s="8">
        <v>24</v>
      </c>
      <c r="L51" s="9">
        <v>7280</v>
      </c>
    </row>
    <row r="52" spans="1:12" x14ac:dyDescent="0.35">
      <c r="A52" s="8">
        <v>24</v>
      </c>
      <c r="B52" s="10">
        <v>7076.5</v>
      </c>
      <c r="C52" s="8">
        <v>26</v>
      </c>
      <c r="D52" s="10" t="s">
        <v>9</v>
      </c>
      <c r="E52" s="6">
        <v>25</v>
      </c>
      <c r="F52" s="25">
        <v>7155</v>
      </c>
      <c r="G52" s="8">
        <v>24</v>
      </c>
      <c r="H52" s="9">
        <v>7160</v>
      </c>
      <c r="I52" s="6">
        <v>26</v>
      </c>
      <c r="J52" s="25">
        <v>7071</v>
      </c>
      <c r="K52" s="8">
        <v>27</v>
      </c>
      <c r="L52" s="9">
        <v>7375</v>
      </c>
    </row>
    <row r="53" spans="1:12" x14ac:dyDescent="0.35">
      <c r="A53" s="8">
        <v>25</v>
      </c>
      <c r="B53" s="10">
        <v>6927.5</v>
      </c>
      <c r="C53" s="8">
        <v>27</v>
      </c>
      <c r="D53" s="10">
        <v>7300.5</v>
      </c>
      <c r="E53" s="6">
        <v>26</v>
      </c>
      <c r="F53" s="25">
        <v>7220.5</v>
      </c>
      <c r="G53" s="8">
        <v>25</v>
      </c>
      <c r="H53" s="9">
        <v>7126</v>
      </c>
      <c r="I53" s="6">
        <v>27</v>
      </c>
      <c r="J53" s="25">
        <v>7051.5</v>
      </c>
      <c r="K53" s="8">
        <v>30</v>
      </c>
      <c r="L53" s="9">
        <v>7387</v>
      </c>
    </row>
    <row r="54" spans="1:12" x14ac:dyDescent="0.35">
      <c r="A54" s="8">
        <v>26</v>
      </c>
      <c r="B54" s="10">
        <v>6905.5</v>
      </c>
      <c r="C54" s="8">
        <v>28</v>
      </c>
      <c r="D54" s="10">
        <v>7236</v>
      </c>
      <c r="E54" s="6">
        <v>27</v>
      </c>
      <c r="F54" s="25">
        <v>7252.5</v>
      </c>
      <c r="G54" s="8">
        <v>28</v>
      </c>
      <c r="H54" s="9">
        <v>7161</v>
      </c>
      <c r="I54" s="6">
        <v>28</v>
      </c>
      <c r="J54" s="25">
        <v>6988</v>
      </c>
      <c r="K54" s="26">
        <v>31</v>
      </c>
      <c r="L54" s="27">
        <v>7394.5</v>
      </c>
    </row>
    <row r="55" spans="1:12" x14ac:dyDescent="0.35">
      <c r="A55" s="8">
        <v>29</v>
      </c>
      <c r="B55" s="10">
        <v>6860.5</v>
      </c>
      <c r="C55" s="8">
        <v>29</v>
      </c>
      <c r="D55" s="10">
        <v>7210.5</v>
      </c>
      <c r="E55" s="12">
        <v>30</v>
      </c>
      <c r="F55" s="13">
        <v>7290.5</v>
      </c>
      <c r="G55" s="8">
        <v>29</v>
      </c>
      <c r="H55" s="9">
        <v>7215.5</v>
      </c>
      <c r="I55" s="26">
        <v>29</v>
      </c>
      <c r="J55" s="27">
        <v>7027</v>
      </c>
      <c r="K55" s="28"/>
      <c r="L55" s="29"/>
    </row>
    <row r="56" spans="1:12" x14ac:dyDescent="0.35">
      <c r="A56" s="8">
        <v>30</v>
      </c>
      <c r="B56" s="10">
        <v>6752</v>
      </c>
      <c r="C56" s="12">
        <v>30</v>
      </c>
      <c r="D56" s="13">
        <v>7095</v>
      </c>
      <c r="E56" s="28"/>
      <c r="F56" s="29"/>
      <c r="G56" s="8">
        <v>30</v>
      </c>
      <c r="H56" s="9">
        <v>7275.5</v>
      </c>
      <c r="I56" s="30"/>
      <c r="J56" s="31"/>
      <c r="K56" s="30"/>
      <c r="L56" s="31"/>
    </row>
    <row r="57" spans="1:12" ht="15" thickBot="1" x14ac:dyDescent="0.4">
      <c r="A57" s="12">
        <v>31</v>
      </c>
      <c r="B57" s="13">
        <v>6805</v>
      </c>
      <c r="C57" s="28"/>
      <c r="D57" s="29"/>
      <c r="E57" s="30"/>
      <c r="F57" s="31"/>
      <c r="G57" s="26">
        <v>31</v>
      </c>
      <c r="H57" s="27">
        <v>7234</v>
      </c>
      <c r="I57" s="30"/>
      <c r="J57" s="31"/>
      <c r="K57" s="28"/>
      <c r="L57" s="29"/>
    </row>
    <row r="58" spans="1:12" ht="15" thickBot="1" x14ac:dyDescent="0.4">
      <c r="A58" s="32" t="s">
        <v>19</v>
      </c>
      <c r="B58" s="33">
        <f>B59/L28-1</f>
        <v>-1.528725912475315E-2</v>
      </c>
      <c r="C58" s="32" t="s">
        <v>19</v>
      </c>
      <c r="D58" s="33">
        <f>D59/B59-1</f>
        <v>4.1363719315522962E-2</v>
      </c>
      <c r="E58" s="32" t="s">
        <v>19</v>
      </c>
      <c r="F58" s="34">
        <f>F59/D59-1</f>
        <v>-2.9006646665892255E-3</v>
      </c>
      <c r="G58" s="17" t="s">
        <v>19</v>
      </c>
      <c r="H58" s="35">
        <f>H59/F59-1</f>
        <v>3.8196341685530211E-3</v>
      </c>
      <c r="I58" s="17" t="s">
        <v>19</v>
      </c>
      <c r="J58" s="35">
        <f>J59/H59-1</f>
        <v>-1.7023445199589204E-2</v>
      </c>
      <c r="K58" s="32" t="s">
        <v>19</v>
      </c>
      <c r="L58" s="35">
        <f>L59/J59-1</f>
        <v>1.9323155507785073E-2</v>
      </c>
    </row>
    <row r="59" spans="1:12" ht="15" thickBot="1" x14ac:dyDescent="0.4">
      <c r="A59" s="19" t="s">
        <v>10</v>
      </c>
      <c r="B59" s="18">
        <f>AVERAGE(B35:B56)</f>
        <v>6896.977272727273</v>
      </c>
      <c r="C59" s="19" t="s">
        <v>10</v>
      </c>
      <c r="D59" s="18">
        <f>AVERAGE(D35:D57)</f>
        <v>7182.2619047619046</v>
      </c>
      <c r="E59" s="20" t="s">
        <v>10</v>
      </c>
      <c r="F59" s="18">
        <f>AVERAGE(F35:F56)</f>
        <v>7161.4285714285716</v>
      </c>
      <c r="G59" s="19" t="s">
        <v>10</v>
      </c>
      <c r="H59" s="18">
        <f>AVERAGE(H35:H57)</f>
        <v>7188.782608695652</v>
      </c>
      <c r="I59" s="20" t="s">
        <v>10</v>
      </c>
      <c r="J59" s="18">
        <f>AVERAGE(J35:J56)</f>
        <v>7066.4047619047615</v>
      </c>
      <c r="K59" s="19" t="s">
        <v>10</v>
      </c>
      <c r="L59" s="18">
        <f>AVERAGE(L35:L54)</f>
        <v>7202.95</v>
      </c>
    </row>
    <row r="60" spans="1:12" ht="15" thickBot="1" x14ac:dyDescent="0.4">
      <c r="A60" s="357">
        <f>B57/L23-1</f>
        <v>8.073476038811922E-3</v>
      </c>
      <c r="B60" s="358"/>
      <c r="C60" s="359">
        <f>D56/B57-1</f>
        <v>4.2615723732549515E-2</v>
      </c>
      <c r="D60" s="360"/>
      <c r="E60" s="359">
        <f>F55/D56-1</f>
        <v>2.7554615926709047E-2</v>
      </c>
      <c r="F60" s="360"/>
      <c r="G60" s="359">
        <f>H57/F55-1</f>
        <v>-7.7498113983951455E-3</v>
      </c>
      <c r="H60" s="360"/>
      <c r="I60" s="359">
        <f>J55/H57-1</f>
        <v>-2.8614874205142415E-2</v>
      </c>
      <c r="J60" s="349"/>
      <c r="K60" s="348">
        <f>L54/J55-1</f>
        <v>5.2298278070300297E-2</v>
      </c>
      <c r="L60" s="349"/>
    </row>
    <row r="61" spans="1:12" ht="15" thickBot="1" x14ac:dyDescent="0.4">
      <c r="A61" s="21" t="s">
        <v>11</v>
      </c>
      <c r="B61" s="21">
        <f>B59*A62</f>
        <v>15536.682762727272</v>
      </c>
      <c r="C61" s="21" t="s">
        <v>11</v>
      </c>
      <c r="D61" s="21">
        <f>C62*D59</f>
        <v>16802.901726190477</v>
      </c>
      <c r="E61" s="21" t="s">
        <v>11</v>
      </c>
      <c r="F61" s="21">
        <f>E62*F59</f>
        <v>16264.320428571429</v>
      </c>
      <c r="G61" s="21" t="s">
        <v>11</v>
      </c>
      <c r="H61" s="21">
        <f>H59*G62</f>
        <v>15720.429808695651</v>
      </c>
      <c r="I61" s="21" t="s">
        <v>11</v>
      </c>
      <c r="J61" s="21">
        <f>J59*I62</f>
        <v>16235.77158095238</v>
      </c>
      <c r="K61" s="21" t="s">
        <v>11</v>
      </c>
      <c r="L61" s="21">
        <f>L59*K62</f>
        <v>16911.086009999999</v>
      </c>
    </row>
    <row r="62" spans="1:12" ht="15" thickBot="1" x14ac:dyDescent="0.4">
      <c r="A62" s="21">
        <v>2.2526799999999998</v>
      </c>
      <c r="B62" s="22">
        <f>B61/L30-1</f>
        <v>2.223165765661328E-2</v>
      </c>
      <c r="C62" s="21">
        <v>2.3395000000000001</v>
      </c>
      <c r="D62" s="22">
        <f>D61/B61-1</f>
        <v>8.1498668847180378E-2</v>
      </c>
      <c r="E62" s="21">
        <v>2.2711000000000001</v>
      </c>
      <c r="F62" s="22">
        <f>F61/D61-1</f>
        <v>-3.2052874342505255E-2</v>
      </c>
      <c r="G62" s="21">
        <v>2.1867999999999999</v>
      </c>
      <c r="H62" s="22">
        <f>H61/F61-1</f>
        <v>-3.3440722117127564E-2</v>
      </c>
      <c r="I62" s="21">
        <v>2.2976000000000001</v>
      </c>
      <c r="J62" s="22">
        <f>J61/H61-1</f>
        <v>3.2781659186676304E-2</v>
      </c>
      <c r="K62" s="21">
        <v>2.3477999999999999</v>
      </c>
      <c r="L62" s="22">
        <f>L61/J61-1</f>
        <v>4.1594230719523617E-2</v>
      </c>
    </row>
  </sheetData>
  <mergeCells count="42">
    <mergeCell ref="A1:L1"/>
    <mergeCell ref="A2:B2"/>
    <mergeCell ref="C2:D2"/>
    <mergeCell ref="E2:F2"/>
    <mergeCell ref="G2:H2"/>
    <mergeCell ref="I2:J2"/>
    <mergeCell ref="K2:L2"/>
    <mergeCell ref="C24:D24"/>
    <mergeCell ref="E24:F24"/>
    <mergeCell ref="K24:L24"/>
    <mergeCell ref="C25:D25"/>
    <mergeCell ref="E25:F25"/>
    <mergeCell ref="K25:L25"/>
    <mergeCell ref="A27:B27"/>
    <mergeCell ref="C27:D27"/>
    <mergeCell ref="E27:F27"/>
    <mergeCell ref="G27:H27"/>
    <mergeCell ref="I27:J27"/>
    <mergeCell ref="K29:L29"/>
    <mergeCell ref="C26:D26"/>
    <mergeCell ref="E26:F26"/>
    <mergeCell ref="G26:H26"/>
    <mergeCell ref="K26:L26"/>
    <mergeCell ref="K27:L27"/>
    <mergeCell ref="A29:B29"/>
    <mergeCell ref="C29:D29"/>
    <mergeCell ref="E29:F29"/>
    <mergeCell ref="G29:H29"/>
    <mergeCell ref="I29:J29"/>
    <mergeCell ref="K60:L60"/>
    <mergeCell ref="A32:L32"/>
    <mergeCell ref="A33:B33"/>
    <mergeCell ref="C33:D33"/>
    <mergeCell ref="E33:F33"/>
    <mergeCell ref="G33:H33"/>
    <mergeCell ref="I33:J33"/>
    <mergeCell ref="K33:L33"/>
    <mergeCell ref="A60:B60"/>
    <mergeCell ref="C60:D60"/>
    <mergeCell ref="E60:F60"/>
    <mergeCell ref="G60:H60"/>
    <mergeCell ref="I60:J60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0"/>
  <sheetViews>
    <sheetView topLeftCell="A31" workbookViewId="0">
      <selection activeCell="E85" sqref="E85"/>
    </sheetView>
  </sheetViews>
  <sheetFormatPr defaultRowHeight="14.5" x14ac:dyDescent="0.35"/>
  <cols>
    <col min="1" max="1" width="8.453125" customWidth="1"/>
    <col min="2" max="2" width="12.1796875" customWidth="1"/>
    <col min="3" max="3" width="7" bestFit="1" customWidth="1"/>
    <col min="4" max="4" width="11.453125" bestFit="1" customWidth="1"/>
    <col min="5" max="5" width="7" bestFit="1" customWidth="1"/>
    <col min="6" max="6" width="11.453125" bestFit="1" customWidth="1"/>
    <col min="7" max="7" width="7" customWidth="1"/>
    <col min="8" max="8" width="11.453125" bestFit="1" customWidth="1"/>
    <col min="9" max="9" width="7" bestFit="1" customWidth="1"/>
    <col min="10" max="10" width="11.81640625" customWidth="1"/>
    <col min="11" max="11" width="7" bestFit="1" customWidth="1"/>
    <col min="12" max="12" width="12.26953125" customWidth="1"/>
    <col min="18" max="18" width="11.7265625" bestFit="1" customWidth="1"/>
  </cols>
  <sheetData>
    <row r="1" spans="1:19" ht="15" thickBot="1" x14ac:dyDescent="0.4">
      <c r="A1" s="381" t="s">
        <v>20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82" t="s">
        <v>38</v>
      </c>
    </row>
    <row r="2" spans="1:19" x14ac:dyDescent="0.35">
      <c r="A2" s="396" t="s">
        <v>21</v>
      </c>
      <c r="B2" s="397"/>
      <c r="C2" s="405" t="s">
        <v>22</v>
      </c>
      <c r="D2" s="406"/>
      <c r="E2" s="396" t="s">
        <v>23</v>
      </c>
      <c r="F2" s="397"/>
      <c r="G2" s="396" t="s">
        <v>24</v>
      </c>
      <c r="H2" s="397"/>
      <c r="I2" s="398" t="s">
        <v>25</v>
      </c>
      <c r="J2" s="398"/>
      <c r="K2" s="396" t="s">
        <v>26</v>
      </c>
      <c r="L2" s="397"/>
      <c r="P2" s="78" t="s">
        <v>35</v>
      </c>
      <c r="Q2" s="78" t="s">
        <v>36</v>
      </c>
      <c r="R2" s="78" t="s">
        <v>37</v>
      </c>
      <c r="S2" s="78" t="s">
        <v>36</v>
      </c>
    </row>
    <row r="3" spans="1:19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40" t="s">
        <v>8</v>
      </c>
      <c r="O3" s="81">
        <v>41275</v>
      </c>
      <c r="P3" s="77">
        <v>8049.2454545454557</v>
      </c>
      <c r="Q3" s="79">
        <f>P3/7962.58-1</f>
        <v>1.0884092159256786E-2</v>
      </c>
      <c r="R3" s="80">
        <v>16364.920933636367</v>
      </c>
      <c r="S3" s="79">
        <f>R3/16546.24-1</f>
        <v>-1.0958324450971002E-2</v>
      </c>
    </row>
    <row r="4" spans="1:19" x14ac:dyDescent="0.35">
      <c r="A4" s="41">
        <v>1</v>
      </c>
      <c r="B4" s="47" t="s">
        <v>9</v>
      </c>
      <c r="C4" s="41">
        <v>3</v>
      </c>
      <c r="D4" s="63">
        <v>7095.5</v>
      </c>
      <c r="E4" s="41">
        <v>3</v>
      </c>
      <c r="F4" s="63">
        <v>7032.5</v>
      </c>
      <c r="G4" s="41">
        <v>1</v>
      </c>
      <c r="H4" s="63">
        <v>6632</v>
      </c>
      <c r="I4" s="49">
        <v>1</v>
      </c>
      <c r="J4" s="63">
        <v>6670.5</v>
      </c>
      <c r="K4" s="43">
        <v>2</v>
      </c>
      <c r="L4" s="63">
        <v>7003</v>
      </c>
      <c r="O4" s="81">
        <v>41306</v>
      </c>
      <c r="P4" s="77">
        <v>8070.4750000000004</v>
      </c>
      <c r="Q4" s="79">
        <f>P4/P3-1</f>
        <v>2.6374578306040952E-3</v>
      </c>
      <c r="R4" s="80">
        <v>15912.555557500002</v>
      </c>
      <c r="S4" s="79">
        <f>R4/R3-1</f>
        <v>-2.7642380795532939E-2</v>
      </c>
    </row>
    <row r="5" spans="1:19" x14ac:dyDescent="0.35">
      <c r="A5" s="41">
        <v>2</v>
      </c>
      <c r="B5" s="63">
        <v>7439.5</v>
      </c>
      <c r="C5" s="41">
        <v>4</v>
      </c>
      <c r="D5" s="63">
        <v>7107</v>
      </c>
      <c r="E5" s="41">
        <v>4</v>
      </c>
      <c r="F5" s="63">
        <v>7035</v>
      </c>
      <c r="G5" s="41">
        <v>2</v>
      </c>
      <c r="H5" s="63">
        <v>6713</v>
      </c>
      <c r="I5" s="49">
        <v>2</v>
      </c>
      <c r="J5" s="63">
        <v>6699</v>
      </c>
      <c r="K5" s="43">
        <v>3</v>
      </c>
      <c r="L5" s="63">
        <v>6930</v>
      </c>
      <c r="O5" s="81">
        <v>41334</v>
      </c>
      <c r="P5" s="77">
        <v>7662.4</v>
      </c>
      <c r="Q5" s="79">
        <f t="shared" ref="Q5:Q16" si="0">P5/P4-1</f>
        <v>-5.0563938305985823E-2</v>
      </c>
      <c r="R5" s="80">
        <v>15212.928959999999</v>
      </c>
      <c r="S5" s="79">
        <f t="shared" ref="S5:S16" si="1">R5/R4-1</f>
        <v>-4.396695395481276E-2</v>
      </c>
    </row>
    <row r="6" spans="1:19" x14ac:dyDescent="0.35">
      <c r="A6" s="41">
        <v>3</v>
      </c>
      <c r="B6" s="63">
        <v>7335.5</v>
      </c>
      <c r="C6" s="41">
        <v>5</v>
      </c>
      <c r="D6" s="63">
        <v>7096</v>
      </c>
      <c r="E6" s="41">
        <v>5</v>
      </c>
      <c r="F6" s="63">
        <v>7102.5</v>
      </c>
      <c r="G6" s="41">
        <v>3</v>
      </c>
      <c r="H6" s="63">
        <v>6606</v>
      </c>
      <c r="I6" s="49">
        <v>6</v>
      </c>
      <c r="J6" s="63">
        <v>6740</v>
      </c>
      <c r="K6" s="43">
        <v>4</v>
      </c>
      <c r="L6" s="63">
        <v>6835</v>
      </c>
      <c r="O6" s="81">
        <v>41365</v>
      </c>
      <c r="P6" s="77">
        <v>7203.3571428571431</v>
      </c>
      <c r="Q6" s="79">
        <f t="shared" si="0"/>
        <v>-5.9908495659696248E-2</v>
      </c>
      <c r="R6" s="80">
        <v>14413.917642857143</v>
      </c>
      <c r="S6" s="79">
        <f t="shared" si="1"/>
        <v>-5.2521859481742816E-2</v>
      </c>
    </row>
    <row r="7" spans="1:19" x14ac:dyDescent="0.35">
      <c r="A7" s="41">
        <v>6</v>
      </c>
      <c r="B7" s="63">
        <v>7313.5</v>
      </c>
      <c r="C7" s="41">
        <v>6</v>
      </c>
      <c r="D7" s="63">
        <v>7109</v>
      </c>
      <c r="E7" s="41">
        <v>6</v>
      </c>
      <c r="F7" s="63">
        <v>7054.5</v>
      </c>
      <c r="G7" s="41">
        <v>4</v>
      </c>
      <c r="H7" s="63">
        <v>6677</v>
      </c>
      <c r="I7" s="49">
        <v>7</v>
      </c>
      <c r="J7" s="63">
        <v>6688</v>
      </c>
      <c r="K7" s="43">
        <v>5</v>
      </c>
      <c r="L7" s="63">
        <v>6800</v>
      </c>
      <c r="O7" s="81">
        <v>41395</v>
      </c>
      <c r="P7" s="77">
        <v>7229.1428571428569</v>
      </c>
      <c r="Q7" s="79">
        <f t="shared" si="0"/>
        <v>3.5796801094727382E-3</v>
      </c>
      <c r="R7" s="80">
        <v>14704.07657142857</v>
      </c>
      <c r="S7" s="79">
        <f t="shared" si="1"/>
        <v>2.0130469436615339E-2</v>
      </c>
    </row>
    <row r="8" spans="1:19" x14ac:dyDescent="0.35">
      <c r="A8" s="41">
        <v>7</v>
      </c>
      <c r="B8" s="63">
        <v>7354</v>
      </c>
      <c r="C8" s="41">
        <v>7</v>
      </c>
      <c r="D8" s="63">
        <v>7200</v>
      </c>
      <c r="E8" s="41">
        <v>7</v>
      </c>
      <c r="F8" s="63">
        <v>6930.5</v>
      </c>
      <c r="G8" s="41">
        <v>7</v>
      </c>
      <c r="H8" s="63">
        <v>6610.5</v>
      </c>
      <c r="I8" s="49">
        <v>8</v>
      </c>
      <c r="J8" s="63">
        <v>6690.5</v>
      </c>
      <c r="K8" s="43">
        <v>6</v>
      </c>
      <c r="L8" s="63">
        <v>6660.5</v>
      </c>
      <c r="O8" s="81">
        <v>41426</v>
      </c>
      <c r="P8" s="77">
        <v>7004.05</v>
      </c>
      <c r="Q8" s="79">
        <f t="shared" si="0"/>
        <v>-3.1136866650857575E-2</v>
      </c>
      <c r="R8" s="80">
        <v>15198.788500000001</v>
      </c>
      <c r="S8" s="79">
        <f t="shared" si="1"/>
        <v>3.3644542461966243E-2</v>
      </c>
    </row>
    <row r="9" spans="1:19" x14ac:dyDescent="0.35">
      <c r="A9" s="41">
        <v>8</v>
      </c>
      <c r="B9" s="63">
        <v>7368</v>
      </c>
      <c r="C9" s="41">
        <v>10</v>
      </c>
      <c r="D9" s="63">
        <v>7190.5</v>
      </c>
      <c r="E9" s="41">
        <v>10</v>
      </c>
      <c r="F9" s="63">
        <v>6716</v>
      </c>
      <c r="G9" s="41">
        <v>8</v>
      </c>
      <c r="H9" s="63">
        <v>6652</v>
      </c>
      <c r="I9" s="49">
        <v>9</v>
      </c>
      <c r="J9" s="63">
        <v>6770</v>
      </c>
      <c r="K9" s="43">
        <v>9</v>
      </c>
      <c r="L9" s="63">
        <v>6667.5</v>
      </c>
      <c r="O9" s="81">
        <v>41456</v>
      </c>
      <c r="P9" s="77">
        <v>6896.977272727273</v>
      </c>
      <c r="Q9" s="79">
        <f t="shared" si="0"/>
        <v>-1.528725912475315E-2</v>
      </c>
      <c r="R9" s="80">
        <v>15536.682762727272</v>
      </c>
      <c r="S9" s="79">
        <f t="shared" si="1"/>
        <v>2.223165765661328E-2</v>
      </c>
    </row>
    <row r="10" spans="1:19" x14ac:dyDescent="0.35">
      <c r="A10" s="41">
        <v>9</v>
      </c>
      <c r="B10" s="63">
        <v>7282</v>
      </c>
      <c r="C10" s="41">
        <v>11</v>
      </c>
      <c r="D10" s="63">
        <v>7120</v>
      </c>
      <c r="E10" s="41">
        <v>11</v>
      </c>
      <c r="F10" s="63">
        <v>6720.5</v>
      </c>
      <c r="G10" s="41">
        <v>9</v>
      </c>
      <c r="H10" s="63">
        <v>6630.5</v>
      </c>
      <c r="I10" s="49">
        <v>12</v>
      </c>
      <c r="J10" s="63">
        <v>6930</v>
      </c>
      <c r="K10" s="43">
        <v>10</v>
      </c>
      <c r="L10" s="63">
        <v>6695.5</v>
      </c>
      <c r="O10" s="81">
        <v>41487</v>
      </c>
      <c r="P10" s="77">
        <v>7182.2619047619046</v>
      </c>
      <c r="Q10" s="79">
        <f t="shared" si="0"/>
        <v>4.1363719315522962E-2</v>
      </c>
      <c r="R10" s="80">
        <v>16802.901726190477</v>
      </c>
      <c r="S10" s="79">
        <f t="shared" si="1"/>
        <v>8.1498668847180378E-2</v>
      </c>
    </row>
    <row r="11" spans="1:19" x14ac:dyDescent="0.35">
      <c r="A11" s="41">
        <v>10</v>
      </c>
      <c r="B11" s="63">
        <v>7283.5</v>
      </c>
      <c r="C11" s="41">
        <v>12</v>
      </c>
      <c r="D11" s="63">
        <v>7174.5</v>
      </c>
      <c r="E11" s="41">
        <v>12</v>
      </c>
      <c r="F11" s="63">
        <v>6498</v>
      </c>
      <c r="G11" s="41">
        <v>10</v>
      </c>
      <c r="H11" s="63">
        <v>6637.5</v>
      </c>
      <c r="I11" s="49">
        <v>13</v>
      </c>
      <c r="J11" s="63">
        <v>6884.5</v>
      </c>
      <c r="K11" s="43">
        <v>11</v>
      </c>
      <c r="L11" s="63">
        <v>6689.5</v>
      </c>
      <c r="O11" s="81">
        <v>41518</v>
      </c>
      <c r="P11" s="77">
        <v>7161.4285714285716</v>
      </c>
      <c r="Q11" s="79">
        <f t="shared" si="0"/>
        <v>-2.9006646665892255E-3</v>
      </c>
      <c r="R11" s="80">
        <v>16264.320428571429</v>
      </c>
      <c r="S11" s="79">
        <f t="shared" si="1"/>
        <v>-3.2052874342505255E-2</v>
      </c>
    </row>
    <row r="12" spans="1:19" x14ac:dyDescent="0.35">
      <c r="A12" s="41">
        <v>13</v>
      </c>
      <c r="B12" s="63">
        <v>7305.5</v>
      </c>
      <c r="C12" s="41">
        <v>13</v>
      </c>
      <c r="D12" s="63">
        <v>7157</v>
      </c>
      <c r="E12" s="41">
        <v>13</v>
      </c>
      <c r="F12" s="63">
        <v>6495</v>
      </c>
      <c r="G12" s="41">
        <v>11</v>
      </c>
      <c r="H12" s="63">
        <v>6686</v>
      </c>
      <c r="I12" s="49">
        <v>14</v>
      </c>
      <c r="J12" s="63">
        <v>6976.5</v>
      </c>
      <c r="K12" s="43">
        <v>12</v>
      </c>
      <c r="L12" s="63">
        <v>6725</v>
      </c>
      <c r="O12" s="81">
        <v>41548</v>
      </c>
      <c r="P12" s="77">
        <v>7188.782608695652</v>
      </c>
      <c r="Q12" s="79">
        <f t="shared" si="0"/>
        <v>3.8196341685530211E-3</v>
      </c>
      <c r="R12" s="80">
        <v>15720.429808695651</v>
      </c>
      <c r="S12" s="79">
        <f t="shared" si="1"/>
        <v>-3.3440722117127564E-2</v>
      </c>
    </row>
    <row r="13" spans="1:19" x14ac:dyDescent="0.35">
      <c r="A13" s="41">
        <v>14</v>
      </c>
      <c r="B13" s="63">
        <v>7343</v>
      </c>
      <c r="C13" s="41">
        <v>14</v>
      </c>
      <c r="D13" s="63">
        <v>7175.5</v>
      </c>
      <c r="E13" s="41">
        <v>14</v>
      </c>
      <c r="F13" s="63">
        <v>6490</v>
      </c>
      <c r="G13" s="41">
        <v>14</v>
      </c>
      <c r="H13" s="63">
        <v>6645</v>
      </c>
      <c r="I13" s="49">
        <v>15</v>
      </c>
      <c r="J13" s="63">
        <v>6949</v>
      </c>
      <c r="K13" s="43">
        <v>13</v>
      </c>
      <c r="L13" s="63">
        <v>6671.5</v>
      </c>
      <c r="O13" s="81">
        <v>41579</v>
      </c>
      <c r="P13" s="77">
        <v>7066.4047619047615</v>
      </c>
      <c r="Q13" s="79">
        <f t="shared" si="0"/>
        <v>-1.7023445199589204E-2</v>
      </c>
      <c r="R13" s="80">
        <v>16235.77158095238</v>
      </c>
      <c r="S13" s="79">
        <f t="shared" si="1"/>
        <v>3.2781659186676304E-2</v>
      </c>
    </row>
    <row r="14" spans="1:19" x14ac:dyDescent="0.35">
      <c r="A14" s="41">
        <v>15</v>
      </c>
      <c r="B14" s="63">
        <v>7309</v>
      </c>
      <c r="C14" s="41">
        <v>17</v>
      </c>
      <c r="D14" s="63">
        <v>7210</v>
      </c>
      <c r="E14" s="41">
        <v>17</v>
      </c>
      <c r="F14" s="63">
        <v>6550</v>
      </c>
      <c r="G14" s="41">
        <v>15</v>
      </c>
      <c r="H14" s="63">
        <v>6630</v>
      </c>
      <c r="I14" s="49">
        <v>16</v>
      </c>
      <c r="J14" s="63">
        <v>6950</v>
      </c>
      <c r="K14" s="43">
        <v>16</v>
      </c>
      <c r="L14" s="63">
        <v>6735</v>
      </c>
      <c r="O14" s="81">
        <v>41609</v>
      </c>
      <c r="P14" s="77">
        <v>7202.95</v>
      </c>
      <c r="Q14" s="79">
        <f t="shared" si="0"/>
        <v>1.9323155507785073E-2</v>
      </c>
      <c r="R14" s="80">
        <v>16911.086009999999</v>
      </c>
      <c r="S14" s="79">
        <f>R14/R13-1</f>
        <v>4.1594230719523617E-2</v>
      </c>
    </row>
    <row r="15" spans="1:19" x14ac:dyDescent="0.35">
      <c r="A15" s="41">
        <v>16</v>
      </c>
      <c r="B15" s="63">
        <v>7345.5</v>
      </c>
      <c r="C15" s="41">
        <v>18</v>
      </c>
      <c r="D15" s="63">
        <v>7205</v>
      </c>
      <c r="E15" s="41">
        <v>18</v>
      </c>
      <c r="F15" s="63">
        <v>6471.5</v>
      </c>
      <c r="G15" s="41">
        <v>16</v>
      </c>
      <c r="H15" s="63">
        <v>6600</v>
      </c>
      <c r="I15" s="49">
        <v>19</v>
      </c>
      <c r="J15" s="63">
        <v>7009</v>
      </c>
      <c r="K15" s="43">
        <v>17</v>
      </c>
      <c r="L15" s="63">
        <v>6711</v>
      </c>
      <c r="O15" s="81">
        <v>41640</v>
      </c>
      <c r="P15" s="77">
        <f>B28</f>
        <v>7294.886363636364</v>
      </c>
      <c r="Q15" s="79">
        <f t="shared" si="0"/>
        <v>1.2763709818388813E-2</v>
      </c>
      <c r="R15" s="80">
        <f>B30</f>
        <v>17368.394943181818</v>
      </c>
      <c r="S15" s="79">
        <f t="shared" si="1"/>
        <v>2.7041961285715121E-2</v>
      </c>
    </row>
    <row r="16" spans="1:19" x14ac:dyDescent="0.35">
      <c r="A16" s="41">
        <v>17</v>
      </c>
      <c r="B16" s="63">
        <v>7379.5</v>
      </c>
      <c r="C16" s="41">
        <v>19</v>
      </c>
      <c r="D16" s="63">
        <v>7220</v>
      </c>
      <c r="E16" s="41">
        <v>19</v>
      </c>
      <c r="F16" s="63">
        <v>6446</v>
      </c>
      <c r="G16" s="41">
        <v>17</v>
      </c>
      <c r="H16" s="63">
        <v>6631</v>
      </c>
      <c r="I16" s="49">
        <v>20</v>
      </c>
      <c r="J16" s="63">
        <v>6922.5</v>
      </c>
      <c r="K16" s="43">
        <v>18</v>
      </c>
      <c r="L16" s="63">
        <v>6739</v>
      </c>
      <c r="O16" s="81">
        <v>41671</v>
      </c>
      <c r="P16" s="77">
        <f>D28</f>
        <v>7152.15</v>
      </c>
      <c r="Q16" s="79">
        <f t="shared" si="0"/>
        <v>-1.9566632915336224E-2</v>
      </c>
      <c r="R16" s="80">
        <f>D30</f>
        <v>17062.884254999997</v>
      </c>
      <c r="S16" s="79">
        <f t="shared" si="1"/>
        <v>-1.7590035762156231E-2</v>
      </c>
    </row>
    <row r="17" spans="1:19" x14ac:dyDescent="0.35">
      <c r="A17" s="41">
        <v>20</v>
      </c>
      <c r="B17" s="63">
        <v>7340</v>
      </c>
      <c r="C17" s="41">
        <v>20</v>
      </c>
      <c r="D17" s="63">
        <v>7185</v>
      </c>
      <c r="E17" s="41">
        <v>20</v>
      </c>
      <c r="F17" s="63">
        <v>6434.5</v>
      </c>
      <c r="G17" s="41">
        <v>18</v>
      </c>
      <c r="H17" s="63" t="s">
        <v>9</v>
      </c>
      <c r="I17" s="49">
        <v>21</v>
      </c>
      <c r="J17" s="63">
        <v>6841</v>
      </c>
      <c r="K17" s="43">
        <v>19</v>
      </c>
      <c r="L17" s="63">
        <v>6730.5</v>
      </c>
      <c r="O17" s="81">
        <v>41699</v>
      </c>
      <c r="P17" s="77">
        <f>F28</f>
        <v>6667.8095238095239</v>
      </c>
      <c r="Q17" s="79">
        <f t="shared" ref="Q17:Q22" si="2">P17/P16-1</f>
        <v>-6.7719563514534231E-2</v>
      </c>
      <c r="R17" s="80">
        <f>F30</f>
        <v>15507.991390476191</v>
      </c>
      <c r="S17" s="79">
        <f t="shared" ref="S17:S22" si="3">R17/R16-1</f>
        <v>-9.1127199908665579E-2</v>
      </c>
    </row>
    <row r="18" spans="1:19" x14ac:dyDescent="0.35">
      <c r="A18" s="41">
        <v>21</v>
      </c>
      <c r="B18" s="63">
        <v>7332</v>
      </c>
      <c r="C18" s="41">
        <v>21</v>
      </c>
      <c r="D18" s="63">
        <v>7211.5</v>
      </c>
      <c r="E18" s="41">
        <v>21</v>
      </c>
      <c r="F18" s="63">
        <v>6539.5</v>
      </c>
      <c r="G18" s="41">
        <v>21</v>
      </c>
      <c r="H18" s="63" t="s">
        <v>9</v>
      </c>
      <c r="I18" s="49">
        <v>22</v>
      </c>
      <c r="J18" s="63">
        <v>6945.5</v>
      </c>
      <c r="K18" s="43">
        <v>20</v>
      </c>
      <c r="L18" s="63">
        <v>6777.5</v>
      </c>
      <c r="O18" s="81">
        <v>41730</v>
      </c>
      <c r="P18" s="77">
        <f>H28</f>
        <v>6670.8249999999998</v>
      </c>
      <c r="Q18" s="79">
        <f t="shared" si="2"/>
        <v>4.5224390104547929E-4</v>
      </c>
      <c r="R18" s="80">
        <f>H30</f>
        <v>14896.619307499999</v>
      </c>
      <c r="S18" s="79">
        <f t="shared" si="3"/>
        <v>-3.9423034716904004E-2</v>
      </c>
    </row>
    <row r="19" spans="1:19" x14ac:dyDescent="0.35">
      <c r="A19" s="41">
        <v>22</v>
      </c>
      <c r="B19" s="63">
        <v>7327</v>
      </c>
      <c r="C19" s="41">
        <v>24</v>
      </c>
      <c r="D19" s="63">
        <v>7130</v>
      </c>
      <c r="E19" s="41">
        <v>24</v>
      </c>
      <c r="F19" s="63">
        <v>6510</v>
      </c>
      <c r="G19" s="41">
        <v>22</v>
      </c>
      <c r="H19" s="63">
        <v>6628.5</v>
      </c>
      <c r="I19" s="49">
        <v>23</v>
      </c>
      <c r="J19" s="63">
        <v>6991</v>
      </c>
      <c r="K19" s="43">
        <v>23</v>
      </c>
      <c r="L19" s="63">
        <v>6901</v>
      </c>
      <c r="O19" s="81">
        <v>41760</v>
      </c>
      <c r="P19" s="77">
        <f>J28</f>
        <v>6883.875</v>
      </c>
      <c r="Q19" s="79">
        <f t="shared" si="2"/>
        <v>3.1937578935139266E-2</v>
      </c>
      <c r="R19" s="80">
        <f>J30</f>
        <v>15289.774762499999</v>
      </c>
      <c r="S19" s="79">
        <f t="shared" si="3"/>
        <v>2.6392260343396146E-2</v>
      </c>
    </row>
    <row r="20" spans="1:19" x14ac:dyDescent="0.35">
      <c r="A20" s="41">
        <v>23</v>
      </c>
      <c r="B20" s="63">
        <v>7285</v>
      </c>
      <c r="C20" s="41">
        <v>25</v>
      </c>
      <c r="D20" s="63">
        <v>7115</v>
      </c>
      <c r="E20" s="41">
        <v>25</v>
      </c>
      <c r="F20" s="63">
        <v>6559.5</v>
      </c>
      <c r="G20" s="41">
        <v>23</v>
      </c>
      <c r="H20" s="63">
        <v>6645</v>
      </c>
      <c r="I20" s="49">
        <v>26</v>
      </c>
      <c r="J20" s="63" t="s">
        <v>9</v>
      </c>
      <c r="K20" s="43">
        <v>24</v>
      </c>
      <c r="L20" s="63">
        <v>6898.5</v>
      </c>
      <c r="O20" s="81">
        <v>41791</v>
      </c>
      <c r="P20" s="77">
        <f>L28</f>
        <v>6806.0952380952385</v>
      </c>
      <c r="Q20" s="79">
        <f t="shared" si="2"/>
        <v>-1.1298834145704539E-2</v>
      </c>
      <c r="R20" s="80">
        <f>L30</f>
        <v>15206.177980952381</v>
      </c>
      <c r="S20" s="79">
        <f t="shared" si="3"/>
        <v>-5.4674959472031937E-3</v>
      </c>
    </row>
    <row r="21" spans="1:19" x14ac:dyDescent="0.35">
      <c r="A21" s="41">
        <v>24</v>
      </c>
      <c r="B21" s="63">
        <v>7240</v>
      </c>
      <c r="C21" s="41">
        <v>26</v>
      </c>
      <c r="D21" s="63">
        <v>7149</v>
      </c>
      <c r="E21" s="41">
        <v>26</v>
      </c>
      <c r="F21" s="63">
        <v>6555</v>
      </c>
      <c r="G21" s="41">
        <v>24</v>
      </c>
      <c r="H21" s="63">
        <v>6731</v>
      </c>
      <c r="I21" s="49">
        <v>27</v>
      </c>
      <c r="J21" s="63">
        <v>7020</v>
      </c>
      <c r="K21" s="43">
        <v>25</v>
      </c>
      <c r="L21" s="63">
        <v>6890.5</v>
      </c>
      <c r="O21" s="81">
        <v>41821</v>
      </c>
      <c r="P21" s="77">
        <f>B82</f>
        <v>7104.847826086957</v>
      </c>
      <c r="Q21" s="79">
        <f t="shared" si="2"/>
        <v>4.389485858492459E-2</v>
      </c>
      <c r="R21" s="80">
        <f>B84</f>
        <v>15807.575928260871</v>
      </c>
      <c r="S21" s="79">
        <f t="shared" si="3"/>
        <v>3.9549579655177913E-2</v>
      </c>
    </row>
    <row r="22" spans="1:19" x14ac:dyDescent="0.35">
      <c r="A22" s="41">
        <v>27</v>
      </c>
      <c r="B22" s="63">
        <v>7235</v>
      </c>
      <c r="C22" s="41">
        <v>27</v>
      </c>
      <c r="D22" s="63">
        <v>7095</v>
      </c>
      <c r="E22" s="41">
        <v>27</v>
      </c>
      <c r="F22" s="63">
        <v>6581</v>
      </c>
      <c r="G22" s="41">
        <v>25</v>
      </c>
      <c r="H22" s="63">
        <v>6785.5</v>
      </c>
      <c r="I22" s="49">
        <v>28</v>
      </c>
      <c r="J22" s="63">
        <v>7035</v>
      </c>
      <c r="K22" s="43">
        <v>26</v>
      </c>
      <c r="L22" s="63">
        <v>6936.5</v>
      </c>
      <c r="N22" s="91"/>
      <c r="O22" s="81">
        <v>41852</v>
      </c>
      <c r="P22" s="92">
        <f>D82</f>
        <v>7000.55</v>
      </c>
      <c r="Q22" s="79">
        <f t="shared" si="2"/>
        <v>-1.4679811396382747E-2</v>
      </c>
      <c r="R22" s="98">
        <f>D84</f>
        <v>15880.047620000001</v>
      </c>
      <c r="S22" s="79">
        <f t="shared" si="3"/>
        <v>4.5846176585218057E-3</v>
      </c>
    </row>
    <row r="23" spans="1:19" x14ac:dyDescent="0.35">
      <c r="A23" s="41">
        <v>28</v>
      </c>
      <c r="B23" s="63">
        <v>7215</v>
      </c>
      <c r="C23" s="42">
        <v>28</v>
      </c>
      <c r="D23" s="64">
        <v>7097.5</v>
      </c>
      <c r="E23" s="41">
        <v>28</v>
      </c>
      <c r="F23" s="63">
        <v>6667</v>
      </c>
      <c r="G23" s="41">
        <v>28</v>
      </c>
      <c r="H23" s="63">
        <v>6782</v>
      </c>
      <c r="I23" s="71">
        <v>29</v>
      </c>
      <c r="J23" s="63">
        <v>6970</v>
      </c>
      <c r="K23" s="43">
        <v>27</v>
      </c>
      <c r="L23" s="63">
        <v>6976</v>
      </c>
      <c r="N23" s="91"/>
      <c r="O23" s="81">
        <v>41883</v>
      </c>
      <c r="P23" s="92">
        <f>F82</f>
        <v>6872.227272727273</v>
      </c>
      <c r="Q23" s="79">
        <f t="shared" ref="Q23" si="4">P23/P22-1</f>
        <v>-1.8330377937837317E-2</v>
      </c>
      <c r="R23" s="98">
        <f>F84</f>
        <v>16046.650681818182</v>
      </c>
      <c r="S23" s="79">
        <f t="shared" ref="S23" si="5">R23/R22-1</f>
        <v>1.0491345227980009E-2</v>
      </c>
    </row>
    <row r="24" spans="1:19" x14ac:dyDescent="0.35">
      <c r="A24" s="41">
        <v>29</v>
      </c>
      <c r="B24" s="63">
        <v>7209</v>
      </c>
      <c r="C24" s="394"/>
      <c r="D24" s="395"/>
      <c r="E24" s="42">
        <v>31</v>
      </c>
      <c r="F24" s="64">
        <v>6635.5</v>
      </c>
      <c r="G24" s="41">
        <v>29</v>
      </c>
      <c r="H24" s="63">
        <v>6770</v>
      </c>
      <c r="I24" s="72">
        <v>30</v>
      </c>
      <c r="J24" s="64">
        <v>6995.5</v>
      </c>
      <c r="K24" s="72">
        <v>30</v>
      </c>
      <c r="L24" s="64">
        <v>6955</v>
      </c>
      <c r="O24" s="81">
        <v>41913</v>
      </c>
      <c r="P24" s="92">
        <f>H82</f>
        <v>6739.195652173913</v>
      </c>
      <c r="Q24" s="79">
        <f t="shared" ref="Q24" si="6">P24/P23-1</f>
        <v>-1.9357861036014001E-2</v>
      </c>
      <c r="R24" s="98">
        <f>H84</f>
        <v>16515.746784782608</v>
      </c>
      <c r="S24" s="79">
        <f t="shared" ref="S24" si="7">R24/R23-1</f>
        <v>2.9233271931066618E-2</v>
      </c>
    </row>
    <row r="25" spans="1:19" x14ac:dyDescent="0.35">
      <c r="A25" s="41">
        <v>30</v>
      </c>
      <c r="B25" s="63">
        <v>7155</v>
      </c>
      <c r="C25" s="394"/>
      <c r="D25" s="395"/>
      <c r="E25" s="394"/>
      <c r="F25" s="395"/>
      <c r="G25" s="42">
        <v>30</v>
      </c>
      <c r="H25" s="64">
        <v>6724</v>
      </c>
      <c r="I25" s="394"/>
      <c r="J25" s="395"/>
      <c r="K25" s="394"/>
      <c r="L25" s="395"/>
      <c r="O25" s="81">
        <v>41944</v>
      </c>
      <c r="P25" s="92">
        <f>J82</f>
        <v>6701.1350000000002</v>
      </c>
      <c r="Q25" s="79">
        <f t="shared" ref="Q25:Q26" si="8">P25/P24-1</f>
        <v>-5.6476550226932654E-3</v>
      </c>
      <c r="R25" s="98">
        <f>J84</f>
        <v>17154.905600000002</v>
      </c>
      <c r="S25" s="79">
        <f t="shared" ref="S25:S26" si="9">R25/R24-1</f>
        <v>3.8699964557842748E-2</v>
      </c>
    </row>
    <row r="26" spans="1:19" x14ac:dyDescent="0.35">
      <c r="A26" s="42">
        <v>31</v>
      </c>
      <c r="B26" s="64">
        <v>7091</v>
      </c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41974</v>
      </c>
      <c r="P26" s="92">
        <f>L82</f>
        <v>6422.9523809523807</v>
      </c>
      <c r="Q26" s="79">
        <f t="shared" si="8"/>
        <v>-4.1512761501987239E-2</v>
      </c>
      <c r="R26" s="98">
        <f>L84</f>
        <v>16968.797895238094</v>
      </c>
      <c r="S26" s="79">
        <f t="shared" si="9"/>
        <v>-1.0848658051601734E-2</v>
      </c>
    </row>
    <row r="27" spans="1:19" ht="15" thickBot="1" x14ac:dyDescent="0.4">
      <c r="A27" s="384">
        <f>B28/B88-1</f>
        <v>1.2763709818388813E-2</v>
      </c>
      <c r="B27" s="385"/>
      <c r="C27" s="384">
        <f>D28/B28-1</f>
        <v>-1.9566632915336224E-2</v>
      </c>
      <c r="D27" s="385"/>
      <c r="E27" s="384">
        <f>F28/D28-1</f>
        <v>-6.7719563514534231E-2</v>
      </c>
      <c r="F27" s="385"/>
      <c r="G27" s="384">
        <f>H28/F28-1</f>
        <v>4.5224390104547929E-4</v>
      </c>
      <c r="H27" s="385"/>
      <c r="I27" s="384">
        <f>J28/H28-1</f>
        <v>3.1937578935139266E-2</v>
      </c>
      <c r="J27" s="385"/>
      <c r="K27" s="384">
        <f>L28/J28-1</f>
        <v>-1.1298834145704539E-2</v>
      </c>
      <c r="L27" s="385"/>
      <c r="O27" s="82" t="s">
        <v>44</v>
      </c>
      <c r="P27" s="93"/>
      <c r="Q27" s="102">
        <f>P26/P14-1</f>
        <v>-0.10828863438558078</v>
      </c>
      <c r="R27" s="93"/>
      <c r="S27" s="103">
        <f>R26/R14-1</f>
        <v>3.412665821932892E-3</v>
      </c>
    </row>
    <row r="28" spans="1:19" ht="15" thickBot="1" x14ac:dyDescent="0.4">
      <c r="A28" s="65" t="s">
        <v>10</v>
      </c>
      <c r="B28" s="66">
        <f>AVERAGE(B5:B26)</f>
        <v>7294.886363636364</v>
      </c>
      <c r="C28" s="55" t="s">
        <v>10</v>
      </c>
      <c r="D28" s="66">
        <f>AVERAGE(D4:D23)</f>
        <v>7152.15</v>
      </c>
      <c r="E28" s="55" t="s">
        <v>10</v>
      </c>
      <c r="F28" s="66">
        <f>AVERAGE(F4:F24)</f>
        <v>6667.8095238095239</v>
      </c>
      <c r="G28" s="55" t="s">
        <v>10</v>
      </c>
      <c r="H28" s="66">
        <f>AVERAGE(H4:H25)</f>
        <v>6670.8249999999998</v>
      </c>
      <c r="I28" s="56" t="s">
        <v>10</v>
      </c>
      <c r="J28" s="66">
        <f>AVERAGE(J4:J24)</f>
        <v>6883.875</v>
      </c>
      <c r="K28" s="55" t="s">
        <v>10</v>
      </c>
      <c r="L28" s="66">
        <f>AVERAGE(L4:L24)</f>
        <v>6806.0952380952385</v>
      </c>
    </row>
    <row r="29" spans="1:19" ht="15" thickBot="1" x14ac:dyDescent="0.4">
      <c r="A29" s="386">
        <f>B26/B87-1</f>
        <v>-4.1044019203462012E-2</v>
      </c>
      <c r="B29" s="387"/>
      <c r="C29" s="388">
        <f>D19/B26-1</f>
        <v>5.4999294880835325E-3</v>
      </c>
      <c r="D29" s="389"/>
      <c r="E29" s="388">
        <f>F24/D23-1</f>
        <v>-6.5093342726312065E-2</v>
      </c>
      <c r="F29" s="390"/>
      <c r="G29" s="388">
        <f>H25/F24-1</f>
        <v>1.3337352121166379E-2</v>
      </c>
      <c r="H29" s="390"/>
      <c r="I29" s="391">
        <f>J24/H25-1</f>
        <v>4.0377751338489087E-2</v>
      </c>
      <c r="J29" s="391"/>
      <c r="K29" s="392">
        <f>L24/J24-1</f>
        <v>-5.7894360660424304E-3</v>
      </c>
      <c r="L29" s="393"/>
    </row>
    <row r="30" spans="1:19" ht="15" thickBot="1" x14ac:dyDescent="0.4">
      <c r="A30" s="67" t="s">
        <v>11</v>
      </c>
      <c r="B30" s="67">
        <f>B28*A31</f>
        <v>17368.394943181818</v>
      </c>
      <c r="C30" s="67" t="s">
        <v>11</v>
      </c>
      <c r="D30" s="67">
        <f>D28*C31</f>
        <v>17062.884254999997</v>
      </c>
      <c r="E30" s="67" t="s">
        <v>11</v>
      </c>
      <c r="F30" s="67">
        <f>F28*E31</f>
        <v>15507.991390476191</v>
      </c>
      <c r="G30" s="67" t="s">
        <v>11</v>
      </c>
      <c r="H30" s="67">
        <f>H28*G31</f>
        <v>14896.619307499999</v>
      </c>
      <c r="I30" s="67" t="s">
        <v>11</v>
      </c>
      <c r="J30" s="67">
        <f>J28*I31</f>
        <v>15289.774762499999</v>
      </c>
      <c r="K30" s="67" t="s">
        <v>11</v>
      </c>
      <c r="L30" s="67">
        <f>L28*K31</f>
        <v>15206.177980952381</v>
      </c>
    </row>
    <row r="31" spans="1:19" ht="15" thickBot="1" x14ac:dyDescent="0.4">
      <c r="A31" s="67">
        <v>2.3809</v>
      </c>
      <c r="B31" s="73">
        <f>B30/B89-1</f>
        <v>2.7041961285715121E-2</v>
      </c>
      <c r="C31" s="67">
        <v>2.3856999999999999</v>
      </c>
      <c r="D31" s="73">
        <f>D30/B30-1</f>
        <v>-1.7590035762156231E-2</v>
      </c>
      <c r="E31" s="67">
        <v>2.3258000000000001</v>
      </c>
      <c r="F31" s="73">
        <f>F30/D30-1</f>
        <v>-9.1127199908665579E-2</v>
      </c>
      <c r="G31" s="67">
        <v>2.2330999999999999</v>
      </c>
      <c r="H31" s="73">
        <f>H30/F30-1</f>
        <v>-3.9423034716904004E-2</v>
      </c>
      <c r="I31" s="67">
        <v>2.2210999999999999</v>
      </c>
      <c r="J31" s="73">
        <f>J30/H30-1</f>
        <v>2.6392260343396146E-2</v>
      </c>
      <c r="K31" s="67">
        <v>2.2342</v>
      </c>
      <c r="L31" s="73">
        <f>L30/J30-1</f>
        <v>-5.4674959472031937E-3</v>
      </c>
    </row>
    <row r="32" spans="1:19" ht="15" thickBot="1" x14ac:dyDescent="0.4">
      <c r="A32" s="381" t="s">
        <v>20</v>
      </c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3"/>
    </row>
    <row r="33" spans="1:12" ht="26.25" hidden="1" customHeight="1" x14ac:dyDescent="0.35">
      <c r="A33" s="405" t="s">
        <v>27</v>
      </c>
      <c r="B33" s="406"/>
      <c r="C33" s="405" t="s">
        <v>28</v>
      </c>
      <c r="D33" s="406"/>
      <c r="E33" s="401" t="s">
        <v>29</v>
      </c>
      <c r="F33" s="402"/>
      <c r="G33" s="405" t="s">
        <v>30</v>
      </c>
      <c r="H33" s="406"/>
      <c r="I33" s="401" t="s">
        <v>31</v>
      </c>
      <c r="J33" s="402"/>
      <c r="K33" s="405" t="s">
        <v>32</v>
      </c>
      <c r="L33" s="406"/>
    </row>
    <row r="34" spans="1:12" hidden="1" x14ac:dyDescent="0.35">
      <c r="A34" s="44"/>
      <c r="B34" s="50" t="s">
        <v>7</v>
      </c>
      <c r="C34" s="51"/>
      <c r="D34" s="40" t="s">
        <v>8</v>
      </c>
      <c r="E34" s="48"/>
      <c r="F34" s="58" t="s">
        <v>8</v>
      </c>
      <c r="G34" s="51"/>
      <c r="H34" s="40" t="s">
        <v>8</v>
      </c>
      <c r="I34" s="49"/>
      <c r="J34" s="53" t="s">
        <v>18</v>
      </c>
      <c r="K34" s="51"/>
      <c r="L34" s="40" t="s">
        <v>8</v>
      </c>
    </row>
    <row r="35" spans="1:12" hidden="1" x14ac:dyDescent="0.35">
      <c r="A35" s="41"/>
      <c r="B35" s="63"/>
      <c r="C35" s="41"/>
      <c r="D35" s="63"/>
      <c r="E35" s="49"/>
      <c r="F35" s="54"/>
      <c r="G35" s="41"/>
      <c r="H35" s="47"/>
      <c r="I35" s="49"/>
      <c r="J35" s="54"/>
      <c r="K35" s="41"/>
      <c r="L35" s="47"/>
    </row>
    <row r="36" spans="1:12" hidden="1" x14ac:dyDescent="0.35">
      <c r="A36" s="41"/>
      <c r="B36" s="63"/>
      <c r="C36" s="41"/>
      <c r="D36" s="63"/>
      <c r="E36" s="49"/>
      <c r="F36" s="54"/>
      <c r="G36" s="41"/>
      <c r="H36" s="47"/>
      <c r="I36" s="49"/>
      <c r="J36" s="54"/>
      <c r="K36" s="41"/>
      <c r="L36" s="47"/>
    </row>
    <row r="37" spans="1:12" hidden="1" x14ac:dyDescent="0.35">
      <c r="A37" s="41"/>
      <c r="B37" s="63"/>
      <c r="C37" s="41"/>
      <c r="D37" s="63"/>
      <c r="E37" s="49"/>
      <c r="F37" s="54"/>
      <c r="G37" s="41"/>
      <c r="H37" s="47"/>
      <c r="I37" s="49"/>
      <c r="J37" s="54"/>
      <c r="K37" s="41"/>
      <c r="L37" s="47"/>
    </row>
    <row r="38" spans="1:12" hidden="1" x14ac:dyDescent="0.35">
      <c r="A38" s="41"/>
      <c r="B38" s="63"/>
      <c r="C38" s="41"/>
      <c r="D38" s="63"/>
      <c r="E38" s="49"/>
      <c r="F38" s="54"/>
      <c r="G38" s="41"/>
      <c r="H38" s="47"/>
      <c r="I38" s="49"/>
      <c r="J38" s="54"/>
      <c r="K38" s="41"/>
      <c r="L38" s="47"/>
    </row>
    <row r="39" spans="1:12" hidden="1" x14ac:dyDescent="0.35">
      <c r="A39" s="41"/>
      <c r="B39" s="63"/>
      <c r="C39" s="41"/>
      <c r="D39" s="63"/>
      <c r="E39" s="49"/>
      <c r="F39" s="54"/>
      <c r="G39" s="41"/>
      <c r="H39" s="47"/>
      <c r="I39" s="49"/>
      <c r="J39" s="54"/>
      <c r="K39" s="41"/>
      <c r="L39" s="47"/>
    </row>
    <row r="40" spans="1:12" hidden="1" x14ac:dyDescent="0.35">
      <c r="A40" s="41"/>
      <c r="B40" s="63"/>
      <c r="C40" s="41"/>
      <c r="D40" s="63"/>
      <c r="E40" s="49"/>
      <c r="F40" s="54"/>
      <c r="G40" s="41"/>
      <c r="H40" s="47"/>
      <c r="I40" s="49"/>
      <c r="J40" s="54"/>
      <c r="K40" s="41"/>
      <c r="L40" s="47"/>
    </row>
    <row r="41" spans="1:12" hidden="1" x14ac:dyDescent="0.35">
      <c r="A41" s="41"/>
      <c r="B41" s="63"/>
      <c r="C41" s="41"/>
      <c r="D41" s="63"/>
      <c r="E41" s="49"/>
      <c r="F41" s="54"/>
      <c r="G41" s="41"/>
      <c r="H41" s="47"/>
      <c r="I41" s="49"/>
      <c r="J41" s="54"/>
      <c r="K41" s="41"/>
      <c r="L41" s="47"/>
    </row>
    <row r="42" spans="1:12" hidden="1" x14ac:dyDescent="0.35">
      <c r="A42" s="41"/>
      <c r="B42" s="63"/>
      <c r="C42" s="41"/>
      <c r="D42" s="63"/>
      <c r="E42" s="49"/>
      <c r="F42" s="54"/>
      <c r="G42" s="41"/>
      <c r="H42" s="47"/>
      <c r="I42" s="49"/>
      <c r="J42" s="54"/>
      <c r="K42" s="41"/>
      <c r="L42" s="47"/>
    </row>
    <row r="43" spans="1:12" hidden="1" x14ac:dyDescent="0.35">
      <c r="A43" s="41"/>
      <c r="B43" s="63"/>
      <c r="C43" s="41"/>
      <c r="D43" s="63"/>
      <c r="E43" s="49"/>
      <c r="F43" s="54"/>
      <c r="G43" s="41"/>
      <c r="H43" s="47"/>
      <c r="I43" s="49"/>
      <c r="J43" s="54"/>
      <c r="K43" s="41"/>
      <c r="L43" s="47"/>
    </row>
    <row r="44" spans="1:12" hidden="1" x14ac:dyDescent="0.35">
      <c r="A44" s="41"/>
      <c r="B44" s="63"/>
      <c r="C44" s="41"/>
      <c r="D44" s="63"/>
      <c r="E44" s="49"/>
      <c r="F44" s="54"/>
      <c r="G44" s="41"/>
      <c r="H44" s="47"/>
      <c r="I44" s="49"/>
      <c r="J44" s="54"/>
      <c r="K44" s="41"/>
      <c r="L44" s="47"/>
    </row>
    <row r="45" spans="1:12" hidden="1" x14ac:dyDescent="0.35">
      <c r="A45" s="41"/>
      <c r="B45" s="63"/>
      <c r="C45" s="41"/>
      <c r="D45" s="63"/>
      <c r="E45" s="49"/>
      <c r="F45" s="54"/>
      <c r="G45" s="41"/>
      <c r="H45" s="47"/>
      <c r="I45" s="49"/>
      <c r="J45" s="54"/>
      <c r="K45" s="41"/>
      <c r="L45" s="47"/>
    </row>
    <row r="46" spans="1:12" hidden="1" x14ac:dyDescent="0.35">
      <c r="A46" s="41"/>
      <c r="B46" s="63"/>
      <c r="C46" s="41"/>
      <c r="D46" s="63"/>
      <c r="E46" s="49"/>
      <c r="F46" s="54"/>
      <c r="G46" s="41"/>
      <c r="H46" s="47"/>
      <c r="I46" s="49"/>
      <c r="J46" s="54"/>
      <c r="K46" s="41"/>
      <c r="L46" s="47"/>
    </row>
    <row r="47" spans="1:12" hidden="1" x14ac:dyDescent="0.35">
      <c r="A47" s="41"/>
      <c r="B47" s="63"/>
      <c r="C47" s="41"/>
      <c r="D47" s="63"/>
      <c r="E47" s="49"/>
      <c r="F47" s="54"/>
      <c r="G47" s="41"/>
      <c r="H47" s="47"/>
      <c r="I47" s="49"/>
      <c r="J47" s="54"/>
      <c r="K47" s="68"/>
      <c r="L47" s="69"/>
    </row>
    <row r="48" spans="1:12" ht="15" hidden="1" thickBot="1" x14ac:dyDescent="0.4">
      <c r="A48" s="41"/>
      <c r="B48" s="63"/>
      <c r="C48" s="41"/>
      <c r="D48" s="63"/>
      <c r="E48" s="42"/>
      <c r="F48" s="64"/>
      <c r="G48" s="41"/>
      <c r="H48" s="47"/>
      <c r="I48" s="68"/>
      <c r="J48" s="69"/>
      <c r="K48" s="86"/>
      <c r="L48" s="87"/>
    </row>
    <row r="49" spans="1:19" ht="15" hidden="1" thickBot="1" x14ac:dyDescent="0.4">
      <c r="A49" s="41"/>
      <c r="B49" s="63"/>
      <c r="C49" s="42"/>
      <c r="D49" s="64"/>
      <c r="E49" s="45"/>
      <c r="F49" s="46"/>
      <c r="G49" s="41"/>
      <c r="H49" s="47"/>
      <c r="I49" s="65"/>
      <c r="J49" s="85"/>
      <c r="K49" s="65"/>
      <c r="L49" s="85"/>
    </row>
    <row r="50" spans="1:19" ht="15" hidden="1" thickBot="1" x14ac:dyDescent="0.4">
      <c r="A50" s="42"/>
      <c r="B50" s="64"/>
      <c r="C50" s="45"/>
      <c r="D50" s="46"/>
      <c r="E50" s="57"/>
      <c r="F50" s="59"/>
      <c r="G50" s="68"/>
      <c r="H50" s="69"/>
      <c r="I50" s="83"/>
      <c r="J50" s="84"/>
      <c r="K50" s="88"/>
      <c r="L50" s="89"/>
    </row>
    <row r="51" spans="1:19" ht="15" hidden="1" thickBot="1" x14ac:dyDescent="0.4">
      <c r="A51" s="61" t="s">
        <v>19</v>
      </c>
      <c r="B51" s="60" t="e">
        <v>#DIV/0!</v>
      </c>
      <c r="C51" s="61" t="s">
        <v>19</v>
      </c>
      <c r="D51" s="60" t="e">
        <v>#DIV/0!</v>
      </c>
      <c r="E51" s="61" t="s">
        <v>19</v>
      </c>
      <c r="F51" s="62" t="e">
        <v>#DIV/0!</v>
      </c>
      <c r="G51" s="65" t="s">
        <v>19</v>
      </c>
      <c r="H51" s="70" t="e">
        <v>#DIV/0!</v>
      </c>
      <c r="I51" s="65" t="s">
        <v>19</v>
      </c>
      <c r="J51" s="70" t="e">
        <v>#DIV/0!</v>
      </c>
      <c r="K51" s="61" t="s">
        <v>19</v>
      </c>
      <c r="L51" s="70" t="e">
        <v>#DIV/0!</v>
      </c>
    </row>
    <row r="52" spans="1:19" ht="15" hidden="1" thickBot="1" x14ac:dyDescent="0.4">
      <c r="A52" s="55" t="s">
        <v>10</v>
      </c>
      <c r="B52" s="66" t="e">
        <v>#DIV/0!</v>
      </c>
      <c r="C52" s="55" t="s">
        <v>10</v>
      </c>
      <c r="D52" s="66" t="e">
        <v>#DIV/0!</v>
      </c>
      <c r="E52" s="56" t="s">
        <v>10</v>
      </c>
      <c r="F52" s="66" t="e">
        <v>#DIV/0!</v>
      </c>
      <c r="G52" s="55" t="s">
        <v>10</v>
      </c>
      <c r="H52" s="66" t="e">
        <v>#DIV/0!</v>
      </c>
      <c r="I52" s="56" t="s">
        <v>10</v>
      </c>
      <c r="J52" s="66" t="e">
        <v>#DIV/0!</v>
      </c>
      <c r="K52" s="55" t="s">
        <v>10</v>
      </c>
      <c r="L52" s="66" t="e">
        <v>#DIV/0!</v>
      </c>
    </row>
    <row r="53" spans="1:19" ht="15" hidden="1" thickBot="1" x14ac:dyDescent="0.4">
      <c r="A53" s="407" t="e">
        <v>#DIV/0!</v>
      </c>
      <c r="B53" s="408"/>
      <c r="C53" s="399" t="e">
        <v>#DIV/0!</v>
      </c>
      <c r="D53" s="404"/>
      <c r="E53" s="399" t="e">
        <v>#DIV/0!</v>
      </c>
      <c r="F53" s="404"/>
      <c r="G53" s="399" t="e">
        <v>#DIV/0!</v>
      </c>
      <c r="H53" s="404"/>
      <c r="I53" s="399" t="e">
        <v>#DIV/0!</v>
      </c>
      <c r="J53" s="400"/>
      <c r="K53" s="403" t="e">
        <v>#DIV/0!</v>
      </c>
      <c r="L53" s="400"/>
    </row>
    <row r="54" spans="1:19" ht="15" hidden="1" thickBot="1" x14ac:dyDescent="0.4">
      <c r="A54" s="67" t="s">
        <v>11</v>
      </c>
      <c r="B54" s="67" t="e">
        <v>#DIV/0!</v>
      </c>
      <c r="C54" s="67" t="s">
        <v>11</v>
      </c>
      <c r="D54" s="67" t="e">
        <v>#DIV/0!</v>
      </c>
      <c r="E54" s="67" t="s">
        <v>11</v>
      </c>
      <c r="F54" s="67" t="e">
        <v>#DIV/0!</v>
      </c>
      <c r="G54" s="67" t="s">
        <v>11</v>
      </c>
      <c r="H54" s="67" t="e">
        <v>#DIV/0!</v>
      </c>
      <c r="I54" s="67" t="s">
        <v>11</v>
      </c>
      <c r="J54" s="67" t="e">
        <v>#DIV/0!</v>
      </c>
      <c r="K54" s="67" t="s">
        <v>11</v>
      </c>
      <c r="L54" s="67" t="e">
        <v>#DIV/0!</v>
      </c>
    </row>
    <row r="55" spans="1:19" ht="15" hidden="1" thickBot="1" x14ac:dyDescent="0.4">
      <c r="A55" s="67"/>
      <c r="B55" s="73" t="e">
        <v>#DIV/0!</v>
      </c>
      <c r="C55" s="67"/>
      <c r="D55" s="73" t="e">
        <v>#DIV/0!</v>
      </c>
      <c r="E55" s="67"/>
      <c r="F55" s="73" t="e">
        <v>#DIV/0!</v>
      </c>
      <c r="G55" s="67"/>
      <c r="H55" s="73" t="e">
        <v>#DIV/0!</v>
      </c>
      <c r="I55" s="67"/>
      <c r="J55" s="73" t="e">
        <v>#DIV/0!</v>
      </c>
      <c r="K55" s="67"/>
      <c r="L55" s="73" t="e">
        <v>#DIV/0!</v>
      </c>
    </row>
    <row r="56" spans="1:19" ht="15" customHeight="1" x14ac:dyDescent="0.35">
      <c r="A56" s="396" t="s">
        <v>39</v>
      </c>
      <c r="B56" s="397"/>
      <c r="C56" s="396" t="s">
        <v>40</v>
      </c>
      <c r="D56" s="397"/>
      <c r="E56" s="396" t="s">
        <v>41</v>
      </c>
      <c r="F56" s="397"/>
      <c r="G56" s="396" t="s">
        <v>42</v>
      </c>
      <c r="H56" s="397"/>
      <c r="I56" s="398" t="s">
        <v>43</v>
      </c>
      <c r="J56" s="398"/>
      <c r="K56" s="396" t="s">
        <v>32</v>
      </c>
      <c r="L56" s="397"/>
      <c r="P56" s="78"/>
      <c r="Q56" s="78"/>
      <c r="R56" s="78"/>
      <c r="S56" s="78"/>
    </row>
    <row r="57" spans="1:19" x14ac:dyDescent="0.35">
      <c r="A57" s="44"/>
      <c r="B57" s="50" t="s">
        <v>7</v>
      </c>
      <c r="C57" s="51"/>
      <c r="D57" s="40" t="s">
        <v>8</v>
      </c>
      <c r="E57" s="51"/>
      <c r="F57" s="52" t="s">
        <v>8</v>
      </c>
      <c r="G57" s="51"/>
      <c r="H57" s="40" t="s">
        <v>8</v>
      </c>
      <c r="I57" s="49"/>
      <c r="J57" s="53" t="s">
        <v>8</v>
      </c>
      <c r="K57" s="51"/>
      <c r="L57" s="40" t="s">
        <v>8</v>
      </c>
      <c r="O57" s="76"/>
      <c r="P57" s="77"/>
      <c r="Q57" s="79"/>
      <c r="R57" s="80"/>
      <c r="S57" s="79"/>
    </row>
    <row r="58" spans="1:19" x14ac:dyDescent="0.35">
      <c r="A58" s="41">
        <v>1</v>
      </c>
      <c r="B58" s="47">
        <v>7015</v>
      </c>
      <c r="C58" s="41">
        <v>1</v>
      </c>
      <c r="D58" s="63">
        <v>7078</v>
      </c>
      <c r="E58" s="41">
        <v>1</v>
      </c>
      <c r="F58" s="63">
        <v>6966.5</v>
      </c>
      <c r="G58" s="41">
        <v>1</v>
      </c>
      <c r="H58" s="63">
        <v>6755</v>
      </c>
      <c r="I58" s="49">
        <v>3</v>
      </c>
      <c r="J58" s="63">
        <v>6801</v>
      </c>
      <c r="K58" s="43">
        <v>1</v>
      </c>
      <c r="L58" s="63">
        <v>6385</v>
      </c>
      <c r="O58" s="76"/>
      <c r="P58" s="77"/>
      <c r="Q58" s="79"/>
      <c r="R58" s="80"/>
      <c r="S58" s="79"/>
    </row>
    <row r="59" spans="1:19" x14ac:dyDescent="0.35">
      <c r="A59" s="41">
        <v>2</v>
      </c>
      <c r="B59" s="63">
        <v>7050</v>
      </c>
      <c r="C59" s="41">
        <v>4</v>
      </c>
      <c r="D59" s="63">
        <v>7104</v>
      </c>
      <c r="E59" s="41">
        <v>2</v>
      </c>
      <c r="F59" s="63">
        <v>6965.5</v>
      </c>
      <c r="G59" s="41">
        <v>2</v>
      </c>
      <c r="H59" s="63">
        <v>6693.5</v>
      </c>
      <c r="I59" s="49">
        <v>4</v>
      </c>
      <c r="J59" s="63">
        <v>6705.5</v>
      </c>
      <c r="K59" s="43">
        <v>2</v>
      </c>
      <c r="L59" s="63">
        <v>6455</v>
      </c>
      <c r="O59" s="76"/>
      <c r="P59" s="77"/>
      <c r="Q59" s="79"/>
      <c r="R59" s="80"/>
      <c r="S59" s="79"/>
    </row>
    <row r="60" spans="1:19" x14ac:dyDescent="0.35">
      <c r="A60" s="41">
        <v>3</v>
      </c>
      <c r="B60" s="63">
        <v>7121</v>
      </c>
      <c r="C60" s="41">
        <v>5</v>
      </c>
      <c r="D60" s="63">
        <v>7100.5</v>
      </c>
      <c r="E60" s="41">
        <v>3</v>
      </c>
      <c r="F60" s="63">
        <v>6927</v>
      </c>
      <c r="G60" s="41">
        <v>3</v>
      </c>
      <c r="H60" s="63">
        <v>6665</v>
      </c>
      <c r="I60" s="49">
        <v>5</v>
      </c>
      <c r="J60" s="63">
        <v>6646</v>
      </c>
      <c r="K60" s="43">
        <v>3</v>
      </c>
      <c r="L60" s="63">
        <v>6451</v>
      </c>
      <c r="O60" s="76"/>
      <c r="P60" s="77"/>
      <c r="Q60" s="79"/>
      <c r="R60" s="80"/>
      <c r="S60" s="79"/>
    </row>
    <row r="61" spans="1:19" x14ac:dyDescent="0.35">
      <c r="A61" s="41">
        <v>4</v>
      </c>
      <c r="B61" s="63">
        <v>7159</v>
      </c>
      <c r="C61" s="41">
        <v>6</v>
      </c>
      <c r="D61" s="63">
        <v>6995</v>
      </c>
      <c r="E61" s="41">
        <v>4</v>
      </c>
      <c r="F61" s="63">
        <v>6967</v>
      </c>
      <c r="G61" s="41">
        <v>6</v>
      </c>
      <c r="H61" s="63">
        <v>6712.5</v>
      </c>
      <c r="I61" s="49">
        <v>6</v>
      </c>
      <c r="J61" s="63">
        <v>6681</v>
      </c>
      <c r="K61" s="43" t="s">
        <v>45</v>
      </c>
      <c r="L61" s="63">
        <v>6491</v>
      </c>
      <c r="O61" s="76"/>
      <c r="P61" s="77"/>
      <c r="Q61" s="79"/>
      <c r="R61" s="80"/>
      <c r="S61" s="79"/>
    </row>
    <row r="62" spans="1:19" x14ac:dyDescent="0.35">
      <c r="A62" s="41">
        <v>7</v>
      </c>
      <c r="B62" s="63">
        <v>7120.5</v>
      </c>
      <c r="C62" s="41">
        <v>7</v>
      </c>
      <c r="D62" s="63">
        <v>6980.5</v>
      </c>
      <c r="E62" s="41">
        <v>5</v>
      </c>
      <c r="F62" s="63">
        <v>6973</v>
      </c>
      <c r="G62" s="41">
        <v>7</v>
      </c>
      <c r="H62" s="63">
        <v>6715</v>
      </c>
      <c r="I62" s="49">
        <v>7</v>
      </c>
      <c r="J62" s="63">
        <v>6720.5</v>
      </c>
      <c r="K62" s="43">
        <v>5</v>
      </c>
      <c r="L62" s="63">
        <v>6536</v>
      </c>
      <c r="O62" s="76"/>
      <c r="P62" s="77"/>
      <c r="Q62" s="79"/>
      <c r="R62" s="80"/>
      <c r="S62" s="79"/>
    </row>
    <row r="63" spans="1:19" x14ac:dyDescent="0.35">
      <c r="A63" s="41">
        <v>8</v>
      </c>
      <c r="B63" s="63">
        <v>7155</v>
      </c>
      <c r="C63" s="41">
        <v>8</v>
      </c>
      <c r="D63" s="63">
        <v>7020</v>
      </c>
      <c r="E63" s="41">
        <v>8</v>
      </c>
      <c r="F63" s="63">
        <v>7040.5</v>
      </c>
      <c r="G63" s="41">
        <v>8</v>
      </c>
      <c r="H63" s="63">
        <v>6755</v>
      </c>
      <c r="I63" s="49">
        <v>10</v>
      </c>
      <c r="J63" s="63">
        <v>6735.5</v>
      </c>
      <c r="K63" s="43">
        <v>8</v>
      </c>
      <c r="L63" s="63">
        <v>6465.5</v>
      </c>
      <c r="O63" s="76"/>
      <c r="P63" s="77"/>
      <c r="Q63" s="79"/>
      <c r="R63" s="80"/>
      <c r="S63" s="79"/>
    </row>
    <row r="64" spans="1:19" x14ac:dyDescent="0.35">
      <c r="A64" s="41">
        <v>9</v>
      </c>
      <c r="B64" s="63">
        <v>7173</v>
      </c>
      <c r="C64" s="41">
        <v>11</v>
      </c>
      <c r="D64" s="63">
        <v>7010.5</v>
      </c>
      <c r="E64" s="41">
        <v>9</v>
      </c>
      <c r="F64" s="63">
        <v>6937</v>
      </c>
      <c r="G64" s="41">
        <v>9</v>
      </c>
      <c r="H64" s="63">
        <v>6767</v>
      </c>
      <c r="I64" s="49">
        <v>11</v>
      </c>
      <c r="J64" s="63">
        <v>6688</v>
      </c>
      <c r="K64" s="43">
        <v>9</v>
      </c>
      <c r="L64" s="63">
        <v>6401</v>
      </c>
      <c r="O64" s="76"/>
      <c r="P64" s="77"/>
      <c r="Q64" s="79"/>
      <c r="R64" s="80"/>
      <c r="S64" s="79"/>
    </row>
    <row r="65" spans="1:19" x14ac:dyDescent="0.35">
      <c r="A65" s="41">
        <v>10</v>
      </c>
      <c r="B65" s="63">
        <v>7110</v>
      </c>
      <c r="C65" s="41">
        <v>12</v>
      </c>
      <c r="D65" s="63">
        <v>7025.5</v>
      </c>
      <c r="E65" s="41">
        <v>10</v>
      </c>
      <c r="F65" s="63">
        <v>6897.5</v>
      </c>
      <c r="G65" s="41">
        <v>10</v>
      </c>
      <c r="H65" s="63">
        <v>6697</v>
      </c>
      <c r="I65" s="49">
        <v>12</v>
      </c>
      <c r="J65" s="63">
        <v>6752.5</v>
      </c>
      <c r="K65" s="43">
        <v>10</v>
      </c>
      <c r="L65" s="63">
        <v>6476</v>
      </c>
      <c r="O65" s="76"/>
      <c r="P65" s="77"/>
      <c r="Q65" s="79"/>
      <c r="R65" s="80"/>
      <c r="S65" s="79"/>
    </row>
    <row r="66" spans="1:19" x14ac:dyDescent="0.35">
      <c r="A66" s="41">
        <v>11</v>
      </c>
      <c r="B66" s="63">
        <v>7151</v>
      </c>
      <c r="C66" s="41">
        <v>13</v>
      </c>
      <c r="D66" s="63">
        <v>6925.5</v>
      </c>
      <c r="E66" s="41">
        <v>11</v>
      </c>
      <c r="F66" s="63">
        <v>6829</v>
      </c>
      <c r="G66" s="41">
        <v>13</v>
      </c>
      <c r="H66" s="63">
        <v>6802</v>
      </c>
      <c r="I66" s="49">
        <v>13</v>
      </c>
      <c r="J66" s="63">
        <v>6755.7</v>
      </c>
      <c r="K66" s="43">
        <v>11</v>
      </c>
      <c r="L66" s="63">
        <v>6471.5</v>
      </c>
      <c r="O66" s="76"/>
      <c r="P66" s="77"/>
      <c r="Q66" s="79"/>
      <c r="R66" s="80"/>
      <c r="S66" s="79"/>
    </row>
    <row r="67" spans="1:19" x14ac:dyDescent="0.35">
      <c r="A67" s="41">
        <v>14</v>
      </c>
      <c r="B67" s="63">
        <v>7154.5</v>
      </c>
      <c r="C67" s="41">
        <v>14</v>
      </c>
      <c r="D67" s="63">
        <v>6886.5</v>
      </c>
      <c r="E67" s="41">
        <v>12</v>
      </c>
      <c r="F67" s="63">
        <v>6856</v>
      </c>
      <c r="G67" s="41">
        <v>14</v>
      </c>
      <c r="H67" s="63">
        <v>6780.5</v>
      </c>
      <c r="I67" s="49">
        <v>14</v>
      </c>
      <c r="J67" s="63">
        <v>6695</v>
      </c>
      <c r="K67" s="43">
        <v>12</v>
      </c>
      <c r="L67" s="63">
        <v>6526.5</v>
      </c>
      <c r="O67" s="76"/>
      <c r="P67" s="77"/>
      <c r="Q67" s="79"/>
      <c r="R67" s="80"/>
      <c r="S67" s="79"/>
    </row>
    <row r="68" spans="1:19" x14ac:dyDescent="0.35">
      <c r="A68" s="41">
        <v>15</v>
      </c>
      <c r="B68" s="63">
        <v>7102.5</v>
      </c>
      <c r="C68" s="41">
        <v>15</v>
      </c>
      <c r="D68" s="63">
        <v>6852.5</v>
      </c>
      <c r="E68" s="41">
        <v>15</v>
      </c>
      <c r="F68" s="63">
        <v>6850</v>
      </c>
      <c r="G68" s="41">
        <v>15</v>
      </c>
      <c r="H68" s="63">
        <v>6781</v>
      </c>
      <c r="I68" s="49">
        <v>17</v>
      </c>
      <c r="J68" s="63">
        <v>6752</v>
      </c>
      <c r="K68" s="43">
        <v>15</v>
      </c>
      <c r="L68" s="63">
        <v>6560</v>
      </c>
      <c r="O68" s="76"/>
      <c r="P68" s="77"/>
      <c r="Q68" s="79"/>
      <c r="R68" s="80"/>
      <c r="S68" s="79"/>
    </row>
    <row r="69" spans="1:19" x14ac:dyDescent="0.35">
      <c r="A69" s="41">
        <v>16</v>
      </c>
      <c r="B69" s="63">
        <v>7112</v>
      </c>
      <c r="C69" s="41">
        <v>18</v>
      </c>
      <c r="D69" s="63">
        <v>6910</v>
      </c>
      <c r="E69" s="41">
        <v>16</v>
      </c>
      <c r="F69" s="63">
        <v>6895.5</v>
      </c>
      <c r="G69" s="41">
        <v>17</v>
      </c>
      <c r="H69" s="63">
        <v>6630</v>
      </c>
      <c r="I69" s="49">
        <v>18</v>
      </c>
      <c r="J69" s="63">
        <v>6684</v>
      </c>
      <c r="K69" s="43">
        <v>16</v>
      </c>
      <c r="L69" s="63">
        <v>6390</v>
      </c>
    </row>
    <row r="70" spans="1:19" x14ac:dyDescent="0.35">
      <c r="A70" s="41">
        <v>17</v>
      </c>
      <c r="B70" s="63">
        <v>7030.5</v>
      </c>
      <c r="C70" s="41">
        <v>19</v>
      </c>
      <c r="D70" s="63">
        <v>6934.5</v>
      </c>
      <c r="E70" s="41">
        <v>17</v>
      </c>
      <c r="F70" s="63">
        <v>6958.5</v>
      </c>
      <c r="G70" s="41">
        <v>17</v>
      </c>
      <c r="H70" s="63">
        <v>6629</v>
      </c>
      <c r="I70" s="49">
        <v>19</v>
      </c>
      <c r="J70" s="63">
        <v>6715</v>
      </c>
      <c r="K70" s="43">
        <v>17</v>
      </c>
      <c r="L70" s="63">
        <v>6306</v>
      </c>
    </row>
    <row r="71" spans="1:19" x14ac:dyDescent="0.35">
      <c r="A71" s="41">
        <v>18</v>
      </c>
      <c r="B71" s="63">
        <v>7026.5</v>
      </c>
      <c r="C71" s="41">
        <v>20</v>
      </c>
      <c r="D71" s="63">
        <v>6922</v>
      </c>
      <c r="E71" s="41">
        <v>18</v>
      </c>
      <c r="F71" s="63">
        <v>6920</v>
      </c>
      <c r="G71" s="41">
        <v>20</v>
      </c>
      <c r="H71" s="63">
        <v>6615</v>
      </c>
      <c r="I71" s="49">
        <v>20</v>
      </c>
      <c r="J71" s="63">
        <v>6688</v>
      </c>
      <c r="K71" s="43">
        <v>18</v>
      </c>
      <c r="L71" s="63">
        <v>6350.5</v>
      </c>
    </row>
    <row r="72" spans="1:19" x14ac:dyDescent="0.35">
      <c r="A72" s="41">
        <v>21</v>
      </c>
      <c r="B72" s="63">
        <v>6989.5</v>
      </c>
      <c r="C72" s="41">
        <v>21</v>
      </c>
      <c r="D72" s="63">
        <v>7003</v>
      </c>
      <c r="E72" s="41">
        <v>19</v>
      </c>
      <c r="F72" s="63">
        <v>6868.5</v>
      </c>
      <c r="G72" s="41">
        <v>21</v>
      </c>
      <c r="H72" s="63">
        <v>6660</v>
      </c>
      <c r="I72" s="49">
        <v>21</v>
      </c>
      <c r="J72" s="63">
        <v>6790</v>
      </c>
      <c r="K72" s="43">
        <v>19</v>
      </c>
      <c r="L72" s="63">
        <v>6445.5</v>
      </c>
    </row>
    <row r="73" spans="1:19" x14ac:dyDescent="0.35">
      <c r="A73" s="41">
        <v>22</v>
      </c>
      <c r="B73" s="63">
        <v>7060.5</v>
      </c>
      <c r="C73" s="41">
        <v>22</v>
      </c>
      <c r="D73" s="63">
        <v>7088</v>
      </c>
      <c r="E73" s="41">
        <v>22</v>
      </c>
      <c r="F73" s="63">
        <v>6782</v>
      </c>
      <c r="G73" s="41">
        <v>22</v>
      </c>
      <c r="H73" s="63">
        <v>6730.5</v>
      </c>
      <c r="I73" s="49">
        <v>24</v>
      </c>
      <c r="J73" s="63">
        <v>6731</v>
      </c>
      <c r="K73" s="43">
        <v>22</v>
      </c>
      <c r="L73" s="63">
        <v>6426.5</v>
      </c>
    </row>
    <row r="74" spans="1:19" x14ac:dyDescent="0.35">
      <c r="A74" s="41">
        <v>23</v>
      </c>
      <c r="B74" s="63">
        <v>7065</v>
      </c>
      <c r="C74" s="41">
        <v>25</v>
      </c>
      <c r="D74" s="63" t="s">
        <v>9</v>
      </c>
      <c r="E74" s="41">
        <v>23</v>
      </c>
      <c r="F74" s="63">
        <v>6797</v>
      </c>
      <c r="G74" s="41">
        <v>23</v>
      </c>
      <c r="H74" s="63">
        <v>6718.5</v>
      </c>
      <c r="I74" s="49">
        <v>25</v>
      </c>
      <c r="J74" s="63">
        <v>6696</v>
      </c>
      <c r="K74" s="43">
        <v>23</v>
      </c>
      <c r="L74" s="63">
        <v>6363</v>
      </c>
    </row>
    <row r="75" spans="1:19" x14ac:dyDescent="0.35">
      <c r="A75" s="41">
        <v>24</v>
      </c>
      <c r="B75" s="63">
        <v>7151</v>
      </c>
      <c r="C75" s="41">
        <v>26</v>
      </c>
      <c r="D75" s="63">
        <v>7096</v>
      </c>
      <c r="E75" s="41">
        <v>24</v>
      </c>
      <c r="F75" s="63">
        <v>6750</v>
      </c>
      <c r="G75" s="41">
        <v>24</v>
      </c>
      <c r="H75" s="63">
        <v>6759.5</v>
      </c>
      <c r="I75" s="49">
        <v>26</v>
      </c>
      <c r="J75" s="63">
        <v>6649</v>
      </c>
      <c r="K75" s="43">
        <v>24</v>
      </c>
      <c r="L75" s="63">
        <v>6361</v>
      </c>
    </row>
    <row r="76" spans="1:19" x14ac:dyDescent="0.35">
      <c r="A76" s="41">
        <v>25</v>
      </c>
      <c r="B76" s="63">
        <v>7183.5</v>
      </c>
      <c r="C76" s="41">
        <v>27</v>
      </c>
      <c r="D76" s="63">
        <v>7051</v>
      </c>
      <c r="E76" s="41">
        <v>25</v>
      </c>
      <c r="F76" s="63">
        <v>6766</v>
      </c>
      <c r="G76" s="41">
        <v>27</v>
      </c>
      <c r="H76" s="63">
        <v>6800.5</v>
      </c>
      <c r="I76" s="49">
        <v>27</v>
      </c>
      <c r="J76" s="63">
        <v>6621.5</v>
      </c>
      <c r="K76" s="43">
        <v>29</v>
      </c>
      <c r="L76" s="63">
        <v>6332</v>
      </c>
    </row>
    <row r="77" spans="1:19" x14ac:dyDescent="0.35">
      <c r="A77" s="41">
        <v>28</v>
      </c>
      <c r="B77" s="63">
        <v>7132</v>
      </c>
      <c r="C77" s="41">
        <v>28</v>
      </c>
      <c r="D77" s="63">
        <v>7033</v>
      </c>
      <c r="E77" s="41">
        <v>26</v>
      </c>
      <c r="F77" s="63">
        <v>6771</v>
      </c>
      <c r="G77" s="41">
        <v>28</v>
      </c>
      <c r="H77" s="63">
        <v>6859.5</v>
      </c>
      <c r="I77" s="42">
        <v>28</v>
      </c>
      <c r="J77" s="64">
        <v>6515.5</v>
      </c>
      <c r="K77" s="43">
        <v>30</v>
      </c>
      <c r="L77" s="63">
        <v>6330</v>
      </c>
    </row>
    <row r="78" spans="1:19" x14ac:dyDescent="0.35">
      <c r="A78" s="41">
        <v>29</v>
      </c>
      <c r="B78" s="63">
        <v>7124</v>
      </c>
      <c r="C78" s="42">
        <v>29</v>
      </c>
      <c r="D78" s="64">
        <v>6995</v>
      </c>
      <c r="E78" s="41">
        <v>29</v>
      </c>
      <c r="F78" s="63">
        <v>6735.5</v>
      </c>
      <c r="G78" s="41">
        <v>29</v>
      </c>
      <c r="H78" s="63">
        <v>6855</v>
      </c>
      <c r="I78" s="394"/>
      <c r="J78" s="395"/>
      <c r="K78" s="72">
        <v>31</v>
      </c>
      <c r="L78" s="64">
        <v>6359</v>
      </c>
    </row>
    <row r="79" spans="1:19" x14ac:dyDescent="0.35">
      <c r="A79" s="41">
        <v>30</v>
      </c>
      <c r="B79" s="63">
        <v>7090</v>
      </c>
      <c r="C79" s="394"/>
      <c r="D79" s="395"/>
      <c r="E79" s="42">
        <v>30</v>
      </c>
      <c r="F79" s="64">
        <v>6736</v>
      </c>
      <c r="G79" s="41">
        <v>30</v>
      </c>
      <c r="H79" s="63">
        <v>6785</v>
      </c>
      <c r="I79" s="394"/>
      <c r="J79" s="395"/>
      <c r="K79" s="394"/>
      <c r="L79" s="395"/>
    </row>
    <row r="80" spans="1:19" x14ac:dyDescent="0.35">
      <c r="A80" s="42">
        <v>31</v>
      </c>
      <c r="B80" s="64">
        <v>7135.5</v>
      </c>
      <c r="C80" s="394"/>
      <c r="D80" s="395"/>
      <c r="E80" s="394"/>
      <c r="F80" s="395"/>
      <c r="G80" s="42">
        <v>31</v>
      </c>
      <c r="H80" s="64">
        <v>6835.5</v>
      </c>
      <c r="I80" s="394"/>
      <c r="J80" s="395"/>
      <c r="K80" s="394"/>
      <c r="L80" s="395"/>
    </row>
    <row r="81" spans="1:16" ht="15" thickBot="1" x14ac:dyDescent="0.4">
      <c r="A81" s="384">
        <f>B82/L28-1</f>
        <v>4.389485858492459E-2</v>
      </c>
      <c r="B81" s="385"/>
      <c r="C81" s="384">
        <f>D82/B82-1</f>
        <v>-1.4679811396382747E-2</v>
      </c>
      <c r="D81" s="385"/>
      <c r="E81" s="384">
        <f>F82/D82-1</f>
        <v>-1.8330377937837317E-2</v>
      </c>
      <c r="F81" s="385"/>
      <c r="G81" s="384">
        <f>H82/F82-1</f>
        <v>-1.9357861036014001E-2</v>
      </c>
      <c r="H81" s="385"/>
      <c r="I81" s="384">
        <f>J82/H82-1</f>
        <v>-5.6476550226932654E-3</v>
      </c>
      <c r="J81" s="385"/>
      <c r="K81" s="384">
        <f>L82/J82-1</f>
        <v>-4.1512761501987239E-2</v>
      </c>
      <c r="L81" s="385"/>
    </row>
    <row r="82" spans="1:16" ht="15" thickBot="1" x14ac:dyDescent="0.4">
      <c r="A82" s="65" t="s">
        <v>10</v>
      </c>
      <c r="B82" s="66">
        <f>AVERAGE(B58:B80)</f>
        <v>7104.847826086957</v>
      </c>
      <c r="C82" s="55" t="s">
        <v>10</v>
      </c>
      <c r="D82" s="66">
        <f>AVERAGE(D58:D78)</f>
        <v>7000.55</v>
      </c>
      <c r="E82" s="55" t="s">
        <v>10</v>
      </c>
      <c r="F82" s="66">
        <f>AVERAGE(F58:F79)</f>
        <v>6872.227272727273</v>
      </c>
      <c r="G82" s="55" t="s">
        <v>10</v>
      </c>
      <c r="H82" s="66">
        <f>AVERAGE(H58:H80)</f>
        <v>6739.195652173913</v>
      </c>
      <c r="I82" s="56" t="s">
        <v>10</v>
      </c>
      <c r="J82" s="66">
        <f>AVERAGE(J58:J77)</f>
        <v>6701.1350000000002</v>
      </c>
      <c r="K82" s="55" t="s">
        <v>10</v>
      </c>
      <c r="L82" s="66">
        <f>AVERAGE(L58:L78)</f>
        <v>6422.9523809523807</v>
      </c>
    </row>
    <row r="83" spans="1:16" ht="15" thickBot="1" x14ac:dyDescent="0.4">
      <c r="A83" s="386">
        <f>B80/L24-1</f>
        <v>2.5952552120776406E-2</v>
      </c>
      <c r="B83" s="387"/>
      <c r="C83" s="388">
        <f>D78/B80-1</f>
        <v>-1.9690280989419051E-2</v>
      </c>
      <c r="D83" s="389"/>
      <c r="E83" s="388">
        <f>F79/D78-1</f>
        <v>-3.7026447462473189E-2</v>
      </c>
      <c r="F83" s="390"/>
      <c r="G83" s="388">
        <f>H80/F79-1</f>
        <v>1.477137767220893E-2</v>
      </c>
      <c r="H83" s="390"/>
      <c r="I83" s="391">
        <f>J77/H80-1</f>
        <v>-4.6814424694609058E-2</v>
      </c>
      <c r="J83" s="391"/>
      <c r="K83" s="392">
        <f>L78/J77-1</f>
        <v>-2.4019645460824135E-2</v>
      </c>
      <c r="L83" s="393"/>
    </row>
    <row r="84" spans="1:16" ht="15" thickBot="1" x14ac:dyDescent="0.4">
      <c r="A84" s="67" t="s">
        <v>11</v>
      </c>
      <c r="B84" s="67">
        <f>B82*A85</f>
        <v>15807.575928260871</v>
      </c>
      <c r="C84" s="67" t="s">
        <v>11</v>
      </c>
      <c r="D84" s="99">
        <f>D82*C85</f>
        <v>15880.047620000001</v>
      </c>
      <c r="E84" s="67" t="s">
        <v>11</v>
      </c>
      <c r="F84" s="67">
        <f>F82*E85</f>
        <v>16046.650681818182</v>
      </c>
      <c r="G84" s="67" t="s">
        <v>11</v>
      </c>
      <c r="H84" s="67">
        <f>H82*G85</f>
        <v>16515.746784782608</v>
      </c>
      <c r="I84" s="67" t="s">
        <v>11</v>
      </c>
      <c r="J84" s="67">
        <f>J82*I85</f>
        <v>17154.905600000002</v>
      </c>
      <c r="K84" s="67" t="s">
        <v>11</v>
      </c>
      <c r="L84" s="67">
        <f>L82*K85</f>
        <v>16968.797895238094</v>
      </c>
      <c r="N84" s="79"/>
    </row>
    <row r="85" spans="1:16" ht="15" thickBot="1" x14ac:dyDescent="0.4">
      <c r="A85" s="67">
        <v>2.2248999999999999</v>
      </c>
      <c r="B85" s="73">
        <f>B84/L30-1</f>
        <v>3.9549579655177913E-2</v>
      </c>
      <c r="C85" s="67">
        <v>2.2684000000000002</v>
      </c>
      <c r="D85" s="73">
        <f>D84/B84-1</f>
        <v>4.5846176585218057E-3</v>
      </c>
      <c r="E85" s="67">
        <v>2.335</v>
      </c>
      <c r="F85" s="73">
        <f>F84/D84-1</f>
        <v>1.0491345227980009E-2</v>
      </c>
      <c r="G85" s="67">
        <v>2.4506999999999999</v>
      </c>
      <c r="H85" s="73">
        <f>H84/F84-1</f>
        <v>2.9233271931066618E-2</v>
      </c>
      <c r="I85" s="67">
        <v>2.56</v>
      </c>
      <c r="J85" s="73">
        <f>J84/H84-1</f>
        <v>3.8699964557842748E-2</v>
      </c>
      <c r="K85" s="67">
        <v>2.6419000000000001</v>
      </c>
      <c r="L85" s="73">
        <f>L84/J84-1</f>
        <v>-1.0848658051601734E-2</v>
      </c>
      <c r="O85" s="80"/>
      <c r="P85" s="80"/>
    </row>
    <row r="86" spans="1:16" x14ac:dyDescent="0.35">
      <c r="A86" s="381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3"/>
    </row>
    <row r="87" spans="1:16" x14ac:dyDescent="0.35">
      <c r="A87" s="90">
        <v>41639</v>
      </c>
      <c r="B87" s="75">
        <v>7394.5</v>
      </c>
      <c r="C87" s="38"/>
      <c r="D87" s="36"/>
      <c r="E87" s="37"/>
      <c r="F87" s="37"/>
      <c r="G87" s="36"/>
      <c r="H87" s="37"/>
      <c r="I87" s="36"/>
      <c r="J87" s="39"/>
      <c r="K87" s="38"/>
      <c r="L87" s="100">
        <f>L82/B88-1</f>
        <v>-0.10828863438558078</v>
      </c>
    </row>
    <row r="88" spans="1:16" x14ac:dyDescent="0.35">
      <c r="A88" s="74" t="s">
        <v>33</v>
      </c>
      <c r="B88" s="75">
        <v>7202.95</v>
      </c>
      <c r="C88" s="38"/>
      <c r="D88" s="36"/>
      <c r="E88" s="37"/>
      <c r="G88" s="78"/>
      <c r="H88" s="78"/>
      <c r="I88" s="78"/>
      <c r="J88" s="78"/>
      <c r="K88" s="78"/>
      <c r="L88" s="100">
        <f>L84/B89-1</f>
        <v>3.412665821932892E-3</v>
      </c>
    </row>
    <row r="89" spans="1:16" x14ac:dyDescent="0.35">
      <c r="A89" s="74" t="s">
        <v>34</v>
      </c>
      <c r="B89" s="75">
        <v>16911.086009999999</v>
      </c>
      <c r="C89" s="38"/>
      <c r="D89" s="36"/>
      <c r="E89" s="37"/>
      <c r="F89" s="81"/>
      <c r="G89" s="81"/>
      <c r="H89" s="94"/>
      <c r="I89" s="36"/>
      <c r="J89" s="97"/>
      <c r="K89" s="38"/>
      <c r="L89" s="38"/>
    </row>
    <row r="90" spans="1:16" x14ac:dyDescent="0.35">
      <c r="F90" s="81"/>
      <c r="G90" s="81"/>
      <c r="H90" s="95"/>
      <c r="I90" s="96"/>
      <c r="J90" s="97"/>
      <c r="K90" s="96"/>
    </row>
  </sheetData>
  <mergeCells count="69">
    <mergeCell ref="A53:B53"/>
    <mergeCell ref="A33:B33"/>
    <mergeCell ref="C33:D33"/>
    <mergeCell ref="A1:L1"/>
    <mergeCell ref="A2:B2"/>
    <mergeCell ref="C2:D2"/>
    <mergeCell ref="E2:F2"/>
    <mergeCell ref="G2:H2"/>
    <mergeCell ref="I2:J2"/>
    <mergeCell ref="K2:L2"/>
    <mergeCell ref="C26:D26"/>
    <mergeCell ref="C27:D27"/>
    <mergeCell ref="I25:J25"/>
    <mergeCell ref="I26:J26"/>
    <mergeCell ref="I33:J33"/>
    <mergeCell ref="K25:L25"/>
    <mergeCell ref="E25:F25"/>
    <mergeCell ref="C53:D53"/>
    <mergeCell ref="E53:F53"/>
    <mergeCell ref="K29:L29"/>
    <mergeCell ref="C29:D29"/>
    <mergeCell ref="E29:F29"/>
    <mergeCell ref="I29:J29"/>
    <mergeCell ref="K33:L33"/>
    <mergeCell ref="K26:L26"/>
    <mergeCell ref="G26:H26"/>
    <mergeCell ref="E27:F27"/>
    <mergeCell ref="I27:J27"/>
    <mergeCell ref="G27:H27"/>
    <mergeCell ref="K27:L27"/>
    <mergeCell ref="C80:D80"/>
    <mergeCell ref="E80:F80"/>
    <mergeCell ref="I80:J80"/>
    <mergeCell ref="K80:L80"/>
    <mergeCell ref="C24:D24"/>
    <mergeCell ref="I53:J53"/>
    <mergeCell ref="C25:D25"/>
    <mergeCell ref="E26:F26"/>
    <mergeCell ref="G29:H29"/>
    <mergeCell ref="E33:F33"/>
    <mergeCell ref="A32:L32"/>
    <mergeCell ref="A27:B27"/>
    <mergeCell ref="A29:B29"/>
    <mergeCell ref="K53:L53"/>
    <mergeCell ref="G53:H53"/>
    <mergeCell ref="G33:H33"/>
    <mergeCell ref="C79:D79"/>
    <mergeCell ref="I79:J79"/>
    <mergeCell ref="K79:L79"/>
    <mergeCell ref="A56:B56"/>
    <mergeCell ref="C56:D56"/>
    <mergeCell ref="E56:F56"/>
    <mergeCell ref="G56:H56"/>
    <mergeCell ref="I56:J56"/>
    <mergeCell ref="K56:L56"/>
    <mergeCell ref="I78:J78"/>
    <mergeCell ref="A86:L86"/>
    <mergeCell ref="K81:L81"/>
    <mergeCell ref="A83:B83"/>
    <mergeCell ref="C83:D83"/>
    <mergeCell ref="E83:F83"/>
    <mergeCell ref="G83:H83"/>
    <mergeCell ref="I83:J83"/>
    <mergeCell ref="K83:L83"/>
    <mergeCell ref="A81:B81"/>
    <mergeCell ref="C81:D81"/>
    <mergeCell ref="E81:F81"/>
    <mergeCell ref="G81:H81"/>
    <mergeCell ref="I81:J81"/>
  </mergeCells>
  <pageMargins left="0.51181102362204722" right="0.51181102362204722" top="0.59055118110236227" bottom="0.59055118110236227" header="0.31496062992125984" footer="0.31496062992125984"/>
  <pageSetup paperSize="9" scale="80" orientation="portrait" r:id="rId1"/>
  <headerFooter>
    <oddHeader>&amp;C&amp;"-,Negrito"&amp;12ACOMPANHAMENTO COBRE LME - 2014&amp;R&amp;D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0"/>
  <sheetViews>
    <sheetView showGridLines="0" topLeftCell="A62" zoomScaleNormal="100" workbookViewId="0">
      <selection activeCell="L84" sqref="L84"/>
    </sheetView>
  </sheetViews>
  <sheetFormatPr defaultRowHeight="14.5" x14ac:dyDescent="0.35"/>
  <cols>
    <col min="1" max="1" width="8.453125" customWidth="1"/>
    <col min="2" max="2" width="12.1796875" customWidth="1"/>
    <col min="3" max="3" width="7" bestFit="1" customWidth="1"/>
    <col min="4" max="4" width="11.453125" bestFit="1" customWidth="1"/>
    <col min="5" max="5" width="7" bestFit="1" customWidth="1"/>
    <col min="6" max="6" width="11.453125" bestFit="1" customWidth="1"/>
    <col min="7" max="7" width="7" customWidth="1"/>
    <col min="8" max="8" width="11.453125" bestFit="1" customWidth="1"/>
    <col min="9" max="9" width="7" bestFit="1" customWidth="1"/>
    <col min="10" max="10" width="11.81640625" customWidth="1"/>
    <col min="11" max="11" width="7" bestFit="1" customWidth="1"/>
    <col min="12" max="12" width="12.26953125" customWidth="1"/>
    <col min="16" max="16" width="10.1796875" bestFit="1" customWidth="1"/>
    <col min="17" max="17" width="12.1796875" bestFit="1" customWidth="1"/>
    <col min="18" max="18" width="14.1796875" customWidth="1"/>
    <col min="20" max="20" width="15.1796875" bestFit="1" customWidth="1"/>
  </cols>
  <sheetData>
    <row r="1" spans="1:20" ht="15" thickBot="1" x14ac:dyDescent="0.4">
      <c r="A1" s="381" t="s">
        <v>46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82" t="s">
        <v>38</v>
      </c>
    </row>
    <row r="2" spans="1:20" x14ac:dyDescent="0.35">
      <c r="A2" s="396" t="s">
        <v>80</v>
      </c>
      <c r="B2" s="397"/>
      <c r="C2" s="405" t="s">
        <v>79</v>
      </c>
      <c r="D2" s="406"/>
      <c r="E2" s="396" t="s">
        <v>78</v>
      </c>
      <c r="F2" s="397"/>
      <c r="G2" s="396" t="s">
        <v>77</v>
      </c>
      <c r="H2" s="397"/>
      <c r="I2" s="398" t="s">
        <v>76</v>
      </c>
      <c r="J2" s="398"/>
      <c r="K2" s="396" t="s">
        <v>75</v>
      </c>
      <c r="L2" s="397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40" t="s">
        <v>8</v>
      </c>
      <c r="O3" s="81">
        <v>41275</v>
      </c>
      <c r="P3" s="77">
        <v>8049.2454545454557</v>
      </c>
      <c r="Q3" s="79">
        <f>P3/7962.58-1</f>
        <v>1.0884092159256786E-2</v>
      </c>
      <c r="R3" s="80">
        <v>16364.920933636367</v>
      </c>
      <c r="S3" s="79">
        <f>R3/16546.24-1</f>
        <v>-1.0958324450971002E-2</v>
      </c>
      <c r="T3" s="105"/>
    </row>
    <row r="4" spans="1:20" x14ac:dyDescent="0.35">
      <c r="A4" s="41">
        <v>2</v>
      </c>
      <c r="B4" s="47">
        <v>6309</v>
      </c>
      <c r="C4" s="41">
        <v>2</v>
      </c>
      <c r="D4" s="63">
        <v>5535.5</v>
      </c>
      <c r="E4" s="41">
        <v>2</v>
      </c>
      <c r="F4" s="63">
        <v>5896</v>
      </c>
      <c r="G4" s="41">
        <v>1</v>
      </c>
      <c r="H4" s="63">
        <v>6019.5</v>
      </c>
      <c r="I4" s="49">
        <v>1</v>
      </c>
      <c r="J4" s="63">
        <v>6362</v>
      </c>
      <c r="K4" s="41">
        <v>1</v>
      </c>
      <c r="L4" s="63">
        <v>5970.5</v>
      </c>
      <c r="O4" s="81">
        <v>41306</v>
      </c>
      <c r="P4" s="77">
        <v>8070.4750000000004</v>
      </c>
      <c r="Q4" s="79">
        <f>P4/P3-1</f>
        <v>2.6374578306040952E-3</v>
      </c>
      <c r="R4" s="80">
        <v>15912.555557500002</v>
      </c>
      <c r="S4" s="79">
        <f>R4/R3-1</f>
        <v>-2.7642380795532939E-2</v>
      </c>
      <c r="T4" s="105"/>
    </row>
    <row r="5" spans="1:20" x14ac:dyDescent="0.35">
      <c r="A5" s="41">
        <v>5</v>
      </c>
      <c r="B5" s="63">
        <v>6216</v>
      </c>
      <c r="C5" s="41">
        <v>3</v>
      </c>
      <c r="D5" s="63">
        <v>5695</v>
      </c>
      <c r="E5" s="41">
        <v>3</v>
      </c>
      <c r="F5" s="63">
        <v>5855</v>
      </c>
      <c r="G5" s="41">
        <v>2</v>
      </c>
      <c r="H5" s="63">
        <v>6001.5</v>
      </c>
      <c r="I5" s="49">
        <v>5</v>
      </c>
      <c r="J5" s="63">
        <v>6410</v>
      </c>
      <c r="K5" s="41">
        <v>2</v>
      </c>
      <c r="L5" s="63">
        <v>5998.5</v>
      </c>
      <c r="O5" s="81">
        <v>41334</v>
      </c>
      <c r="P5" s="77">
        <v>7662.4</v>
      </c>
      <c r="Q5" s="79">
        <f t="shared" ref="Q5:Q26" si="0">P5/P4-1</f>
        <v>-5.0563938305985823E-2</v>
      </c>
      <c r="R5" s="80">
        <v>15212.928959999999</v>
      </c>
      <c r="S5" s="79">
        <f t="shared" ref="S5:S25" si="1">R5/R4-1</f>
        <v>-4.396695395481276E-2</v>
      </c>
      <c r="T5" s="105"/>
    </row>
    <row r="6" spans="1:20" x14ac:dyDescent="0.35">
      <c r="A6" s="41">
        <v>6</v>
      </c>
      <c r="B6" s="63">
        <v>6191</v>
      </c>
      <c r="C6" s="41">
        <v>4</v>
      </c>
      <c r="D6" s="63">
        <v>5708</v>
      </c>
      <c r="E6" s="41">
        <v>4</v>
      </c>
      <c r="F6" s="63">
        <v>5882</v>
      </c>
      <c r="G6" s="41">
        <v>3</v>
      </c>
      <c r="H6" s="63" t="s">
        <v>65</v>
      </c>
      <c r="I6" s="49">
        <v>6</v>
      </c>
      <c r="J6" s="63">
        <v>6400.5</v>
      </c>
      <c r="K6" s="41">
        <v>3</v>
      </c>
      <c r="L6" s="63">
        <v>5992</v>
      </c>
      <c r="O6" s="81">
        <v>41365</v>
      </c>
      <c r="P6" s="77">
        <v>7203.3571428571431</v>
      </c>
      <c r="Q6" s="79">
        <f t="shared" si="0"/>
        <v>-5.9908495659696248E-2</v>
      </c>
      <c r="R6" s="80">
        <v>14413.917642857143</v>
      </c>
      <c r="S6" s="79">
        <f t="shared" si="1"/>
        <v>-5.2521859481742816E-2</v>
      </c>
      <c r="T6" s="105"/>
    </row>
    <row r="7" spans="1:20" x14ac:dyDescent="0.35">
      <c r="A7" s="41">
        <v>7</v>
      </c>
      <c r="B7" s="63">
        <v>6170</v>
      </c>
      <c r="C7" s="41">
        <v>5</v>
      </c>
      <c r="D7" s="63">
        <v>5595</v>
      </c>
      <c r="E7" s="41">
        <v>5</v>
      </c>
      <c r="F7" s="63">
        <v>5856</v>
      </c>
      <c r="G7" s="41">
        <v>6</v>
      </c>
      <c r="H7" s="63" t="s">
        <v>65</v>
      </c>
      <c r="I7" s="49">
        <v>7</v>
      </c>
      <c r="J7" s="63">
        <v>6437</v>
      </c>
      <c r="K7" s="41">
        <v>4</v>
      </c>
      <c r="L7" s="63">
        <v>5954</v>
      </c>
      <c r="O7" s="81">
        <v>41395</v>
      </c>
      <c r="P7" s="77">
        <v>7229.1428571428569</v>
      </c>
      <c r="Q7" s="79">
        <f t="shared" si="0"/>
        <v>3.5796801094727382E-3</v>
      </c>
      <c r="R7" s="80">
        <v>14704.07657142857</v>
      </c>
      <c r="S7" s="79">
        <f t="shared" si="1"/>
        <v>2.0130469436615339E-2</v>
      </c>
      <c r="T7" s="105"/>
    </row>
    <row r="8" spans="1:20" x14ac:dyDescent="0.35">
      <c r="A8" s="41">
        <v>8</v>
      </c>
      <c r="B8" s="63">
        <v>6230.5</v>
      </c>
      <c r="C8" s="41">
        <v>6</v>
      </c>
      <c r="D8" s="63">
        <v>5692</v>
      </c>
      <c r="E8" s="41">
        <v>6</v>
      </c>
      <c r="F8" s="63">
        <v>5826.5</v>
      </c>
      <c r="G8" s="41">
        <v>7</v>
      </c>
      <c r="H8" s="63">
        <v>6041</v>
      </c>
      <c r="I8" s="49">
        <v>8</v>
      </c>
      <c r="J8" s="63">
        <v>6396.5</v>
      </c>
      <c r="K8" s="41">
        <v>5</v>
      </c>
      <c r="L8" s="63">
        <v>5924.5</v>
      </c>
      <c r="O8" s="81">
        <v>41426</v>
      </c>
      <c r="P8" s="77">
        <v>7004.05</v>
      </c>
      <c r="Q8" s="79">
        <f t="shared" si="0"/>
        <v>-3.1136866650857575E-2</v>
      </c>
      <c r="R8" s="80">
        <v>15198.788500000001</v>
      </c>
      <c r="S8" s="79">
        <f t="shared" si="1"/>
        <v>3.3644542461966243E-2</v>
      </c>
      <c r="T8" s="105"/>
    </row>
    <row r="9" spans="1:20" x14ac:dyDescent="0.35">
      <c r="A9" s="41">
        <v>9</v>
      </c>
      <c r="B9" s="63">
        <v>6151</v>
      </c>
      <c r="C9" s="41">
        <v>9</v>
      </c>
      <c r="D9" s="63">
        <v>5666</v>
      </c>
      <c r="E9" s="41">
        <v>9</v>
      </c>
      <c r="F9" s="63">
        <v>5800</v>
      </c>
      <c r="G9" s="41">
        <v>8</v>
      </c>
      <c r="H9" s="63">
        <v>6055</v>
      </c>
      <c r="I9" s="49">
        <v>11</v>
      </c>
      <c r="J9" s="63">
        <v>6363</v>
      </c>
      <c r="K9" s="41">
        <v>8</v>
      </c>
      <c r="L9" s="63">
        <v>5915</v>
      </c>
      <c r="O9" s="81">
        <v>41456</v>
      </c>
      <c r="P9" s="77">
        <v>6896.977272727273</v>
      </c>
      <c r="Q9" s="79">
        <f t="shared" si="0"/>
        <v>-1.528725912475315E-2</v>
      </c>
      <c r="R9" s="80">
        <v>15536.682762727272</v>
      </c>
      <c r="S9" s="79">
        <f t="shared" si="1"/>
        <v>2.223165765661328E-2</v>
      </c>
      <c r="T9" s="105"/>
    </row>
    <row r="10" spans="1:20" x14ac:dyDescent="0.35">
      <c r="A10" s="41">
        <v>12</v>
      </c>
      <c r="B10" s="63">
        <v>6131</v>
      </c>
      <c r="C10" s="41">
        <v>10</v>
      </c>
      <c r="D10" s="63">
        <v>5591</v>
      </c>
      <c r="E10" s="41">
        <v>10</v>
      </c>
      <c r="F10" s="63">
        <v>5783.5</v>
      </c>
      <c r="G10" s="41">
        <v>9</v>
      </c>
      <c r="H10" s="63">
        <v>6050</v>
      </c>
      <c r="I10" s="49">
        <v>12</v>
      </c>
      <c r="J10" s="63">
        <v>6448</v>
      </c>
      <c r="K10" s="41">
        <v>9</v>
      </c>
      <c r="L10" s="63">
        <v>5989</v>
      </c>
      <c r="O10" s="81">
        <v>41487</v>
      </c>
      <c r="P10" s="77">
        <v>7182.2619047619046</v>
      </c>
      <c r="Q10" s="79">
        <f t="shared" si="0"/>
        <v>4.1363719315522962E-2</v>
      </c>
      <c r="R10" s="80">
        <v>16802.901726190477</v>
      </c>
      <c r="S10" s="79">
        <f t="shared" si="1"/>
        <v>8.1498668847180378E-2</v>
      </c>
      <c r="T10" s="105"/>
    </row>
    <row r="11" spans="1:20" x14ac:dyDescent="0.35">
      <c r="A11" s="41">
        <v>13</v>
      </c>
      <c r="B11" s="63">
        <v>5915</v>
      </c>
      <c r="C11" s="41">
        <v>11</v>
      </c>
      <c r="D11" s="63">
        <v>5645.5</v>
      </c>
      <c r="E11" s="41">
        <v>11</v>
      </c>
      <c r="F11" s="63">
        <v>5786</v>
      </c>
      <c r="G11" s="41">
        <v>10</v>
      </c>
      <c r="H11" s="63">
        <v>6055</v>
      </c>
      <c r="I11" s="49">
        <v>13</v>
      </c>
      <c r="J11" s="63">
        <v>6416</v>
      </c>
      <c r="K11" s="41">
        <v>10</v>
      </c>
      <c r="L11" s="63">
        <v>6045.5</v>
      </c>
      <c r="O11" s="81">
        <v>41518</v>
      </c>
      <c r="P11" s="77">
        <v>7161.4285714285716</v>
      </c>
      <c r="Q11" s="79">
        <f t="shared" si="0"/>
        <v>-2.9006646665892255E-3</v>
      </c>
      <c r="R11" s="80">
        <v>16264.320428571429</v>
      </c>
      <c r="S11" s="79">
        <f t="shared" si="1"/>
        <v>-3.2052874342505255E-2</v>
      </c>
      <c r="T11" s="105"/>
    </row>
    <row r="12" spans="1:20" x14ac:dyDescent="0.35">
      <c r="A12" s="41">
        <v>14</v>
      </c>
      <c r="B12" s="63">
        <v>5627</v>
      </c>
      <c r="C12" s="41">
        <v>12</v>
      </c>
      <c r="D12" s="63">
        <v>5695</v>
      </c>
      <c r="E12" s="41">
        <v>12</v>
      </c>
      <c r="F12" s="63">
        <v>5865.5</v>
      </c>
      <c r="G12" s="41">
        <v>13</v>
      </c>
      <c r="H12" s="63">
        <v>6011.55</v>
      </c>
      <c r="I12" s="49">
        <v>14</v>
      </c>
      <c r="J12" s="63">
        <v>6399</v>
      </c>
      <c r="K12" s="41">
        <v>11</v>
      </c>
      <c r="L12" s="63">
        <v>5906</v>
      </c>
      <c r="O12" s="81">
        <v>41548</v>
      </c>
      <c r="P12" s="77">
        <v>7188.782608695652</v>
      </c>
      <c r="Q12" s="79">
        <f t="shared" si="0"/>
        <v>3.8196341685530211E-3</v>
      </c>
      <c r="R12" s="80">
        <v>15720.429808695651</v>
      </c>
      <c r="S12" s="79">
        <f>R12/R11-1</f>
        <v>-3.3440722117127564E-2</v>
      </c>
      <c r="T12" s="105"/>
    </row>
    <row r="13" spans="1:20" x14ac:dyDescent="0.35">
      <c r="A13" s="41">
        <v>15</v>
      </c>
      <c r="B13" s="63">
        <v>5719</v>
      </c>
      <c r="C13" s="41">
        <v>13</v>
      </c>
      <c r="D13" s="63">
        <v>5731</v>
      </c>
      <c r="E13" s="41">
        <v>13</v>
      </c>
      <c r="F13" s="63">
        <v>5860</v>
      </c>
      <c r="G13" s="41">
        <v>14</v>
      </c>
      <c r="H13" s="63">
        <v>5916.5</v>
      </c>
      <c r="I13" s="49">
        <v>15</v>
      </c>
      <c r="J13" s="63">
        <v>6356</v>
      </c>
      <c r="K13" s="41">
        <v>12</v>
      </c>
      <c r="L13" s="63">
        <v>5888.5</v>
      </c>
      <c r="O13" s="81">
        <v>41579</v>
      </c>
      <c r="P13" s="77">
        <v>7066.4047619047615</v>
      </c>
      <c r="Q13" s="79">
        <f t="shared" si="0"/>
        <v>-1.7023445199589204E-2</v>
      </c>
      <c r="R13" s="80">
        <v>16235.77158095238</v>
      </c>
      <c r="S13" s="79">
        <f>R13/R12-1</f>
        <v>3.2781659186676304E-2</v>
      </c>
      <c r="T13" s="105"/>
    </row>
    <row r="14" spans="1:20" x14ac:dyDescent="0.35">
      <c r="A14" s="41">
        <v>16</v>
      </c>
      <c r="B14" s="63">
        <v>5660</v>
      </c>
      <c r="C14" s="41">
        <v>16</v>
      </c>
      <c r="D14" s="63">
        <v>5712</v>
      </c>
      <c r="E14" s="41">
        <v>16</v>
      </c>
      <c r="F14" s="63">
        <v>5853</v>
      </c>
      <c r="G14" s="41">
        <v>15</v>
      </c>
      <c r="H14" s="63">
        <v>5920.5</v>
      </c>
      <c r="I14" s="49">
        <v>18</v>
      </c>
      <c r="J14" s="63">
        <v>6383</v>
      </c>
      <c r="K14" s="41">
        <v>15</v>
      </c>
      <c r="L14" s="63">
        <v>5760.5</v>
      </c>
      <c r="O14" s="81">
        <v>41609</v>
      </c>
      <c r="P14" s="77">
        <v>7202.95</v>
      </c>
      <c r="Q14" s="79">
        <f t="shared" si="0"/>
        <v>1.9323155507785073E-2</v>
      </c>
      <c r="R14" s="80">
        <v>16911.086009999999</v>
      </c>
      <c r="S14" s="79">
        <f t="shared" si="1"/>
        <v>4.1594230719523617E-2</v>
      </c>
      <c r="T14" s="105"/>
    </row>
    <row r="15" spans="1:20" x14ac:dyDescent="0.35">
      <c r="A15" s="41">
        <v>19</v>
      </c>
      <c r="B15" s="63">
        <v>5671</v>
      </c>
      <c r="C15" s="41">
        <v>17</v>
      </c>
      <c r="D15" s="63">
        <v>5665.5</v>
      </c>
      <c r="E15" s="41">
        <v>17</v>
      </c>
      <c r="F15" s="63">
        <v>5765</v>
      </c>
      <c r="G15" s="41">
        <v>16</v>
      </c>
      <c r="H15" s="63">
        <v>6054</v>
      </c>
      <c r="I15" s="49">
        <v>19</v>
      </c>
      <c r="J15" s="63">
        <v>6270</v>
      </c>
      <c r="K15" s="41">
        <v>16</v>
      </c>
      <c r="L15" s="63">
        <v>5752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f t="shared" ref="S15:S22" si="2">R15/R14-1</f>
        <v>2.7041961285715121E-2</v>
      </c>
      <c r="T15" s="104">
        <f>R15/R14-1</f>
        <v>2.7041961285715121E-2</v>
      </c>
    </row>
    <row r="16" spans="1:20" x14ac:dyDescent="0.35">
      <c r="A16" s="41">
        <v>20</v>
      </c>
      <c r="B16" s="63">
        <v>5760.5</v>
      </c>
      <c r="C16" s="41">
        <v>18</v>
      </c>
      <c r="D16" s="63">
        <v>5690</v>
      </c>
      <c r="E16" s="41">
        <v>18</v>
      </c>
      <c r="F16" s="63">
        <v>5692.5</v>
      </c>
      <c r="G16" s="41">
        <v>17</v>
      </c>
      <c r="H16" s="63">
        <v>6081</v>
      </c>
      <c r="I16" s="49">
        <v>20</v>
      </c>
      <c r="J16" s="63">
        <v>6208</v>
      </c>
      <c r="K16" s="41">
        <v>17</v>
      </c>
      <c r="L16" s="63">
        <v>5749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f t="shared" si="2"/>
        <v>-1.7590035762156231E-2</v>
      </c>
      <c r="T16" s="104">
        <f>R16/R$14-1</f>
        <v>8.976256457464471E-3</v>
      </c>
    </row>
    <row r="17" spans="1:20" x14ac:dyDescent="0.35">
      <c r="A17" s="41">
        <v>21</v>
      </c>
      <c r="B17" s="63">
        <v>5630.5</v>
      </c>
      <c r="C17" s="41">
        <v>19</v>
      </c>
      <c r="D17" s="63">
        <v>5720</v>
      </c>
      <c r="E17" s="41">
        <v>19</v>
      </c>
      <c r="F17" s="63">
        <v>5835</v>
      </c>
      <c r="G17" s="41">
        <v>20</v>
      </c>
      <c r="H17" s="63">
        <v>6002</v>
      </c>
      <c r="I17" s="49">
        <v>21</v>
      </c>
      <c r="J17" s="63">
        <v>6240</v>
      </c>
      <c r="K17" s="41">
        <v>18</v>
      </c>
      <c r="L17" s="63">
        <v>5761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f t="shared" si="2"/>
        <v>-9.1127199908665579E-2</v>
      </c>
      <c r="T17" s="104">
        <f t="shared" ref="T17:T25" si="3">R17/R$14-1</f>
        <v>-8.2968924567832003E-2</v>
      </c>
    </row>
    <row r="18" spans="1:20" x14ac:dyDescent="0.35">
      <c r="A18" s="41">
        <v>22</v>
      </c>
      <c r="B18" s="63">
        <v>5742</v>
      </c>
      <c r="C18" s="41">
        <v>20</v>
      </c>
      <c r="D18" s="63">
        <v>5707</v>
      </c>
      <c r="E18" s="41">
        <v>20</v>
      </c>
      <c r="F18" s="63">
        <v>5920</v>
      </c>
      <c r="G18" s="41">
        <v>21</v>
      </c>
      <c r="H18" s="63">
        <v>5975</v>
      </c>
      <c r="I18" s="49">
        <v>22</v>
      </c>
      <c r="J18" s="63">
        <v>6197.5</v>
      </c>
      <c r="K18" s="41">
        <v>19</v>
      </c>
      <c r="L18" s="63">
        <v>5663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f t="shared" si="2"/>
        <v>-3.9423034716904004E-2</v>
      </c>
      <c r="T18" s="104">
        <f t="shared" si="3"/>
        <v>-0.11912107249107418</v>
      </c>
    </row>
    <row r="19" spans="1:20" x14ac:dyDescent="0.35">
      <c r="A19" s="41">
        <v>23</v>
      </c>
      <c r="B19" s="63">
        <v>5581</v>
      </c>
      <c r="C19" s="41">
        <v>23</v>
      </c>
      <c r="D19" s="63">
        <v>5657</v>
      </c>
      <c r="E19" s="41">
        <v>23</v>
      </c>
      <c r="F19" s="63">
        <v>6093.5</v>
      </c>
      <c r="G19" s="41">
        <v>22</v>
      </c>
      <c r="H19" s="63">
        <v>5927</v>
      </c>
      <c r="I19" s="49">
        <v>26</v>
      </c>
      <c r="J19" s="63">
        <v>6134.5</v>
      </c>
      <c r="K19" s="41">
        <v>22</v>
      </c>
      <c r="L19" s="63">
        <v>5646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f t="shared" si="2"/>
        <v>2.6392260343396146E-2</v>
      </c>
      <c r="T19" s="104">
        <f t="shared" si="3"/>
        <v>-9.5872686505247051E-2</v>
      </c>
    </row>
    <row r="20" spans="1:20" x14ac:dyDescent="0.35">
      <c r="A20" s="41">
        <v>26</v>
      </c>
      <c r="B20" s="63">
        <v>5490</v>
      </c>
      <c r="C20" s="41">
        <v>24</v>
      </c>
      <c r="D20" s="63">
        <v>5715</v>
      </c>
      <c r="E20" s="41">
        <v>24</v>
      </c>
      <c r="F20" s="63">
        <v>6128</v>
      </c>
      <c r="G20" s="41">
        <v>23</v>
      </c>
      <c r="H20" s="63">
        <v>5935</v>
      </c>
      <c r="I20" s="49">
        <v>27</v>
      </c>
      <c r="J20" s="63">
        <v>6085</v>
      </c>
      <c r="K20" s="41">
        <v>23</v>
      </c>
      <c r="L20" s="63">
        <v>5725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f t="shared" si="2"/>
        <v>-5.4674959472031937E-3</v>
      </c>
      <c r="T20" s="104">
        <f t="shared" si="3"/>
        <v>-0.10081599892753534</v>
      </c>
    </row>
    <row r="21" spans="1:20" x14ac:dyDescent="0.35">
      <c r="A21" s="41">
        <v>27</v>
      </c>
      <c r="B21" s="63">
        <v>5557</v>
      </c>
      <c r="C21" s="41">
        <v>25</v>
      </c>
      <c r="D21" s="63">
        <v>5805</v>
      </c>
      <c r="E21" s="41">
        <v>25</v>
      </c>
      <c r="F21" s="63">
        <v>6134.5</v>
      </c>
      <c r="G21" s="41">
        <v>24</v>
      </c>
      <c r="H21" s="63">
        <v>6025.5</v>
      </c>
      <c r="I21" s="49">
        <v>28</v>
      </c>
      <c r="J21" s="63">
        <v>6117</v>
      </c>
      <c r="K21" s="41">
        <v>24</v>
      </c>
      <c r="L21" s="63">
        <v>5765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f t="shared" si="2"/>
        <v>3.9549579655177913E-2</v>
      </c>
      <c r="T21" s="104">
        <f t="shared" si="3"/>
        <v>-6.5253649652458279E-2</v>
      </c>
    </row>
    <row r="22" spans="1:20" x14ac:dyDescent="0.35">
      <c r="A22" s="41">
        <v>28</v>
      </c>
      <c r="B22" s="63">
        <v>5485.5</v>
      </c>
      <c r="C22" s="41">
        <v>26</v>
      </c>
      <c r="D22" s="63">
        <v>5935.5</v>
      </c>
      <c r="E22" s="41">
        <v>26</v>
      </c>
      <c r="F22" s="63">
        <v>6230</v>
      </c>
      <c r="G22" s="41">
        <v>27</v>
      </c>
      <c r="H22" s="63">
        <v>6061</v>
      </c>
      <c r="I22" s="42">
        <v>29</v>
      </c>
      <c r="J22" s="64">
        <v>6088.5</v>
      </c>
      <c r="K22" s="41">
        <v>25</v>
      </c>
      <c r="L22" s="63">
        <v>5715.5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f t="shared" si="2"/>
        <v>4.5846176585218057E-3</v>
      </c>
      <c r="T22" s="104">
        <f t="shared" si="3"/>
        <v>-6.0968195028415995E-2</v>
      </c>
    </row>
    <row r="23" spans="1:20" x14ac:dyDescent="0.35">
      <c r="A23" s="41">
        <v>29</v>
      </c>
      <c r="B23" s="63">
        <v>5390.5</v>
      </c>
      <c r="C23" s="42">
        <v>27</v>
      </c>
      <c r="D23" s="64">
        <v>5880.5</v>
      </c>
      <c r="E23" s="41">
        <v>27</v>
      </c>
      <c r="F23" s="63">
        <v>6146</v>
      </c>
      <c r="G23" s="41">
        <v>28</v>
      </c>
      <c r="H23" s="63">
        <v>6090.5</v>
      </c>
      <c r="I23" s="394"/>
      <c r="J23" s="395"/>
      <c r="K23" s="41">
        <v>26</v>
      </c>
      <c r="L23" s="63">
        <v>5731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f t="shared" si="1"/>
        <v>1.0491345227980009E-2</v>
      </c>
      <c r="T23" s="104">
        <f t="shared" si="3"/>
        <v>-5.1116488182405995E-2</v>
      </c>
    </row>
    <row r="24" spans="1:20" x14ac:dyDescent="0.35">
      <c r="A24" s="42">
        <v>30</v>
      </c>
      <c r="B24" s="64">
        <v>5505</v>
      </c>
      <c r="C24" s="394"/>
      <c r="D24" s="395"/>
      <c r="E24" s="41">
        <v>30</v>
      </c>
      <c r="F24" s="63">
        <v>6110</v>
      </c>
      <c r="G24" s="41">
        <v>29</v>
      </c>
      <c r="H24" s="63">
        <v>6103</v>
      </c>
      <c r="I24" s="394"/>
      <c r="J24" s="395"/>
      <c r="K24" s="41">
        <v>29</v>
      </c>
      <c r="L24" s="63">
        <v>5767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f t="shared" si="1"/>
        <v>2.9233271931066618E-2</v>
      </c>
      <c r="T24" s="104">
        <f t="shared" si="3"/>
        <v>-2.3377518450536816E-2</v>
      </c>
    </row>
    <row r="25" spans="1:20" x14ac:dyDescent="0.35">
      <c r="A25" s="394"/>
      <c r="B25" s="395"/>
      <c r="C25" s="394"/>
      <c r="D25" s="395"/>
      <c r="E25" s="42">
        <v>31</v>
      </c>
      <c r="F25" s="64">
        <v>6050.5</v>
      </c>
      <c r="G25" s="42">
        <v>30</v>
      </c>
      <c r="H25" s="64">
        <v>6245</v>
      </c>
      <c r="I25" s="394"/>
      <c r="J25" s="395"/>
      <c r="K25" s="72">
        <v>30</v>
      </c>
      <c r="L25" s="64">
        <v>5721</v>
      </c>
      <c r="O25" s="81">
        <v>41944</v>
      </c>
      <c r="P25" s="77">
        <v>6701.1350000000002</v>
      </c>
      <c r="Q25" s="79">
        <v>-5.6476550226932654E-3</v>
      </c>
      <c r="R25" s="98">
        <v>17154.905600000002</v>
      </c>
      <c r="S25" s="79">
        <f t="shared" si="1"/>
        <v>3.8699964557842748E-2</v>
      </c>
      <c r="T25" s="104">
        <f t="shared" si="3"/>
        <v>1.4417736971819917E-2</v>
      </c>
    </row>
    <row r="26" spans="1:20" x14ac:dyDescent="0.35">
      <c r="A26" s="394"/>
      <c r="B26" s="395"/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41974</v>
      </c>
      <c r="P26" s="77">
        <f>'2014'!L82</f>
        <v>6422.9523809523807</v>
      </c>
      <c r="Q26" s="79">
        <f t="shared" si="0"/>
        <v>-4.1512761501987239E-2</v>
      </c>
      <c r="R26" s="98">
        <f>'2014'!L84</f>
        <v>16968.797895238094</v>
      </c>
      <c r="S26" s="79">
        <f t="shared" ref="S26:S27" si="4">R26/R25-1</f>
        <v>-1.0848658051601734E-2</v>
      </c>
      <c r="T26" s="104">
        <f>R26/R$14-1</f>
        <v>3.412665821932892E-3</v>
      </c>
    </row>
    <row r="27" spans="1:20" ht="15" thickBot="1" x14ac:dyDescent="0.4">
      <c r="A27" s="384">
        <f>B28/'2014'!L82-1</f>
        <v>-9.8362457555492888E-2</v>
      </c>
      <c r="B27" s="385"/>
      <c r="C27" s="384">
        <f>D28/B28-1</f>
        <v>-1.5385478767262373E-2</v>
      </c>
      <c r="D27" s="385"/>
      <c r="E27" s="384">
        <f>F28/D28-1</f>
        <v>3.8201840892089667E-2</v>
      </c>
      <c r="F27" s="385"/>
      <c r="G27" s="384">
        <f>H28/F28-1</f>
        <v>1.8340284592738065E-2</v>
      </c>
      <c r="H27" s="385"/>
      <c r="I27" s="384">
        <f>J28/H28-1</f>
        <v>4.5140379665992825E-2</v>
      </c>
      <c r="J27" s="385"/>
      <c r="K27" s="384">
        <f>L28/J28-1</f>
        <v>-7.4118534218441168E-2</v>
      </c>
      <c r="L27" s="385"/>
      <c r="O27" s="81">
        <v>42005</v>
      </c>
      <c r="P27" s="77">
        <f>B28</f>
        <v>5791.1750000000002</v>
      </c>
      <c r="Q27" s="79">
        <f t="shared" ref="Q27:Q30" si="5">P27/P26-1</f>
        <v>-9.8362457555492888E-2</v>
      </c>
      <c r="R27" s="98">
        <f>B30</f>
        <v>15271.907592500002</v>
      </c>
      <c r="S27" s="79">
        <f t="shared" si="4"/>
        <v>-0.10000061956152395</v>
      </c>
      <c r="T27" s="104">
        <f>R27/R26-1</f>
        <v>-0.10000061956152395</v>
      </c>
    </row>
    <row r="28" spans="1:20" ht="15" thickBot="1" x14ac:dyDescent="0.4">
      <c r="A28" s="65" t="s">
        <v>10</v>
      </c>
      <c r="B28" s="66">
        <f>AVERAGE(B5:B26)</f>
        <v>5791.1750000000002</v>
      </c>
      <c r="C28" s="55" t="s">
        <v>10</v>
      </c>
      <c r="D28" s="66">
        <f>AVERAGE(D4:D23)</f>
        <v>5702.0749999999998</v>
      </c>
      <c r="E28" s="55" t="s">
        <v>10</v>
      </c>
      <c r="F28" s="66">
        <f>AVERAGE(F4:F24)</f>
        <v>5919.9047619047615</v>
      </c>
      <c r="G28" s="55" t="s">
        <v>10</v>
      </c>
      <c r="H28" s="66">
        <f>AVERAGE(H4:H25)</f>
        <v>6028.4775</v>
      </c>
      <c r="I28" s="56" t="s">
        <v>10</v>
      </c>
      <c r="J28" s="66">
        <f>AVERAGE(J4:J23)</f>
        <v>6300.605263157895</v>
      </c>
      <c r="K28" s="55" t="s">
        <v>10</v>
      </c>
      <c r="L28" s="66">
        <f>AVERAGE(L4:L25)</f>
        <v>5833.613636363636</v>
      </c>
      <c r="O28" s="81">
        <v>42036</v>
      </c>
      <c r="P28" s="77">
        <f>D28</f>
        <v>5702.0749999999998</v>
      </c>
      <c r="Q28" s="79">
        <f t="shared" si="5"/>
        <v>-1.5385478767262373E-2</v>
      </c>
      <c r="R28" s="98">
        <f>D30</f>
        <v>16059.837216749998</v>
      </c>
      <c r="S28" s="79">
        <f>R28/R27-1</f>
        <v>5.1593399153158082E-2</v>
      </c>
      <c r="T28" s="104">
        <f>R28/R26-1</f>
        <v>-5.3566592288966763E-2</v>
      </c>
    </row>
    <row r="29" spans="1:20" ht="15" thickBot="1" x14ac:dyDescent="0.4">
      <c r="A29" s="386"/>
      <c r="B29" s="387"/>
      <c r="C29" s="388"/>
      <c r="D29" s="389"/>
      <c r="E29" s="388"/>
      <c r="F29" s="390"/>
      <c r="G29" s="391"/>
      <c r="H29" s="391"/>
      <c r="I29" s="403"/>
      <c r="J29" s="400"/>
      <c r="K29" s="392"/>
      <c r="L29" s="393"/>
      <c r="O29" s="81">
        <v>42064</v>
      </c>
      <c r="P29" s="77">
        <f>F28</f>
        <v>5919.9047619047615</v>
      </c>
      <c r="Q29" s="79">
        <f>P29/P28-1</f>
        <v>3.8201840892089667E-2</v>
      </c>
      <c r="R29" s="98">
        <f>F30</f>
        <v>18601.524742857142</v>
      </c>
      <c r="S29" s="79">
        <f>R29/R28-1</f>
        <v>0.15826359207777196</v>
      </c>
      <c r="T29" s="104">
        <f>R29/R26-1</f>
        <v>9.6219358477787953E-2</v>
      </c>
    </row>
    <row r="30" spans="1:20" ht="15" thickBot="1" x14ac:dyDescent="0.4">
      <c r="A30" s="67" t="s">
        <v>11</v>
      </c>
      <c r="B30" s="67">
        <f>B28*A31</f>
        <v>15271.907592500002</v>
      </c>
      <c r="C30" s="67" t="s">
        <v>11</v>
      </c>
      <c r="D30" s="67">
        <f>D28*C31</f>
        <v>16059.837216749998</v>
      </c>
      <c r="E30" s="67" t="s">
        <v>11</v>
      </c>
      <c r="F30" s="67">
        <f>F28*E31</f>
        <v>18601.524742857142</v>
      </c>
      <c r="G30" s="67" t="s">
        <v>11</v>
      </c>
      <c r="H30" s="67">
        <f>H28*G31</f>
        <v>18401.927568750001</v>
      </c>
      <c r="I30" s="67" t="s">
        <v>11</v>
      </c>
      <c r="J30" s="67">
        <f>J28*I31</f>
        <v>19242.048473684212</v>
      </c>
      <c r="K30" s="67" t="s">
        <v>11</v>
      </c>
      <c r="L30" s="67">
        <f>L28*K31</f>
        <v>18168.789670454546</v>
      </c>
      <c r="O30" s="81">
        <v>42095</v>
      </c>
      <c r="P30" s="77">
        <f>H28</f>
        <v>6028.4775</v>
      </c>
      <c r="Q30" s="79">
        <f t="shared" si="5"/>
        <v>1.8340284592738065E-2</v>
      </c>
      <c r="R30" s="98">
        <f>H30</f>
        <v>18401.927568750001</v>
      </c>
      <c r="S30" s="79">
        <f>R30/R29-1</f>
        <v>-1.0730151257293263E-2</v>
      </c>
      <c r="T30" s="104">
        <f>R30/R26-1</f>
        <v>8.4456758950148147E-2</v>
      </c>
    </row>
    <row r="31" spans="1:20" ht="15" thickBot="1" x14ac:dyDescent="0.4">
      <c r="A31" s="67">
        <v>2.6371000000000002</v>
      </c>
      <c r="B31" s="73">
        <f>B30/'2014'!L84-1</f>
        <v>-0.10000061956152395</v>
      </c>
      <c r="C31" s="67">
        <v>2.8164899999999999</v>
      </c>
      <c r="D31" s="73">
        <f>D30/B30-1</f>
        <v>5.1593399153158082E-2</v>
      </c>
      <c r="E31" s="67">
        <v>3.1421999999999999</v>
      </c>
      <c r="F31" s="73">
        <f>F30/D30-1</f>
        <v>0.15826359207777196</v>
      </c>
      <c r="G31" s="67">
        <v>3.0525000000000002</v>
      </c>
      <c r="H31" s="73">
        <f>H30/F30-1</f>
        <v>-1.0730151257293263E-2</v>
      </c>
      <c r="I31" s="67">
        <v>3.0539999999999998</v>
      </c>
      <c r="J31" s="73">
        <f>J30/H30-1</f>
        <v>4.5653962162143014E-2</v>
      </c>
      <c r="K31" s="67">
        <v>3.1145</v>
      </c>
      <c r="L31" s="73">
        <f>L30/J30-1</f>
        <v>-5.5776743557084174E-2</v>
      </c>
      <c r="O31" s="81">
        <v>42125</v>
      </c>
      <c r="P31" s="77">
        <f>J28</f>
        <v>6300.605263157895</v>
      </c>
      <c r="Q31" s="79">
        <f>P31/P30-1</f>
        <v>4.5140379665992825E-2</v>
      </c>
      <c r="R31" s="98">
        <f>J30</f>
        <v>19242.048473684212</v>
      </c>
      <c r="S31" s="79">
        <f>R31/R30-1</f>
        <v>4.5653962162143014E-2</v>
      </c>
      <c r="T31" s="104">
        <f>R31/R26-1</f>
        <v>0.13396650678973865</v>
      </c>
    </row>
    <row r="32" spans="1:20" ht="15" thickBot="1" x14ac:dyDescent="0.4">
      <c r="A32" s="381" t="s">
        <v>46</v>
      </c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O32" s="81">
        <v>42156</v>
      </c>
      <c r="P32" s="77">
        <f>L28</f>
        <v>5833.613636363636</v>
      </c>
      <c r="Q32" s="79">
        <f>P32/P31-1</f>
        <v>-7.4118534218441168E-2</v>
      </c>
      <c r="R32" s="98">
        <f>L30</f>
        <v>18168.789670454546</v>
      </c>
      <c r="S32" s="79">
        <f>R32/R31-1</f>
        <v>-5.5776743557084174E-2</v>
      </c>
      <c r="T32" s="104">
        <f>R32/R26-1</f>
        <v>7.0717547738204933E-2</v>
      </c>
    </row>
    <row r="33" spans="1:20" ht="26.25" hidden="1" customHeight="1" x14ac:dyDescent="0.35">
      <c r="A33" s="405" t="s">
        <v>27</v>
      </c>
      <c r="B33" s="406"/>
      <c r="C33" s="405" t="s">
        <v>28</v>
      </c>
      <c r="D33" s="406"/>
      <c r="E33" s="401" t="s">
        <v>29</v>
      </c>
      <c r="F33" s="402"/>
      <c r="G33" s="405" t="s">
        <v>30</v>
      </c>
      <c r="H33" s="406"/>
      <c r="I33" s="401" t="s">
        <v>31</v>
      </c>
      <c r="J33" s="402"/>
      <c r="K33" s="405" t="s">
        <v>32</v>
      </c>
      <c r="L33" s="406"/>
      <c r="O33" s="81">
        <v>42186</v>
      </c>
      <c r="T33" s="104">
        <f t="shared" ref="T33:T55" si="6">R33/R27-1</f>
        <v>-1</v>
      </c>
    </row>
    <row r="34" spans="1:20" ht="15" hidden="1" thickBot="1" x14ac:dyDescent="0.4">
      <c r="A34" s="44"/>
      <c r="B34" s="50" t="s">
        <v>7</v>
      </c>
      <c r="C34" s="51"/>
      <c r="D34" s="40" t="s">
        <v>8</v>
      </c>
      <c r="E34" s="48"/>
      <c r="F34" s="58" t="s">
        <v>8</v>
      </c>
      <c r="G34" s="51"/>
      <c r="H34" s="40" t="s">
        <v>8</v>
      </c>
      <c r="I34" s="49"/>
      <c r="J34" s="53" t="s">
        <v>18</v>
      </c>
      <c r="K34" s="51"/>
      <c r="L34" s="40" t="s">
        <v>8</v>
      </c>
      <c r="O34" s="81">
        <v>42217</v>
      </c>
      <c r="T34" s="104">
        <f t="shared" si="6"/>
        <v>-1</v>
      </c>
    </row>
    <row r="35" spans="1:20" ht="15" hidden="1" thickBot="1" x14ac:dyDescent="0.4">
      <c r="A35" s="41"/>
      <c r="B35" s="63"/>
      <c r="C35" s="41"/>
      <c r="D35" s="63"/>
      <c r="E35" s="49"/>
      <c r="F35" s="54"/>
      <c r="G35" s="41"/>
      <c r="H35" s="47"/>
      <c r="I35" s="49"/>
      <c r="J35" s="54"/>
      <c r="K35" s="41"/>
      <c r="L35" s="47"/>
      <c r="O35" s="81">
        <v>42248</v>
      </c>
      <c r="T35" s="104">
        <f t="shared" si="6"/>
        <v>-1</v>
      </c>
    </row>
    <row r="36" spans="1:20" ht="15" hidden="1" thickBot="1" x14ac:dyDescent="0.4">
      <c r="A36" s="41"/>
      <c r="B36" s="63"/>
      <c r="C36" s="41"/>
      <c r="D36" s="63"/>
      <c r="E36" s="49"/>
      <c r="F36" s="54"/>
      <c r="G36" s="41"/>
      <c r="H36" s="47"/>
      <c r="I36" s="49"/>
      <c r="J36" s="54"/>
      <c r="K36" s="41"/>
      <c r="L36" s="47"/>
      <c r="O36" s="81">
        <v>42278</v>
      </c>
      <c r="T36" s="104">
        <f t="shared" si="6"/>
        <v>-1</v>
      </c>
    </row>
    <row r="37" spans="1:20" ht="15" hidden="1" thickBot="1" x14ac:dyDescent="0.4">
      <c r="A37" s="41"/>
      <c r="B37" s="63"/>
      <c r="C37" s="41"/>
      <c r="D37" s="63"/>
      <c r="E37" s="49"/>
      <c r="F37" s="54"/>
      <c r="G37" s="41"/>
      <c r="H37" s="47"/>
      <c r="I37" s="49"/>
      <c r="J37" s="54"/>
      <c r="K37" s="41"/>
      <c r="L37" s="47"/>
      <c r="O37" s="81">
        <v>42309</v>
      </c>
      <c r="T37" s="104">
        <f t="shared" si="6"/>
        <v>-1</v>
      </c>
    </row>
    <row r="38" spans="1:20" ht="15" hidden="1" thickBot="1" x14ac:dyDescent="0.4">
      <c r="A38" s="41"/>
      <c r="B38" s="63"/>
      <c r="C38" s="41"/>
      <c r="D38" s="63"/>
      <c r="E38" s="49"/>
      <c r="F38" s="54"/>
      <c r="G38" s="41"/>
      <c r="H38" s="47"/>
      <c r="I38" s="49"/>
      <c r="J38" s="54"/>
      <c r="K38" s="41"/>
      <c r="L38" s="47"/>
      <c r="O38" s="81">
        <v>42339</v>
      </c>
      <c r="T38" s="104">
        <f t="shared" si="6"/>
        <v>-1</v>
      </c>
    </row>
    <row r="39" spans="1:20" ht="15" hidden="1" thickBot="1" x14ac:dyDescent="0.4">
      <c r="A39" s="41"/>
      <c r="B39" s="63"/>
      <c r="C39" s="41"/>
      <c r="D39" s="63"/>
      <c r="E39" s="49"/>
      <c r="F39" s="54"/>
      <c r="G39" s="41"/>
      <c r="H39" s="47"/>
      <c r="I39" s="49"/>
      <c r="J39" s="54"/>
      <c r="K39" s="41"/>
      <c r="L39" s="47"/>
      <c r="O39" s="81">
        <v>42370</v>
      </c>
      <c r="T39" s="104" t="e">
        <f t="shared" si="6"/>
        <v>#DIV/0!</v>
      </c>
    </row>
    <row r="40" spans="1:20" ht="15" hidden="1" thickBot="1" x14ac:dyDescent="0.4">
      <c r="A40" s="41"/>
      <c r="B40" s="63"/>
      <c r="C40" s="41"/>
      <c r="D40" s="63"/>
      <c r="E40" s="49"/>
      <c r="F40" s="54"/>
      <c r="G40" s="41"/>
      <c r="H40" s="47"/>
      <c r="I40" s="49"/>
      <c r="J40" s="54"/>
      <c r="K40" s="41"/>
      <c r="L40" s="47"/>
      <c r="O40" s="81">
        <v>42401</v>
      </c>
      <c r="T40" s="104" t="e">
        <f t="shared" si="6"/>
        <v>#DIV/0!</v>
      </c>
    </row>
    <row r="41" spans="1:20" ht="15" hidden="1" thickBot="1" x14ac:dyDescent="0.4">
      <c r="A41" s="41"/>
      <c r="B41" s="63"/>
      <c r="C41" s="41"/>
      <c r="D41" s="63"/>
      <c r="E41" s="49"/>
      <c r="F41" s="54"/>
      <c r="G41" s="41"/>
      <c r="H41" s="47"/>
      <c r="I41" s="49"/>
      <c r="J41" s="54"/>
      <c r="K41" s="41"/>
      <c r="L41" s="47"/>
      <c r="O41" s="81">
        <v>42430</v>
      </c>
      <c r="T41" s="104" t="e">
        <f t="shared" si="6"/>
        <v>#DIV/0!</v>
      </c>
    </row>
    <row r="42" spans="1:20" ht="15" hidden="1" thickBot="1" x14ac:dyDescent="0.4">
      <c r="A42" s="41"/>
      <c r="B42" s="63"/>
      <c r="C42" s="41"/>
      <c r="D42" s="63"/>
      <c r="E42" s="49"/>
      <c r="F42" s="54"/>
      <c r="G42" s="41"/>
      <c r="H42" s="47"/>
      <c r="I42" s="49"/>
      <c r="J42" s="54"/>
      <c r="K42" s="41"/>
      <c r="L42" s="47"/>
      <c r="O42" s="81">
        <v>42461</v>
      </c>
      <c r="T42" s="104" t="e">
        <f t="shared" si="6"/>
        <v>#DIV/0!</v>
      </c>
    </row>
    <row r="43" spans="1:20" ht="15" hidden="1" thickBot="1" x14ac:dyDescent="0.4">
      <c r="A43" s="41"/>
      <c r="B43" s="63"/>
      <c r="C43" s="41"/>
      <c r="D43" s="63"/>
      <c r="E43" s="49"/>
      <c r="F43" s="54"/>
      <c r="G43" s="41"/>
      <c r="H43" s="47"/>
      <c r="I43" s="49"/>
      <c r="J43" s="54"/>
      <c r="K43" s="41"/>
      <c r="L43" s="47"/>
      <c r="O43" s="81">
        <v>42491</v>
      </c>
      <c r="T43" s="104" t="e">
        <f t="shared" si="6"/>
        <v>#DIV/0!</v>
      </c>
    </row>
    <row r="44" spans="1:20" ht="15" hidden="1" thickBot="1" x14ac:dyDescent="0.4">
      <c r="A44" s="41"/>
      <c r="B44" s="63"/>
      <c r="C44" s="41"/>
      <c r="D44" s="63"/>
      <c r="E44" s="49"/>
      <c r="F44" s="54"/>
      <c r="G44" s="41"/>
      <c r="H44" s="47"/>
      <c r="I44" s="49"/>
      <c r="J44" s="54"/>
      <c r="K44" s="41"/>
      <c r="L44" s="47"/>
      <c r="O44" s="81">
        <v>42522</v>
      </c>
      <c r="T44" s="104" t="e">
        <f t="shared" si="6"/>
        <v>#DIV/0!</v>
      </c>
    </row>
    <row r="45" spans="1:20" ht="15" hidden="1" thickBot="1" x14ac:dyDescent="0.4">
      <c r="A45" s="41"/>
      <c r="B45" s="63"/>
      <c r="C45" s="41"/>
      <c r="D45" s="63"/>
      <c r="E45" s="49"/>
      <c r="F45" s="54"/>
      <c r="G45" s="41"/>
      <c r="H45" s="47"/>
      <c r="I45" s="49"/>
      <c r="J45" s="54"/>
      <c r="K45" s="41"/>
      <c r="L45" s="47"/>
      <c r="O45" s="81">
        <v>42552</v>
      </c>
      <c r="T45" s="104" t="e">
        <f t="shared" si="6"/>
        <v>#DIV/0!</v>
      </c>
    </row>
    <row r="46" spans="1:20" ht="15" hidden="1" thickBot="1" x14ac:dyDescent="0.4">
      <c r="A46" s="41"/>
      <c r="B46" s="63"/>
      <c r="C46" s="41"/>
      <c r="D46" s="63"/>
      <c r="E46" s="49"/>
      <c r="F46" s="54"/>
      <c r="G46" s="41"/>
      <c r="H46" s="47"/>
      <c r="I46" s="49"/>
      <c r="J46" s="54"/>
      <c r="K46" s="41"/>
      <c r="L46" s="47"/>
      <c r="O46" s="81">
        <v>42583</v>
      </c>
      <c r="T46" s="104" t="e">
        <f t="shared" si="6"/>
        <v>#DIV/0!</v>
      </c>
    </row>
    <row r="47" spans="1:20" ht="15" hidden="1" thickBot="1" x14ac:dyDescent="0.4">
      <c r="A47" s="41"/>
      <c r="B47" s="63"/>
      <c r="C47" s="41"/>
      <c r="D47" s="63"/>
      <c r="E47" s="49"/>
      <c r="F47" s="54"/>
      <c r="G47" s="41"/>
      <c r="H47" s="47"/>
      <c r="I47" s="49"/>
      <c r="J47" s="54"/>
      <c r="K47" s="68"/>
      <c r="L47" s="69"/>
      <c r="O47" s="81">
        <v>42614</v>
      </c>
      <c r="T47" s="104" t="e">
        <f t="shared" si="6"/>
        <v>#DIV/0!</v>
      </c>
    </row>
    <row r="48" spans="1:20" ht="15" hidden="1" thickBot="1" x14ac:dyDescent="0.4">
      <c r="A48" s="41"/>
      <c r="B48" s="63"/>
      <c r="C48" s="41"/>
      <c r="D48" s="63"/>
      <c r="E48" s="42"/>
      <c r="F48" s="64"/>
      <c r="G48" s="41"/>
      <c r="H48" s="47"/>
      <c r="I48" s="68"/>
      <c r="J48" s="69"/>
      <c r="K48" s="86"/>
      <c r="L48" s="87"/>
      <c r="O48" s="81">
        <v>42644</v>
      </c>
      <c r="T48" s="104" t="e">
        <f t="shared" si="6"/>
        <v>#DIV/0!</v>
      </c>
    </row>
    <row r="49" spans="1:20" ht="15" hidden="1" thickBot="1" x14ac:dyDescent="0.4">
      <c r="A49" s="41"/>
      <c r="B49" s="63"/>
      <c r="C49" s="42"/>
      <c r="D49" s="64"/>
      <c r="E49" s="45"/>
      <c r="F49" s="46"/>
      <c r="G49" s="41"/>
      <c r="H49" s="47"/>
      <c r="I49" s="65"/>
      <c r="J49" s="85"/>
      <c r="K49" s="65"/>
      <c r="L49" s="85"/>
      <c r="O49" s="81">
        <v>42675</v>
      </c>
      <c r="T49" s="104" t="e">
        <f t="shared" si="6"/>
        <v>#DIV/0!</v>
      </c>
    </row>
    <row r="50" spans="1:20" ht="15" hidden="1" thickBot="1" x14ac:dyDescent="0.4">
      <c r="A50" s="42"/>
      <c r="B50" s="64"/>
      <c r="C50" s="45"/>
      <c r="D50" s="46"/>
      <c r="E50" s="57"/>
      <c r="F50" s="59"/>
      <c r="G50" s="68"/>
      <c r="H50" s="69"/>
      <c r="I50" s="83"/>
      <c r="J50" s="84"/>
      <c r="K50" s="88"/>
      <c r="L50" s="89"/>
      <c r="O50" s="81">
        <v>42705</v>
      </c>
      <c r="T50" s="104" t="e">
        <f t="shared" si="6"/>
        <v>#DIV/0!</v>
      </c>
    </row>
    <row r="51" spans="1:20" ht="15" hidden="1" thickBot="1" x14ac:dyDescent="0.4">
      <c r="A51" s="61" t="s">
        <v>19</v>
      </c>
      <c r="B51" s="60" t="e">
        <v>#DIV/0!</v>
      </c>
      <c r="C51" s="61" t="s">
        <v>19</v>
      </c>
      <c r="D51" s="60" t="e">
        <v>#DIV/0!</v>
      </c>
      <c r="E51" s="61" t="s">
        <v>19</v>
      </c>
      <c r="F51" s="62" t="e">
        <v>#DIV/0!</v>
      </c>
      <c r="G51" s="65" t="s">
        <v>19</v>
      </c>
      <c r="H51" s="70" t="e">
        <v>#DIV/0!</v>
      </c>
      <c r="I51" s="65" t="s">
        <v>19</v>
      </c>
      <c r="J51" s="70" t="e">
        <v>#DIV/0!</v>
      </c>
      <c r="K51" s="61" t="s">
        <v>19</v>
      </c>
      <c r="L51" s="70" t="e">
        <v>#DIV/0!</v>
      </c>
      <c r="O51" s="81">
        <v>42736</v>
      </c>
      <c r="T51" s="104" t="e">
        <f t="shared" si="6"/>
        <v>#DIV/0!</v>
      </c>
    </row>
    <row r="52" spans="1:20" ht="15" hidden="1" thickBot="1" x14ac:dyDescent="0.4">
      <c r="A52" s="55" t="s">
        <v>10</v>
      </c>
      <c r="B52" s="66" t="e">
        <v>#DIV/0!</v>
      </c>
      <c r="C52" s="55" t="s">
        <v>10</v>
      </c>
      <c r="D52" s="66" t="e">
        <v>#DIV/0!</v>
      </c>
      <c r="E52" s="56" t="s">
        <v>10</v>
      </c>
      <c r="F52" s="66" t="e">
        <v>#DIV/0!</v>
      </c>
      <c r="G52" s="55" t="s">
        <v>10</v>
      </c>
      <c r="H52" s="66" t="e">
        <v>#DIV/0!</v>
      </c>
      <c r="I52" s="56" t="s">
        <v>10</v>
      </c>
      <c r="J52" s="66" t="e">
        <v>#DIV/0!</v>
      </c>
      <c r="K52" s="55" t="s">
        <v>10</v>
      </c>
      <c r="L52" s="66" t="e">
        <v>#DIV/0!</v>
      </c>
      <c r="O52" s="81">
        <v>42767</v>
      </c>
      <c r="T52" s="104" t="e">
        <f t="shared" si="6"/>
        <v>#DIV/0!</v>
      </c>
    </row>
    <row r="53" spans="1:20" ht="15" hidden="1" thickBot="1" x14ac:dyDescent="0.4">
      <c r="A53" s="407" t="e">
        <v>#DIV/0!</v>
      </c>
      <c r="B53" s="408"/>
      <c r="C53" s="399" t="e">
        <v>#DIV/0!</v>
      </c>
      <c r="D53" s="404"/>
      <c r="E53" s="399" t="e">
        <v>#DIV/0!</v>
      </c>
      <c r="F53" s="404"/>
      <c r="G53" s="399" t="e">
        <v>#DIV/0!</v>
      </c>
      <c r="H53" s="404"/>
      <c r="I53" s="399" t="e">
        <v>#DIV/0!</v>
      </c>
      <c r="J53" s="400"/>
      <c r="K53" s="403" t="e">
        <v>#DIV/0!</v>
      </c>
      <c r="L53" s="400"/>
      <c r="O53" s="81">
        <v>42795</v>
      </c>
      <c r="T53" s="104" t="e">
        <f t="shared" si="6"/>
        <v>#DIV/0!</v>
      </c>
    </row>
    <row r="54" spans="1:20" ht="15" hidden="1" thickBot="1" x14ac:dyDescent="0.4">
      <c r="A54" s="67" t="s">
        <v>11</v>
      </c>
      <c r="B54" s="67" t="e">
        <v>#DIV/0!</v>
      </c>
      <c r="C54" s="67" t="s">
        <v>11</v>
      </c>
      <c r="D54" s="67" t="e">
        <v>#DIV/0!</v>
      </c>
      <c r="E54" s="67" t="s">
        <v>11</v>
      </c>
      <c r="F54" s="67" t="e">
        <v>#DIV/0!</v>
      </c>
      <c r="G54" s="67" t="s">
        <v>11</v>
      </c>
      <c r="H54" s="67" t="e">
        <v>#DIV/0!</v>
      </c>
      <c r="I54" s="67" t="s">
        <v>11</v>
      </c>
      <c r="J54" s="67" t="e">
        <v>#DIV/0!</v>
      </c>
      <c r="K54" s="67" t="s">
        <v>11</v>
      </c>
      <c r="L54" s="67" t="e">
        <v>#DIV/0!</v>
      </c>
      <c r="O54" s="81">
        <v>42826</v>
      </c>
      <c r="T54" s="104" t="e">
        <f t="shared" si="6"/>
        <v>#DIV/0!</v>
      </c>
    </row>
    <row r="55" spans="1:20" ht="15" hidden="1" thickBot="1" x14ac:dyDescent="0.4">
      <c r="A55" s="67"/>
      <c r="B55" s="73" t="e">
        <v>#DIV/0!</v>
      </c>
      <c r="C55" s="67"/>
      <c r="D55" s="73" t="e">
        <v>#DIV/0!</v>
      </c>
      <c r="E55" s="67"/>
      <c r="F55" s="73" t="e">
        <v>#DIV/0!</v>
      </c>
      <c r="G55" s="67"/>
      <c r="H55" s="73" t="e">
        <v>#DIV/0!</v>
      </c>
      <c r="I55" s="67"/>
      <c r="J55" s="73" t="e">
        <v>#DIV/0!</v>
      </c>
      <c r="K55" s="67"/>
      <c r="L55" s="73" t="e">
        <v>#DIV/0!</v>
      </c>
      <c r="O55" s="81">
        <v>42856</v>
      </c>
      <c r="T55" s="104" t="e">
        <f t="shared" si="6"/>
        <v>#DIV/0!</v>
      </c>
    </row>
    <row r="56" spans="1:20" ht="15" customHeight="1" x14ac:dyDescent="0.35">
      <c r="A56" s="396" t="s">
        <v>70</v>
      </c>
      <c r="B56" s="397"/>
      <c r="C56" s="396" t="s">
        <v>69</v>
      </c>
      <c r="D56" s="397"/>
      <c r="E56" s="396" t="s">
        <v>71</v>
      </c>
      <c r="F56" s="397"/>
      <c r="G56" s="396" t="s">
        <v>72</v>
      </c>
      <c r="H56" s="397"/>
      <c r="I56" s="398" t="s">
        <v>73</v>
      </c>
      <c r="J56" s="398"/>
      <c r="K56" s="396" t="s">
        <v>74</v>
      </c>
      <c r="L56" s="397"/>
      <c r="O56" s="81">
        <v>42186</v>
      </c>
      <c r="P56" s="77">
        <f>B82</f>
        <v>5456.913043478261</v>
      </c>
      <c r="Q56" s="79">
        <f>P56/P32-1</f>
        <v>-6.4574141581339006E-2</v>
      </c>
      <c r="R56" s="98">
        <f>B84</f>
        <v>17564.711704347825</v>
      </c>
      <c r="S56" s="79">
        <f>R56/R32-1</f>
        <v>-3.3248112673627928E-2</v>
      </c>
      <c r="T56" s="104">
        <f>R56/R26-1</f>
        <v>3.5118210069374545E-2</v>
      </c>
    </row>
    <row r="57" spans="1:20" x14ac:dyDescent="0.35">
      <c r="A57" s="44"/>
      <c r="B57" s="50" t="s">
        <v>7</v>
      </c>
      <c r="C57" s="51"/>
      <c r="D57" s="40" t="s">
        <v>8</v>
      </c>
      <c r="E57" s="51"/>
      <c r="F57" s="52" t="s">
        <v>8</v>
      </c>
      <c r="G57" s="51"/>
      <c r="H57" s="40" t="s">
        <v>8</v>
      </c>
      <c r="I57" s="49"/>
      <c r="J57" s="53" t="s">
        <v>8</v>
      </c>
      <c r="K57" s="51"/>
      <c r="L57" s="40" t="s">
        <v>8</v>
      </c>
      <c r="O57" s="81">
        <v>42217</v>
      </c>
      <c r="P57" s="77">
        <f>D82</f>
        <v>5088.9250000000002</v>
      </c>
      <c r="Q57" s="79">
        <f>P57/P56-1</f>
        <v>-6.7435203849923075E-2</v>
      </c>
      <c r="R57" s="98">
        <f>D84</f>
        <v>17846.351082500001</v>
      </c>
      <c r="S57" s="79">
        <f>R57/R56-1</f>
        <v>1.6034386609514506E-2</v>
      </c>
      <c r="T57" s="104">
        <f>R57/R26-1</f>
        <v>5.1715695636175285E-2</v>
      </c>
    </row>
    <row r="58" spans="1:20" x14ac:dyDescent="0.35">
      <c r="A58" s="41">
        <v>1</v>
      </c>
      <c r="B58" s="47">
        <v>5755.5</v>
      </c>
      <c r="C58" s="41">
        <v>3</v>
      </c>
      <c r="D58" s="63">
        <v>5176.5</v>
      </c>
      <c r="E58" s="41">
        <v>1</v>
      </c>
      <c r="F58" s="63">
        <v>5095</v>
      </c>
      <c r="G58" s="41">
        <v>1</v>
      </c>
      <c r="H58" s="63">
        <v>5178</v>
      </c>
      <c r="I58" s="49">
        <v>2</v>
      </c>
      <c r="J58" s="63">
        <v>5137.5</v>
      </c>
      <c r="K58" s="49">
        <v>1</v>
      </c>
      <c r="L58" s="63">
        <v>4619</v>
      </c>
      <c r="O58" s="81">
        <v>42248</v>
      </c>
      <c r="P58" s="77">
        <f>F82</f>
        <v>5208.090909090909</v>
      </c>
      <c r="Q58" s="79">
        <f>P58/P57-1</f>
        <v>2.3416715532437404E-2</v>
      </c>
      <c r="R58" s="98">
        <f>F84</f>
        <v>20289.159754545453</v>
      </c>
      <c r="S58" s="79">
        <f>R58/R57-1</f>
        <v>0.13688000761348085</v>
      </c>
      <c r="T58" s="104">
        <f>R58/R26-1</f>
        <v>0.1956745480620723</v>
      </c>
    </row>
    <row r="59" spans="1:20" x14ac:dyDescent="0.35">
      <c r="A59" s="41">
        <v>2</v>
      </c>
      <c r="B59" s="63">
        <v>5761</v>
      </c>
      <c r="C59" s="41">
        <v>4</v>
      </c>
      <c r="D59" s="63">
        <v>5215.5</v>
      </c>
      <c r="E59" s="41">
        <v>2</v>
      </c>
      <c r="F59" s="63">
        <v>5090.5</v>
      </c>
      <c r="G59" s="41">
        <v>2</v>
      </c>
      <c r="H59" s="63">
        <v>5081</v>
      </c>
      <c r="I59" s="49">
        <v>3</v>
      </c>
      <c r="J59" s="63">
        <v>5149</v>
      </c>
      <c r="K59" s="49">
        <v>2</v>
      </c>
      <c r="L59" s="63">
        <v>4589</v>
      </c>
      <c r="O59" s="81">
        <v>42278</v>
      </c>
      <c r="P59" s="77">
        <f>H82</f>
        <v>5222.613636363636</v>
      </c>
      <c r="Q59" s="79">
        <f>P59/P58-1</f>
        <v>2.7884934280577589E-3</v>
      </c>
      <c r="R59" s="98">
        <f>H84</f>
        <v>20224.049045454543</v>
      </c>
      <c r="S59" s="79">
        <f>R59/R58-1</f>
        <v>-3.2091377799084997E-3</v>
      </c>
      <c r="T59" s="104">
        <f>R59/R26-1</f>
        <v>0.19183746369741139</v>
      </c>
    </row>
    <row r="60" spans="1:20" x14ac:dyDescent="0.35">
      <c r="A60" s="41">
        <v>3</v>
      </c>
      <c r="B60" s="63">
        <v>5761.5</v>
      </c>
      <c r="C60" s="41">
        <v>5</v>
      </c>
      <c r="D60" s="63">
        <v>5171.5</v>
      </c>
      <c r="E60" s="41">
        <v>3</v>
      </c>
      <c r="F60" s="63">
        <v>5250</v>
      </c>
      <c r="G60" s="41">
        <v>5</v>
      </c>
      <c r="H60" s="63">
        <v>5144.5</v>
      </c>
      <c r="I60" s="49">
        <v>4</v>
      </c>
      <c r="J60" s="63">
        <v>5165.5</v>
      </c>
      <c r="K60" s="49">
        <v>3</v>
      </c>
      <c r="L60" s="63">
        <v>4525</v>
      </c>
      <c r="O60" s="81">
        <v>42309</v>
      </c>
      <c r="P60" s="77">
        <f>J82</f>
        <v>4808.2380952380954</v>
      </c>
      <c r="Q60" s="79">
        <f>P60/P59-1</f>
        <v>-7.9342561019707936E-2</v>
      </c>
      <c r="R60" s="98">
        <f>J84</f>
        <v>18166.485171428572</v>
      </c>
      <c r="S60" s="79">
        <f>R60/R59-1</f>
        <v>-0.10173847330974595</v>
      </c>
      <c r="T60" s="104">
        <f>R60/R26-1</f>
        <v>7.0581739707477054E-2</v>
      </c>
    </row>
    <row r="61" spans="1:20" x14ac:dyDescent="0.35">
      <c r="A61" s="41">
        <v>6</v>
      </c>
      <c r="B61" s="63">
        <v>5570</v>
      </c>
      <c r="C61" s="41">
        <v>6</v>
      </c>
      <c r="D61" s="63">
        <v>5165</v>
      </c>
      <c r="E61" s="41">
        <v>4</v>
      </c>
      <c r="F61" s="63">
        <v>5155.5</v>
      </c>
      <c r="G61" s="41">
        <v>6</v>
      </c>
      <c r="H61" s="63">
        <v>5175</v>
      </c>
      <c r="I61" s="49">
        <v>5</v>
      </c>
      <c r="J61" s="63">
        <v>5053</v>
      </c>
      <c r="K61" s="49">
        <v>4</v>
      </c>
      <c r="L61" s="63">
        <v>4637</v>
      </c>
      <c r="O61" s="81">
        <v>42339</v>
      </c>
      <c r="P61" s="77">
        <f>L82</f>
        <v>4629</v>
      </c>
      <c r="Q61" s="79">
        <f>P61/P60-1</f>
        <v>-3.7277291949333047E-2</v>
      </c>
      <c r="R61" s="98">
        <f>L84</f>
        <v>17927.6541</v>
      </c>
      <c r="S61" s="79">
        <f>R61/R60-1</f>
        <v>-1.3146795826206148E-2</v>
      </c>
      <c r="T61" s="104">
        <f>R61/R26-1</f>
        <v>5.6507020160278199E-2</v>
      </c>
    </row>
    <row r="62" spans="1:20" x14ac:dyDescent="0.35">
      <c r="A62" s="41">
        <v>7</v>
      </c>
      <c r="B62" s="63">
        <v>5440.5</v>
      </c>
      <c r="C62" s="41">
        <v>7</v>
      </c>
      <c r="D62" s="63">
        <v>5135.5</v>
      </c>
      <c r="E62" s="41">
        <v>7</v>
      </c>
      <c r="F62" s="63">
        <v>5176</v>
      </c>
      <c r="G62" s="41">
        <v>7</v>
      </c>
      <c r="H62" s="63">
        <v>5241</v>
      </c>
      <c r="I62" s="49">
        <v>6</v>
      </c>
      <c r="J62" s="63">
        <v>5000</v>
      </c>
      <c r="K62" s="49">
        <v>7</v>
      </c>
      <c r="L62" s="63">
        <v>4592.5</v>
      </c>
      <c r="O62" s="82" t="s">
        <v>62</v>
      </c>
      <c r="P62" s="93"/>
      <c r="Q62" s="114">
        <f>P61/P26-1</f>
        <v>-0.27930339111223146</v>
      </c>
      <c r="R62" s="93"/>
      <c r="S62" s="103">
        <f>R61/R26-1</f>
        <v>5.6507020160278199E-2</v>
      </c>
    </row>
    <row r="63" spans="1:20" x14ac:dyDescent="0.35">
      <c r="A63" s="41">
        <v>8</v>
      </c>
      <c r="B63" s="63">
        <v>5375</v>
      </c>
      <c r="C63" s="41">
        <v>10</v>
      </c>
      <c r="D63" s="63">
        <v>5150</v>
      </c>
      <c r="E63" s="41">
        <v>8</v>
      </c>
      <c r="F63" s="63">
        <v>5280</v>
      </c>
      <c r="G63" s="41">
        <v>8</v>
      </c>
      <c r="H63" s="63">
        <v>5160</v>
      </c>
      <c r="I63" s="49">
        <v>9</v>
      </c>
      <c r="J63" s="63">
        <v>4990</v>
      </c>
      <c r="K63" s="49">
        <v>8</v>
      </c>
      <c r="L63" s="63">
        <v>4567.5</v>
      </c>
      <c r="O63" s="76"/>
      <c r="P63" s="77"/>
      <c r="Q63" s="79"/>
      <c r="R63" s="80"/>
      <c r="S63" s="79"/>
    </row>
    <row r="64" spans="1:20" x14ac:dyDescent="0.35">
      <c r="A64" s="41">
        <v>9</v>
      </c>
      <c r="B64" s="63">
        <v>5576</v>
      </c>
      <c r="C64" s="41">
        <v>11</v>
      </c>
      <c r="D64" s="63">
        <v>5140</v>
      </c>
      <c r="E64" s="41">
        <v>9</v>
      </c>
      <c r="F64" s="63">
        <v>5366</v>
      </c>
      <c r="G64" s="41">
        <v>9</v>
      </c>
      <c r="H64" s="63">
        <v>5319</v>
      </c>
      <c r="I64" s="49">
        <v>10</v>
      </c>
      <c r="J64" s="63">
        <v>4933.5</v>
      </c>
      <c r="K64" s="49">
        <v>9</v>
      </c>
      <c r="L64" s="63">
        <v>4620</v>
      </c>
      <c r="O64" s="76"/>
      <c r="P64" s="77"/>
      <c r="Q64" s="79"/>
      <c r="R64" s="80"/>
      <c r="S64" s="79"/>
    </row>
    <row r="65" spans="1:19" x14ac:dyDescent="0.35">
      <c r="A65" s="41">
        <v>10</v>
      </c>
      <c r="B65" s="63">
        <v>5561.5</v>
      </c>
      <c r="C65" s="41">
        <v>12</v>
      </c>
      <c r="D65" s="63">
        <v>5103</v>
      </c>
      <c r="E65" s="41">
        <v>10</v>
      </c>
      <c r="F65" s="63">
        <v>5400</v>
      </c>
      <c r="G65" s="41">
        <v>12</v>
      </c>
      <c r="H65" s="63">
        <v>5335</v>
      </c>
      <c r="I65" s="49">
        <v>11</v>
      </c>
      <c r="J65" s="63">
        <v>4931</v>
      </c>
      <c r="K65" s="49">
        <v>10</v>
      </c>
      <c r="L65" s="63">
        <v>4572</v>
      </c>
      <c r="O65" s="76"/>
      <c r="P65" s="77"/>
      <c r="Q65" s="79"/>
      <c r="R65" s="80"/>
      <c r="S65" s="79"/>
    </row>
    <row r="66" spans="1:19" x14ac:dyDescent="0.35">
      <c r="A66" s="41">
        <v>13</v>
      </c>
      <c r="B66" s="63">
        <v>5605.5</v>
      </c>
      <c r="C66" s="41">
        <v>13</v>
      </c>
      <c r="D66" s="63">
        <v>5148</v>
      </c>
      <c r="E66" s="41">
        <v>11</v>
      </c>
      <c r="F66" s="63">
        <v>5352</v>
      </c>
      <c r="G66" s="41">
        <v>13</v>
      </c>
      <c r="H66" s="63">
        <v>5260.5</v>
      </c>
      <c r="I66" s="49">
        <v>12</v>
      </c>
      <c r="J66" s="63">
        <v>4872.5</v>
      </c>
      <c r="K66" s="49">
        <v>11</v>
      </c>
      <c r="L66" s="63">
        <v>4667</v>
      </c>
      <c r="O66" s="76"/>
      <c r="P66" s="77"/>
      <c r="Q66" s="79"/>
      <c r="R66" s="80"/>
      <c r="S66" s="79"/>
    </row>
    <row r="67" spans="1:19" x14ac:dyDescent="0.35">
      <c r="A67" s="41">
        <v>14</v>
      </c>
      <c r="B67" s="63">
        <v>5502.5</v>
      </c>
      <c r="C67" s="41">
        <v>14</v>
      </c>
      <c r="D67" s="63">
        <v>5156</v>
      </c>
      <c r="E67" s="41">
        <v>14</v>
      </c>
      <c r="F67" s="63">
        <v>5324</v>
      </c>
      <c r="G67" s="41">
        <v>14</v>
      </c>
      <c r="H67" s="63">
        <v>5278</v>
      </c>
      <c r="I67" s="49">
        <v>13</v>
      </c>
      <c r="J67" s="63">
        <v>4825</v>
      </c>
      <c r="K67" s="49">
        <v>14</v>
      </c>
      <c r="L67" s="63">
        <v>4640</v>
      </c>
      <c r="O67" s="76"/>
      <c r="P67" s="77"/>
      <c r="Q67" s="77"/>
      <c r="R67" s="80"/>
      <c r="S67" s="79"/>
    </row>
    <row r="68" spans="1:19" x14ac:dyDescent="0.35">
      <c r="A68" s="41">
        <v>15</v>
      </c>
      <c r="B68" s="63">
        <v>5597</v>
      </c>
      <c r="C68" s="41">
        <v>17</v>
      </c>
      <c r="D68" s="63">
        <v>5101</v>
      </c>
      <c r="E68" s="41">
        <v>15</v>
      </c>
      <c r="F68" s="63">
        <v>5290</v>
      </c>
      <c r="G68" s="41">
        <v>15</v>
      </c>
      <c r="H68" s="63">
        <v>5344</v>
      </c>
      <c r="I68" s="49">
        <v>16</v>
      </c>
      <c r="J68" s="63">
        <v>4765</v>
      </c>
      <c r="K68" s="49">
        <v>15</v>
      </c>
      <c r="L68" s="63">
        <v>4586</v>
      </c>
      <c r="O68" s="76"/>
      <c r="P68" s="77"/>
      <c r="Q68" s="79"/>
      <c r="R68" s="80"/>
      <c r="S68" s="79"/>
    </row>
    <row r="69" spans="1:19" x14ac:dyDescent="0.35">
      <c r="A69" s="41">
        <v>16</v>
      </c>
      <c r="B69" s="63">
        <v>5530</v>
      </c>
      <c r="C69" s="41">
        <v>18</v>
      </c>
      <c r="D69" s="63">
        <v>5000.5</v>
      </c>
      <c r="E69" s="41">
        <v>16</v>
      </c>
      <c r="F69" s="63">
        <v>5350</v>
      </c>
      <c r="G69" s="41">
        <v>16</v>
      </c>
      <c r="H69" s="63">
        <v>5270</v>
      </c>
      <c r="I69" s="49">
        <v>17</v>
      </c>
      <c r="J69" s="63">
        <v>4700</v>
      </c>
      <c r="K69" s="49">
        <v>16</v>
      </c>
      <c r="L69" s="63">
        <v>4583</v>
      </c>
    </row>
    <row r="70" spans="1:19" x14ac:dyDescent="0.35">
      <c r="A70" s="41">
        <v>17</v>
      </c>
      <c r="B70" s="63">
        <v>5465</v>
      </c>
      <c r="C70" s="41">
        <v>19</v>
      </c>
      <c r="D70" s="63">
        <v>5006.5</v>
      </c>
      <c r="E70" s="41">
        <v>17</v>
      </c>
      <c r="F70" s="63">
        <v>5369</v>
      </c>
      <c r="G70" s="41">
        <v>19</v>
      </c>
      <c r="H70" s="63">
        <v>5240</v>
      </c>
      <c r="I70" s="49">
        <v>18</v>
      </c>
      <c r="J70" s="63">
        <v>4669</v>
      </c>
      <c r="K70" s="49">
        <v>17</v>
      </c>
      <c r="L70" s="63">
        <v>4550</v>
      </c>
    </row>
    <row r="71" spans="1:19" x14ac:dyDescent="0.35">
      <c r="A71" s="41">
        <v>20</v>
      </c>
      <c r="B71" s="63">
        <v>5425</v>
      </c>
      <c r="C71" s="41">
        <v>20</v>
      </c>
      <c r="D71" s="63">
        <v>5060.5</v>
      </c>
      <c r="E71" s="41">
        <v>18</v>
      </c>
      <c r="F71" s="63">
        <v>5358</v>
      </c>
      <c r="G71" s="41">
        <v>20</v>
      </c>
      <c r="H71" s="63">
        <v>5189</v>
      </c>
      <c r="I71" s="49">
        <v>19</v>
      </c>
      <c r="J71" s="63">
        <v>4610</v>
      </c>
      <c r="K71" s="49">
        <v>18</v>
      </c>
      <c r="L71" s="63">
        <v>4650</v>
      </c>
    </row>
    <row r="72" spans="1:19" x14ac:dyDescent="0.35">
      <c r="A72" s="41">
        <v>21</v>
      </c>
      <c r="B72" s="63">
        <v>5475.5</v>
      </c>
      <c r="C72" s="41">
        <v>21</v>
      </c>
      <c r="D72" s="63">
        <v>5046</v>
      </c>
      <c r="E72" s="41">
        <v>21</v>
      </c>
      <c r="F72" s="63">
        <v>5267</v>
      </c>
      <c r="G72" s="41">
        <v>21</v>
      </c>
      <c r="H72" s="63">
        <v>5185.5</v>
      </c>
      <c r="I72" s="49">
        <v>20</v>
      </c>
      <c r="J72" s="63">
        <v>4690</v>
      </c>
      <c r="K72" s="49">
        <v>21</v>
      </c>
      <c r="L72" s="63">
        <v>4691</v>
      </c>
    </row>
    <row r="73" spans="1:19" x14ac:dyDescent="0.35">
      <c r="A73" s="41">
        <v>22</v>
      </c>
      <c r="B73" s="63">
        <v>5350.5</v>
      </c>
      <c r="C73" s="41">
        <v>24</v>
      </c>
      <c r="D73" s="63">
        <v>4888</v>
      </c>
      <c r="E73" s="41">
        <v>22</v>
      </c>
      <c r="F73" s="63">
        <v>5131</v>
      </c>
      <c r="G73" s="41">
        <v>22</v>
      </c>
      <c r="H73" s="63">
        <v>5274</v>
      </c>
      <c r="I73" s="49">
        <v>23</v>
      </c>
      <c r="J73" s="63">
        <v>4515.5</v>
      </c>
      <c r="K73" s="49">
        <v>22</v>
      </c>
      <c r="L73" s="63">
        <v>4672.5</v>
      </c>
    </row>
    <row r="74" spans="1:19" x14ac:dyDescent="0.35">
      <c r="A74" s="41">
        <v>23</v>
      </c>
      <c r="B74" s="63">
        <v>5340</v>
      </c>
      <c r="C74" s="41">
        <v>25</v>
      </c>
      <c r="D74" s="63">
        <v>5032</v>
      </c>
      <c r="E74" s="41">
        <v>23</v>
      </c>
      <c r="F74" s="63">
        <v>5112</v>
      </c>
      <c r="G74" s="41">
        <v>23</v>
      </c>
      <c r="H74" s="63">
        <v>5295</v>
      </c>
      <c r="I74" s="49">
        <v>24</v>
      </c>
      <c r="J74" s="63">
        <v>4527</v>
      </c>
      <c r="K74" s="49">
        <v>23</v>
      </c>
      <c r="L74" s="63">
        <v>4680</v>
      </c>
    </row>
    <row r="75" spans="1:19" x14ac:dyDescent="0.35">
      <c r="A75" s="41">
        <v>24</v>
      </c>
      <c r="B75" s="63">
        <v>5224.5</v>
      </c>
      <c r="C75" s="41">
        <v>26</v>
      </c>
      <c r="D75" s="63">
        <v>4959</v>
      </c>
      <c r="E75" s="41">
        <v>24</v>
      </c>
      <c r="F75" s="63">
        <v>5046</v>
      </c>
      <c r="G75" s="41">
        <v>26</v>
      </c>
      <c r="H75" s="63">
        <v>5233</v>
      </c>
      <c r="I75" s="49">
        <v>25</v>
      </c>
      <c r="J75" s="63">
        <v>4541</v>
      </c>
      <c r="K75" s="49">
        <v>24</v>
      </c>
      <c r="L75" s="63">
        <v>4665.5</v>
      </c>
    </row>
    <row r="76" spans="1:19" x14ac:dyDescent="0.35">
      <c r="A76" s="41">
        <v>27</v>
      </c>
      <c r="B76" s="63">
        <v>5190</v>
      </c>
      <c r="C76" s="41">
        <v>27</v>
      </c>
      <c r="D76" s="63">
        <v>5029</v>
      </c>
      <c r="E76" s="41">
        <v>25</v>
      </c>
      <c r="F76" s="63">
        <v>5098</v>
      </c>
      <c r="G76" s="41">
        <v>27</v>
      </c>
      <c r="H76" s="63">
        <v>5219.5</v>
      </c>
      <c r="I76" s="49">
        <v>26</v>
      </c>
      <c r="J76" s="63">
        <v>4667</v>
      </c>
      <c r="K76" s="49">
        <v>29</v>
      </c>
      <c r="L76" s="63">
        <v>4685</v>
      </c>
    </row>
    <row r="77" spans="1:19" x14ac:dyDescent="0.35">
      <c r="A77" s="41">
        <v>28</v>
      </c>
      <c r="B77" s="63">
        <v>5239.5</v>
      </c>
      <c r="C77" s="41">
        <v>28</v>
      </c>
      <c r="D77" s="63">
        <v>5095</v>
      </c>
      <c r="E77" s="41">
        <v>28</v>
      </c>
      <c r="F77" s="63">
        <v>4965</v>
      </c>
      <c r="G77" s="41">
        <v>28</v>
      </c>
      <c r="H77" s="63">
        <v>5179</v>
      </c>
      <c r="I77" s="49">
        <v>27</v>
      </c>
      <c r="J77" s="63">
        <v>4636</v>
      </c>
      <c r="K77" s="49">
        <v>30</v>
      </c>
      <c r="L77" s="63">
        <v>4715</v>
      </c>
    </row>
    <row r="78" spans="1:19" x14ac:dyDescent="0.35">
      <c r="A78" s="41">
        <v>29</v>
      </c>
      <c r="B78" s="63">
        <v>5302</v>
      </c>
      <c r="C78" s="42">
        <v>31</v>
      </c>
      <c r="D78" s="64" t="s">
        <v>9</v>
      </c>
      <c r="E78" s="41">
        <v>29</v>
      </c>
      <c r="F78" s="63">
        <v>5010</v>
      </c>
      <c r="G78" s="41">
        <v>29</v>
      </c>
      <c r="H78" s="63">
        <v>5161</v>
      </c>
      <c r="I78" s="42">
        <v>30</v>
      </c>
      <c r="J78" s="64">
        <v>4595.5</v>
      </c>
      <c r="K78" s="72">
        <v>31</v>
      </c>
      <c r="L78" s="64">
        <v>4702</v>
      </c>
    </row>
    <row r="79" spans="1:19" x14ac:dyDescent="0.35">
      <c r="A79" s="41">
        <v>30</v>
      </c>
      <c r="B79" s="63">
        <v>5241</v>
      </c>
      <c r="C79" s="394"/>
      <c r="D79" s="395"/>
      <c r="E79" s="42">
        <v>30</v>
      </c>
      <c r="F79" s="64">
        <v>5093</v>
      </c>
      <c r="G79" s="42">
        <v>30</v>
      </c>
      <c r="H79" s="64">
        <v>5135.5</v>
      </c>
      <c r="I79" s="394"/>
      <c r="J79" s="395"/>
      <c r="K79" s="394"/>
      <c r="L79" s="395"/>
    </row>
    <row r="80" spans="1:19" x14ac:dyDescent="0.35">
      <c r="A80" s="42">
        <v>31</v>
      </c>
      <c r="B80" s="64">
        <v>5220</v>
      </c>
      <c r="C80" s="394"/>
      <c r="D80" s="395"/>
      <c r="E80" s="394"/>
      <c r="F80" s="395"/>
      <c r="G80" s="394"/>
      <c r="H80" s="395"/>
      <c r="I80" s="394"/>
      <c r="J80" s="395"/>
      <c r="K80" s="394"/>
      <c r="L80" s="395"/>
    </row>
    <row r="81" spans="1:16" ht="15" thickBot="1" x14ac:dyDescent="0.4">
      <c r="A81" s="384">
        <f>B82/L28-1</f>
        <v>-6.4574141581339006E-2</v>
      </c>
      <c r="B81" s="385"/>
      <c r="C81" s="384">
        <f>D82/B82-1</f>
        <v>-6.7435203849923075E-2</v>
      </c>
      <c r="D81" s="385"/>
      <c r="E81" s="384">
        <f>F82/D82-1</f>
        <v>2.3416715532437404E-2</v>
      </c>
      <c r="F81" s="385"/>
      <c r="G81" s="384">
        <f>H82/F82-1</f>
        <v>2.7884934280577589E-3</v>
      </c>
      <c r="H81" s="385"/>
      <c r="I81" s="384">
        <f>J82/H82-1</f>
        <v>-7.9342561019707936E-2</v>
      </c>
      <c r="J81" s="385"/>
      <c r="K81" s="384">
        <f>L82/J82-1</f>
        <v>-3.7277291949333047E-2</v>
      </c>
      <c r="L81" s="385"/>
    </row>
    <row r="82" spans="1:16" ht="15" thickBot="1" x14ac:dyDescent="0.4">
      <c r="A82" s="65" t="s">
        <v>10</v>
      </c>
      <c r="B82" s="66">
        <f>AVERAGE(B58:B80)</f>
        <v>5456.913043478261</v>
      </c>
      <c r="C82" s="55" t="s">
        <v>10</v>
      </c>
      <c r="D82" s="66">
        <f>AVERAGE(D58:D78)</f>
        <v>5088.9250000000002</v>
      </c>
      <c r="E82" s="55" t="s">
        <v>10</v>
      </c>
      <c r="F82" s="66">
        <f>AVERAGE(F58:F79)</f>
        <v>5208.090909090909</v>
      </c>
      <c r="G82" s="55" t="s">
        <v>10</v>
      </c>
      <c r="H82" s="66">
        <f>AVERAGE(H58:H80)</f>
        <v>5222.613636363636</v>
      </c>
      <c r="I82" s="56" t="s">
        <v>10</v>
      </c>
      <c r="J82" s="66">
        <f>AVERAGE(J58:J78)</f>
        <v>4808.2380952380954</v>
      </c>
      <c r="K82" s="55" t="s">
        <v>10</v>
      </c>
      <c r="L82" s="66">
        <f>AVERAGE(L58:L78)</f>
        <v>4629</v>
      </c>
      <c r="M82" s="79"/>
    </row>
    <row r="83" spans="1:16" ht="15" thickBot="1" x14ac:dyDescent="0.4">
      <c r="A83" s="386"/>
      <c r="B83" s="387"/>
      <c r="C83" s="388"/>
      <c r="D83" s="389"/>
      <c r="E83" s="388"/>
      <c r="F83" s="390"/>
      <c r="G83" s="388"/>
      <c r="H83" s="390"/>
      <c r="I83" s="391"/>
      <c r="J83" s="391"/>
      <c r="K83" s="392"/>
      <c r="L83" s="393"/>
    </row>
    <row r="84" spans="1:16" ht="15" thickBot="1" x14ac:dyDescent="0.4">
      <c r="A84" s="67" t="s">
        <v>11</v>
      </c>
      <c r="B84" s="67">
        <f>B82*A85</f>
        <v>17564.711704347825</v>
      </c>
      <c r="C84" s="67" t="s">
        <v>11</v>
      </c>
      <c r="D84" s="99">
        <f>D82*C85</f>
        <v>17846.351082500001</v>
      </c>
      <c r="E84" s="67" t="s">
        <v>11</v>
      </c>
      <c r="F84" s="67">
        <f>F82*E85</f>
        <v>20289.159754545453</v>
      </c>
      <c r="G84" s="67" t="s">
        <v>11</v>
      </c>
      <c r="H84" s="67">
        <f>H82*G85</f>
        <v>20224.049045454543</v>
      </c>
      <c r="I84" s="67" t="s">
        <v>11</v>
      </c>
      <c r="J84" s="67">
        <f>J82*I85</f>
        <v>18166.485171428572</v>
      </c>
      <c r="K84" s="67" t="s">
        <v>11</v>
      </c>
      <c r="L84" s="67">
        <f>L82*K85</f>
        <v>17927.6541</v>
      </c>
      <c r="N84" s="106"/>
    </row>
    <row r="85" spans="1:16" ht="15" thickBot="1" x14ac:dyDescent="0.4">
      <c r="A85" s="67">
        <v>3.2187999999999999</v>
      </c>
      <c r="B85" s="73">
        <f>B84/L30-1</f>
        <v>-3.3248112673627928E-2</v>
      </c>
      <c r="C85" s="67">
        <v>3.5068999999999999</v>
      </c>
      <c r="D85" s="73">
        <f>D84/B84-1</f>
        <v>1.6034386609514506E-2</v>
      </c>
      <c r="E85" s="67">
        <v>3.8957000000000002</v>
      </c>
      <c r="F85" s="73">
        <f>F84/D84-1</f>
        <v>0.13688000761348085</v>
      </c>
      <c r="G85" s="67">
        <v>3.8723999999999998</v>
      </c>
      <c r="H85" s="73">
        <f>H84/F84-1</f>
        <v>-3.2091377799084997E-3</v>
      </c>
      <c r="I85" s="67">
        <v>3.7782</v>
      </c>
      <c r="J85" s="73">
        <f>J84/H84-1</f>
        <v>-0.10173847330974595</v>
      </c>
      <c r="K85" s="67">
        <v>3.8729</v>
      </c>
      <c r="L85" s="73">
        <f>L84/J84-1</f>
        <v>-1.3146795826206148E-2</v>
      </c>
      <c r="O85" s="80"/>
      <c r="P85" s="106"/>
    </row>
    <row r="86" spans="1:16" x14ac:dyDescent="0.35">
      <c r="A86" s="381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3"/>
    </row>
    <row r="87" spans="1:16" x14ac:dyDescent="0.35">
      <c r="A87" s="90"/>
      <c r="B87" s="75"/>
      <c r="C87" s="38"/>
      <c r="D87" s="113"/>
      <c r="E87" s="37"/>
      <c r="F87" s="37"/>
      <c r="G87" s="36"/>
      <c r="H87" s="37"/>
      <c r="I87" s="36"/>
      <c r="J87" s="39"/>
      <c r="K87" s="38"/>
      <c r="L87" s="100"/>
    </row>
    <row r="88" spans="1:16" ht="23.5" x14ac:dyDescent="0.35">
      <c r="A88" s="74"/>
      <c r="B88" s="75"/>
      <c r="C88" s="38"/>
      <c r="D88" s="36"/>
      <c r="E88" s="108" t="s">
        <v>66</v>
      </c>
      <c r="G88" s="78"/>
      <c r="J88" s="78"/>
      <c r="K88" s="78"/>
      <c r="L88" s="100"/>
    </row>
    <row r="89" spans="1:16" x14ac:dyDescent="0.35">
      <c r="A89" s="74"/>
      <c r="B89" s="75"/>
      <c r="C89" s="38"/>
      <c r="D89" s="36"/>
      <c r="E89" s="37"/>
      <c r="F89" s="81"/>
      <c r="G89" s="81"/>
      <c r="H89" s="94"/>
      <c r="I89" s="36"/>
      <c r="J89" s="97"/>
      <c r="K89" s="38"/>
      <c r="L89" s="38"/>
    </row>
    <row r="90" spans="1:16" x14ac:dyDescent="0.35">
      <c r="F90" s="81"/>
      <c r="G90" s="81"/>
      <c r="H90" s="95"/>
      <c r="I90" s="96"/>
      <c r="J90" s="97"/>
      <c r="K90" s="96"/>
    </row>
  </sheetData>
  <mergeCells count="71">
    <mergeCell ref="I23:J23"/>
    <mergeCell ref="I24:J24"/>
    <mergeCell ref="A86:L86"/>
    <mergeCell ref="A83:B83"/>
    <mergeCell ref="C83:D83"/>
    <mergeCell ref="E83:F83"/>
    <mergeCell ref="G83:H83"/>
    <mergeCell ref="I83:J83"/>
    <mergeCell ref="K83:L83"/>
    <mergeCell ref="A81:B81"/>
    <mergeCell ref="C81:D81"/>
    <mergeCell ref="E81:F81"/>
    <mergeCell ref="G81:H81"/>
    <mergeCell ref="I81:J81"/>
    <mergeCell ref="K81:L81"/>
    <mergeCell ref="C79:D79"/>
    <mergeCell ref="I79:J79"/>
    <mergeCell ref="K79:L79"/>
    <mergeCell ref="C80:D80"/>
    <mergeCell ref="E80:F80"/>
    <mergeCell ref="I80:J80"/>
    <mergeCell ref="K80:L80"/>
    <mergeCell ref="G80:H80"/>
    <mergeCell ref="K56:L56"/>
    <mergeCell ref="A53:B53"/>
    <mergeCell ref="C53:D53"/>
    <mergeCell ref="E53:F53"/>
    <mergeCell ref="G53:H53"/>
    <mergeCell ref="I53:J53"/>
    <mergeCell ref="K53:L53"/>
    <mergeCell ref="A56:B56"/>
    <mergeCell ref="C56:D56"/>
    <mergeCell ref="E56:F56"/>
    <mergeCell ref="G56:H56"/>
    <mergeCell ref="I56:J56"/>
    <mergeCell ref="I33:J33"/>
    <mergeCell ref="E26:F26"/>
    <mergeCell ref="G26:H26"/>
    <mergeCell ref="K33:L33"/>
    <mergeCell ref="C29:D29"/>
    <mergeCell ref="E29:F29"/>
    <mergeCell ref="G29:H29"/>
    <mergeCell ref="I29:J29"/>
    <mergeCell ref="A32:L32"/>
    <mergeCell ref="A33:B33"/>
    <mergeCell ref="C33:D33"/>
    <mergeCell ref="K29:L29"/>
    <mergeCell ref="A29:B29"/>
    <mergeCell ref="E33:F33"/>
    <mergeCell ref="G33:H33"/>
    <mergeCell ref="A27:B27"/>
    <mergeCell ref="C27:D27"/>
    <mergeCell ref="C26:D26"/>
    <mergeCell ref="K26:L26"/>
    <mergeCell ref="I26:J26"/>
    <mergeCell ref="K27:L27"/>
    <mergeCell ref="I27:J27"/>
    <mergeCell ref="E27:F27"/>
    <mergeCell ref="G27:H27"/>
    <mergeCell ref="A1:L1"/>
    <mergeCell ref="A2:B2"/>
    <mergeCell ref="C2:D2"/>
    <mergeCell ref="E2:F2"/>
    <mergeCell ref="G2:H2"/>
    <mergeCell ref="I2:J2"/>
    <mergeCell ref="K2:L2"/>
    <mergeCell ref="I25:J25"/>
    <mergeCell ref="A25:B25"/>
    <mergeCell ref="A26:B26"/>
    <mergeCell ref="C24:D24"/>
    <mergeCell ref="C25:D25"/>
  </mergeCells>
  <pageMargins left="0.51181102362204722" right="0.51181102362204722" top="0.59055118110236227" bottom="0.59055118110236227" header="0.31496062992125984" footer="0.31496062992125984"/>
  <pageSetup paperSize="9" scale="80" orientation="portrait" r:id="rId1"/>
  <headerFooter>
    <oddHeader>&amp;C&amp;"-,Negrito"&amp;12ACOMPANHAMENTO COBRE LME - 2015
&amp;R&amp;D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88"/>
  <sheetViews>
    <sheetView showGridLines="0" topLeftCell="A59" zoomScaleNormal="100" workbookViewId="0">
      <selection activeCell="L83" sqref="L83"/>
    </sheetView>
  </sheetViews>
  <sheetFormatPr defaultRowHeight="14.5" x14ac:dyDescent="0.35"/>
  <cols>
    <col min="1" max="1" width="8.453125" customWidth="1"/>
    <col min="2" max="2" width="12.1796875" customWidth="1"/>
    <col min="3" max="3" width="7" bestFit="1" customWidth="1"/>
    <col min="4" max="4" width="11.453125" bestFit="1" customWidth="1"/>
    <col min="5" max="5" width="7" bestFit="1" customWidth="1"/>
    <col min="6" max="6" width="11.453125" bestFit="1" customWidth="1"/>
    <col min="7" max="7" width="7" customWidth="1"/>
    <col min="8" max="8" width="11.453125" bestFit="1" customWidth="1"/>
    <col min="9" max="9" width="7" bestFit="1" customWidth="1"/>
    <col min="10" max="10" width="11.81640625" customWidth="1"/>
    <col min="11" max="11" width="7" bestFit="1" customWidth="1"/>
    <col min="12" max="12" width="12.26953125" customWidth="1"/>
    <col min="15" max="15" width="15.54296875" bestFit="1" customWidth="1"/>
    <col min="16" max="16" width="9.1796875" bestFit="1" customWidth="1"/>
    <col min="17" max="17" width="8.81640625" customWidth="1"/>
    <col min="18" max="19" width="11.7265625" bestFit="1" customWidth="1"/>
    <col min="20" max="20" width="15.54296875" bestFit="1" customWidth="1"/>
  </cols>
  <sheetData>
    <row r="1" spans="1:20" ht="15" thickBot="1" x14ac:dyDescent="0.4">
      <c r="A1" s="381" t="s">
        <v>81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x14ac:dyDescent="0.35">
      <c r="A2" s="396" t="s">
        <v>86</v>
      </c>
      <c r="B2" s="397"/>
      <c r="C2" s="405" t="s">
        <v>87</v>
      </c>
      <c r="D2" s="406"/>
      <c r="E2" s="396" t="s">
        <v>88</v>
      </c>
      <c r="F2" s="397"/>
      <c r="G2" s="396" t="s">
        <v>85</v>
      </c>
      <c r="H2" s="397"/>
      <c r="I2" s="398" t="s">
        <v>84</v>
      </c>
      <c r="J2" s="398"/>
      <c r="K2" s="396" t="s">
        <v>89</v>
      </c>
      <c r="L2" s="397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40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4</v>
      </c>
      <c r="B4" s="63">
        <v>4645</v>
      </c>
      <c r="C4" s="41">
        <v>1</v>
      </c>
      <c r="D4" s="63">
        <v>4534</v>
      </c>
      <c r="E4" s="41">
        <v>1</v>
      </c>
      <c r="F4" s="63">
        <v>4726</v>
      </c>
      <c r="G4" s="41">
        <v>1</v>
      </c>
      <c r="H4" s="63">
        <v>4880</v>
      </c>
      <c r="I4" s="49">
        <v>3</v>
      </c>
      <c r="J4" s="63">
        <v>4960</v>
      </c>
      <c r="K4" s="41">
        <v>1</v>
      </c>
      <c r="L4" s="63">
        <v>4601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5</v>
      </c>
      <c r="B5" s="63">
        <v>4647</v>
      </c>
      <c r="C5" s="41">
        <v>2</v>
      </c>
      <c r="D5" s="63">
        <v>4605.5</v>
      </c>
      <c r="E5" s="41">
        <v>2</v>
      </c>
      <c r="F5" s="63">
        <v>4780</v>
      </c>
      <c r="G5" s="41">
        <v>4</v>
      </c>
      <c r="H5" s="63">
        <v>4816</v>
      </c>
      <c r="I5" s="49">
        <v>4</v>
      </c>
      <c r="J5" s="63">
        <v>4892</v>
      </c>
      <c r="K5" s="41">
        <v>2</v>
      </c>
      <c r="L5" s="63">
        <v>4600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6</v>
      </c>
      <c r="B6" s="63">
        <v>4600</v>
      </c>
      <c r="C6" s="41">
        <v>3</v>
      </c>
      <c r="D6" s="63">
        <v>4578.5</v>
      </c>
      <c r="E6" s="41">
        <v>3</v>
      </c>
      <c r="F6" s="63">
        <v>4830</v>
      </c>
      <c r="G6" s="41">
        <v>5</v>
      </c>
      <c r="H6" s="63">
        <v>4776</v>
      </c>
      <c r="I6" s="49">
        <v>5</v>
      </c>
      <c r="J6" s="63">
        <v>4826</v>
      </c>
      <c r="K6" s="41">
        <v>3</v>
      </c>
      <c r="L6" s="63">
        <v>4688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v>4514</v>
      </c>
      <c r="C7" s="41">
        <v>4</v>
      </c>
      <c r="D7" s="63">
        <v>4685</v>
      </c>
      <c r="E7" s="41">
        <v>4</v>
      </c>
      <c r="F7" s="63">
        <v>4918</v>
      </c>
      <c r="G7" s="41">
        <v>6</v>
      </c>
      <c r="H7" s="63">
        <v>4775</v>
      </c>
      <c r="I7" s="49">
        <v>6</v>
      </c>
      <c r="J7" s="63">
        <v>4810</v>
      </c>
      <c r="K7" s="41">
        <v>6</v>
      </c>
      <c r="L7" s="63">
        <v>4706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v>4486.5</v>
      </c>
      <c r="C8" s="41">
        <v>5</v>
      </c>
      <c r="D8" s="63">
        <v>4669</v>
      </c>
      <c r="E8" s="41">
        <v>7</v>
      </c>
      <c r="F8" s="63">
        <v>5000</v>
      </c>
      <c r="G8" s="41">
        <v>7</v>
      </c>
      <c r="H8" s="63">
        <v>4715</v>
      </c>
      <c r="I8" s="49">
        <v>9</v>
      </c>
      <c r="J8" s="63">
        <v>4739.5</v>
      </c>
      <c r="K8" s="41">
        <v>7</v>
      </c>
      <c r="L8" s="63">
        <v>4589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11</v>
      </c>
      <c r="B9" s="63">
        <v>4402.5</v>
      </c>
      <c r="C9" s="41">
        <v>8</v>
      </c>
      <c r="D9" s="63">
        <v>4572.5</v>
      </c>
      <c r="E9" s="41">
        <v>8</v>
      </c>
      <c r="F9" s="63">
        <v>4980.5</v>
      </c>
      <c r="G9" s="41">
        <v>8</v>
      </c>
      <c r="H9" s="63">
        <v>4654</v>
      </c>
      <c r="I9" s="49">
        <v>10</v>
      </c>
      <c r="J9" s="63">
        <v>4710</v>
      </c>
      <c r="K9" s="41">
        <v>8</v>
      </c>
      <c r="L9" s="63">
        <v>4590.5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12</v>
      </c>
      <c r="B10" s="63">
        <v>4355</v>
      </c>
      <c r="C10" s="41">
        <v>9</v>
      </c>
      <c r="D10" s="63">
        <v>4530.5</v>
      </c>
      <c r="E10" s="41">
        <v>9</v>
      </c>
      <c r="F10" s="63">
        <v>4935.5</v>
      </c>
      <c r="G10" s="41">
        <v>11</v>
      </c>
      <c r="H10" s="63">
        <v>4645</v>
      </c>
      <c r="I10" s="49">
        <v>11</v>
      </c>
      <c r="J10" s="63">
        <v>4748</v>
      </c>
      <c r="K10" s="41">
        <v>9</v>
      </c>
      <c r="L10" s="63">
        <v>4546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13</v>
      </c>
      <c r="B11" s="63">
        <v>4380</v>
      </c>
      <c r="C11" s="41">
        <v>10</v>
      </c>
      <c r="D11" s="63">
        <v>4507</v>
      </c>
      <c r="E11" s="41">
        <v>10</v>
      </c>
      <c r="F11" s="63">
        <v>4920.5</v>
      </c>
      <c r="G11" s="41">
        <v>12</v>
      </c>
      <c r="H11" s="63">
        <v>4715.5</v>
      </c>
      <c r="I11" s="49">
        <v>12</v>
      </c>
      <c r="J11" s="63">
        <v>4744</v>
      </c>
      <c r="K11" s="41">
        <v>10</v>
      </c>
      <c r="L11" s="63">
        <v>4504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v>4365.5</v>
      </c>
      <c r="C12" s="41">
        <v>11</v>
      </c>
      <c r="D12" s="63">
        <v>4474</v>
      </c>
      <c r="E12" s="41">
        <v>11</v>
      </c>
      <c r="F12" s="63">
        <v>4941</v>
      </c>
      <c r="G12" s="41">
        <v>13</v>
      </c>
      <c r="H12" s="63">
        <v>4838</v>
      </c>
      <c r="I12" s="49">
        <v>13</v>
      </c>
      <c r="J12" s="63">
        <v>4660</v>
      </c>
      <c r="K12" s="41">
        <v>13</v>
      </c>
      <c r="L12" s="63">
        <v>4515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15</v>
      </c>
      <c r="B13" s="63">
        <v>4310.5</v>
      </c>
      <c r="C13" s="41">
        <v>12</v>
      </c>
      <c r="D13" s="63">
        <v>4488.5</v>
      </c>
      <c r="E13" s="41">
        <v>14</v>
      </c>
      <c r="F13" s="63">
        <v>4994</v>
      </c>
      <c r="G13" s="41">
        <v>14</v>
      </c>
      <c r="H13" s="63">
        <v>4830.5</v>
      </c>
      <c r="I13" s="49">
        <v>16</v>
      </c>
      <c r="J13" s="63">
        <v>4640.5</v>
      </c>
      <c r="K13" s="41">
        <v>14</v>
      </c>
      <c r="L13" s="63">
        <v>4610.5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18</v>
      </c>
      <c r="B14" s="63">
        <v>4360</v>
      </c>
      <c r="C14" s="41">
        <v>15</v>
      </c>
      <c r="D14" s="63">
        <v>4562</v>
      </c>
      <c r="E14" s="41">
        <v>15</v>
      </c>
      <c r="F14" s="63">
        <v>4920</v>
      </c>
      <c r="G14" s="41">
        <v>15</v>
      </c>
      <c r="H14" s="63">
        <v>4813.5</v>
      </c>
      <c r="I14" s="49">
        <v>17</v>
      </c>
      <c r="J14" s="63">
        <v>4634</v>
      </c>
      <c r="K14" s="41">
        <v>15</v>
      </c>
      <c r="L14" s="63">
        <v>4632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19</v>
      </c>
      <c r="B15" s="63">
        <v>4440.5</v>
      </c>
      <c r="C15" s="41">
        <v>16</v>
      </c>
      <c r="D15" s="63">
        <v>4583.5</v>
      </c>
      <c r="E15" s="41">
        <v>16</v>
      </c>
      <c r="F15" s="63">
        <v>4945</v>
      </c>
      <c r="G15" s="41">
        <v>18</v>
      </c>
      <c r="H15" s="63">
        <v>4798</v>
      </c>
      <c r="I15" s="49">
        <v>18</v>
      </c>
      <c r="J15" s="63">
        <v>4600.5</v>
      </c>
      <c r="K15" s="41">
        <v>16</v>
      </c>
      <c r="L15" s="63">
        <v>4524.5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20</v>
      </c>
      <c r="B16" s="63">
        <v>4347</v>
      </c>
      <c r="C16" s="41">
        <v>17</v>
      </c>
      <c r="D16" s="63">
        <v>4562</v>
      </c>
      <c r="E16" s="41">
        <v>17</v>
      </c>
      <c r="F16" s="63">
        <v>5029</v>
      </c>
      <c r="G16" s="41">
        <v>19</v>
      </c>
      <c r="H16" s="63">
        <v>4812</v>
      </c>
      <c r="I16" s="49">
        <v>19</v>
      </c>
      <c r="J16" s="63">
        <v>4596</v>
      </c>
      <c r="K16" s="41">
        <v>17</v>
      </c>
      <c r="L16" s="63">
        <v>4521.5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0" x14ac:dyDescent="0.35">
      <c r="A17" s="41">
        <v>21</v>
      </c>
      <c r="B17" s="63">
        <v>4376</v>
      </c>
      <c r="C17" s="41">
        <v>18</v>
      </c>
      <c r="D17" s="63">
        <v>4577</v>
      </c>
      <c r="E17" s="41">
        <v>18</v>
      </c>
      <c r="F17" s="63">
        <v>5103</v>
      </c>
      <c r="G17" s="41">
        <v>20</v>
      </c>
      <c r="H17" s="63">
        <v>4938.5</v>
      </c>
      <c r="I17" s="49">
        <v>20</v>
      </c>
      <c r="J17" s="63">
        <v>4630.5</v>
      </c>
      <c r="K17" s="41">
        <v>20</v>
      </c>
      <c r="L17" s="63">
        <v>4585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0" x14ac:dyDescent="0.35">
      <c r="A18" s="41">
        <v>22</v>
      </c>
      <c r="B18" s="63">
        <v>4468</v>
      </c>
      <c r="C18" s="41">
        <v>19</v>
      </c>
      <c r="D18" s="63">
        <v>4590</v>
      </c>
      <c r="E18" s="41">
        <v>21</v>
      </c>
      <c r="F18" s="63">
        <v>5079.5</v>
      </c>
      <c r="G18" s="41">
        <v>21</v>
      </c>
      <c r="H18" s="63">
        <v>5025.5</v>
      </c>
      <c r="I18" s="49">
        <v>23</v>
      </c>
      <c r="J18" s="63">
        <v>4572</v>
      </c>
      <c r="K18" s="41">
        <v>21</v>
      </c>
      <c r="L18" s="63">
        <v>4587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0" x14ac:dyDescent="0.35">
      <c r="A19" s="41">
        <v>25</v>
      </c>
      <c r="B19" s="63">
        <v>4454</v>
      </c>
      <c r="C19" s="41">
        <v>22</v>
      </c>
      <c r="D19" s="63">
        <v>4696</v>
      </c>
      <c r="E19" s="41">
        <v>22</v>
      </c>
      <c r="F19" s="63">
        <v>5070</v>
      </c>
      <c r="G19" s="41">
        <v>22</v>
      </c>
      <c r="H19" s="63">
        <v>5015.5</v>
      </c>
      <c r="I19" s="49">
        <v>24</v>
      </c>
      <c r="J19" s="63">
        <v>4637</v>
      </c>
      <c r="K19" s="41">
        <v>22</v>
      </c>
      <c r="L19" s="63">
        <v>4687.5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0" x14ac:dyDescent="0.35">
      <c r="A20" s="41">
        <v>26</v>
      </c>
      <c r="B20" s="63">
        <v>4501</v>
      </c>
      <c r="C20" s="41">
        <v>23</v>
      </c>
      <c r="D20" s="63">
        <v>4663.5</v>
      </c>
      <c r="E20" s="41">
        <v>23</v>
      </c>
      <c r="F20" s="63">
        <v>5060.5</v>
      </c>
      <c r="G20" s="41">
        <v>25</v>
      </c>
      <c r="H20" s="63">
        <v>5005.5</v>
      </c>
      <c r="I20" s="49">
        <v>25</v>
      </c>
      <c r="J20" s="63">
        <v>4636</v>
      </c>
      <c r="K20" s="41">
        <v>23</v>
      </c>
      <c r="L20" s="63">
        <v>4747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0" x14ac:dyDescent="0.35">
      <c r="A21" s="41">
        <v>27</v>
      </c>
      <c r="B21" s="63">
        <v>4507.5</v>
      </c>
      <c r="C21" s="41">
        <v>24</v>
      </c>
      <c r="D21" s="63">
        <v>4585.5</v>
      </c>
      <c r="E21" s="41">
        <v>24</v>
      </c>
      <c r="F21" s="63">
        <v>4931</v>
      </c>
      <c r="G21" s="41">
        <v>26</v>
      </c>
      <c r="H21" s="63">
        <v>4935.5</v>
      </c>
      <c r="I21" s="49">
        <v>26</v>
      </c>
      <c r="J21" s="63">
        <v>4705.5</v>
      </c>
      <c r="K21" s="41">
        <v>24</v>
      </c>
      <c r="L21" s="63">
        <v>4663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0" x14ac:dyDescent="0.35">
      <c r="A22" s="41">
        <v>28</v>
      </c>
      <c r="B22" s="63">
        <v>4553.5</v>
      </c>
      <c r="C22" s="41">
        <v>25</v>
      </c>
      <c r="D22" s="63">
        <v>4655</v>
      </c>
      <c r="E22" s="41">
        <v>29</v>
      </c>
      <c r="F22" s="63">
        <v>4939.5</v>
      </c>
      <c r="G22" s="41">
        <v>27</v>
      </c>
      <c r="H22" s="63">
        <v>4932</v>
      </c>
      <c r="I22" s="49">
        <v>27</v>
      </c>
      <c r="J22" s="63">
        <v>4725.5</v>
      </c>
      <c r="K22" s="41">
        <v>27</v>
      </c>
      <c r="L22" s="63">
        <v>4692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0" x14ac:dyDescent="0.35">
      <c r="A23" s="42">
        <v>29</v>
      </c>
      <c r="B23" s="64">
        <v>4541.5</v>
      </c>
      <c r="C23" s="41">
        <v>26</v>
      </c>
      <c r="D23" s="63">
        <v>4681</v>
      </c>
      <c r="E23" s="41">
        <v>30</v>
      </c>
      <c r="F23" s="63">
        <v>4940</v>
      </c>
      <c r="G23" s="41">
        <v>28</v>
      </c>
      <c r="H23" s="63">
        <v>4912.5</v>
      </c>
      <c r="I23" s="42">
        <v>31</v>
      </c>
      <c r="J23" s="64">
        <v>4700</v>
      </c>
      <c r="K23" s="41">
        <v>28</v>
      </c>
      <c r="L23" s="63">
        <v>4777.5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0" x14ac:dyDescent="0.35">
      <c r="A24" s="394"/>
      <c r="B24" s="395"/>
      <c r="C24" s="42">
        <v>29</v>
      </c>
      <c r="D24" s="64">
        <v>4705</v>
      </c>
      <c r="E24" s="42">
        <v>31</v>
      </c>
      <c r="F24" s="64">
        <v>4855.5</v>
      </c>
      <c r="G24" s="42">
        <v>29</v>
      </c>
      <c r="H24" s="64">
        <v>5045</v>
      </c>
      <c r="I24" s="394"/>
      <c r="J24" s="395"/>
      <c r="K24" s="41">
        <v>29</v>
      </c>
      <c r="L24" s="63">
        <v>4780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</row>
    <row r="25" spans="1:20" x14ac:dyDescent="0.35">
      <c r="A25" s="394"/>
      <c r="B25" s="395"/>
      <c r="C25" s="394"/>
      <c r="D25" s="395"/>
      <c r="E25" s="394"/>
      <c r="F25" s="395"/>
      <c r="G25" s="394"/>
      <c r="H25" s="395"/>
      <c r="I25" s="394"/>
      <c r="J25" s="395"/>
      <c r="K25" s="72">
        <v>30</v>
      </c>
      <c r="L25" s="64">
        <v>4827</v>
      </c>
      <c r="O25" s="81">
        <v>41944</v>
      </c>
      <c r="P25" s="77">
        <v>6701.1350000000002</v>
      </c>
      <c r="Q25" s="79">
        <v>-5.6476550226932654E-3</v>
      </c>
      <c r="R25" s="98">
        <v>17154.905600000002</v>
      </c>
      <c r="S25" s="79">
        <v>3.8699964557842748E-2</v>
      </c>
      <c r="T25" s="104">
        <v>1.4417736971819917E-2</v>
      </c>
    </row>
    <row r="26" spans="1:20" ht="15" thickBot="1" x14ac:dyDescent="0.4">
      <c r="A26" s="384">
        <f>B27/'2015'!L82-1</f>
        <v>-3.5914884424281701E-2</v>
      </c>
      <c r="B26" s="385"/>
      <c r="C26" s="384">
        <f>D27/B27-1</f>
        <v>2.9740897535418975E-2</v>
      </c>
      <c r="D26" s="385"/>
      <c r="E26" s="384">
        <f>F27/D27-1</f>
        <v>7.6612610745557141E-2</v>
      </c>
      <c r="F26" s="385"/>
      <c r="G26" s="384">
        <f>H27/F27-1</f>
        <v>-1.944205161768453E-2</v>
      </c>
      <c r="H26" s="385"/>
      <c r="I26" s="384">
        <f>J27/H27-1</f>
        <v>-2.9477760273266651E-2</v>
      </c>
      <c r="J26" s="385"/>
      <c r="K26" s="384">
        <f>L27/J27-1</f>
        <v>-1.5540089801773904E-2</v>
      </c>
      <c r="L26" s="385"/>
      <c r="O26" s="81">
        <v>41974</v>
      </c>
      <c r="P26" s="77">
        <v>6422.9523809523807</v>
      </c>
      <c r="Q26" s="79">
        <v>-4.1512761501987239E-2</v>
      </c>
      <c r="R26" s="98">
        <v>16968.797895238094</v>
      </c>
      <c r="S26" s="79">
        <v>-1.0848658051601734E-2</v>
      </c>
      <c r="T26" s="104">
        <v>3.412665821932892E-3</v>
      </c>
    </row>
    <row r="27" spans="1:20" ht="15" thickBot="1" x14ac:dyDescent="0.4">
      <c r="A27" s="65" t="s">
        <v>10</v>
      </c>
      <c r="B27" s="66">
        <f>AVERAGE(B4:B25)</f>
        <v>4462.75</v>
      </c>
      <c r="C27" s="55" t="s">
        <v>10</v>
      </c>
      <c r="D27" s="66">
        <f>AVERAGE(D4:D24)</f>
        <v>4595.4761904761908</v>
      </c>
      <c r="E27" s="55" t="s">
        <v>10</v>
      </c>
      <c r="F27" s="66">
        <f>AVERAGE(F4:F24)</f>
        <v>4947.5476190476193</v>
      </c>
      <c r="G27" s="55" t="s">
        <v>10</v>
      </c>
      <c r="H27" s="66">
        <f>AVERAGE(H4:H25)</f>
        <v>4851.3571428571431</v>
      </c>
      <c r="I27" s="56" t="s">
        <v>10</v>
      </c>
      <c r="J27" s="66">
        <f>AVERAGE(J4:J23)</f>
        <v>4708.3500000000004</v>
      </c>
      <c r="K27" s="55" t="s">
        <v>10</v>
      </c>
      <c r="L27" s="66">
        <f>AVERAGE(L4:L25)</f>
        <v>4635.181818181818</v>
      </c>
      <c r="O27" s="81">
        <v>42005</v>
      </c>
      <c r="P27" s="77">
        <v>5791.1750000000002</v>
      </c>
      <c r="Q27" s="79">
        <v>-9.8362457555492888E-2</v>
      </c>
      <c r="R27" s="98">
        <v>15271.907592500002</v>
      </c>
      <c r="S27" s="79">
        <v>-0.10000061956152395</v>
      </c>
      <c r="T27" s="104">
        <v>-0.10000061956152395</v>
      </c>
    </row>
    <row r="28" spans="1:20" ht="15" thickBot="1" x14ac:dyDescent="0.4">
      <c r="A28" s="67" t="s">
        <v>11</v>
      </c>
      <c r="B28" s="67">
        <f>B27*A29</f>
        <v>18027.278625000003</v>
      </c>
      <c r="C28" s="67" t="s">
        <v>11</v>
      </c>
      <c r="D28" s="67">
        <f>D27*C29</f>
        <v>18233.011333333336</v>
      </c>
      <c r="E28" s="67" t="s">
        <v>11</v>
      </c>
      <c r="F28" s="67">
        <f>F27*E29</f>
        <v>18272.77762142857</v>
      </c>
      <c r="G28" s="67" t="s">
        <v>11</v>
      </c>
      <c r="H28" s="67">
        <f>H27*G29</f>
        <v>17299.454435714288</v>
      </c>
      <c r="I28" s="67" t="s">
        <v>11</v>
      </c>
      <c r="J28" s="67">
        <f>J27*I29</f>
        <v>16669.913175000002</v>
      </c>
      <c r="K28" s="67" t="s">
        <v>11</v>
      </c>
      <c r="L28" s="67">
        <f>L27*K29</f>
        <v>15898.673636363637</v>
      </c>
      <c r="O28" s="81">
        <v>42036</v>
      </c>
      <c r="P28" s="77">
        <v>5702.0749999999998</v>
      </c>
      <c r="Q28" s="79">
        <v>-1.5385478767262373E-2</v>
      </c>
      <c r="R28" s="98">
        <v>16059.837216749998</v>
      </c>
      <c r="S28" s="79">
        <v>5.1593399153158082E-2</v>
      </c>
      <c r="T28" s="104">
        <v>-5.3566592288966763E-2</v>
      </c>
    </row>
    <row r="29" spans="1:20" ht="15" thickBot="1" x14ac:dyDescent="0.4">
      <c r="A29" s="67">
        <v>4.0395000000000003</v>
      </c>
      <c r="B29" s="73">
        <f>B28/'2015'!L84-1</f>
        <v>5.5570307439165578E-3</v>
      </c>
      <c r="C29" s="67">
        <v>3.9676</v>
      </c>
      <c r="D29" s="73">
        <f>D28/B28-1</f>
        <v>1.14122998048094E-2</v>
      </c>
      <c r="E29" s="67">
        <v>3.6932999999999998</v>
      </c>
      <c r="F29" s="73">
        <f>F28/D28-1</f>
        <v>2.1810049567914103E-3</v>
      </c>
      <c r="G29" s="67">
        <v>3.5659000000000001</v>
      </c>
      <c r="H29" s="73">
        <f>H28/F28-1</f>
        <v>-5.3266296229253163E-2</v>
      </c>
      <c r="I29" s="67">
        <v>3.5405000000000002</v>
      </c>
      <c r="J29" s="73">
        <f>J28/H28-1</f>
        <v>-3.6390815852239466E-2</v>
      </c>
      <c r="K29" s="67">
        <v>3.43</v>
      </c>
      <c r="L29" s="73">
        <f>L28/J28-1</f>
        <v>-4.6265360265523081E-2</v>
      </c>
      <c r="O29" s="81">
        <v>42064</v>
      </c>
      <c r="P29" s="77">
        <v>5919.9047619047615</v>
      </c>
      <c r="Q29" s="79">
        <v>3.8201840892089667E-2</v>
      </c>
      <c r="R29" s="98">
        <v>18601.524742857142</v>
      </c>
      <c r="S29" s="79">
        <v>0.15826359207777196</v>
      </c>
      <c r="T29" s="104">
        <v>9.6219358477787953E-2</v>
      </c>
    </row>
    <row r="30" spans="1:20" ht="15" thickBot="1" x14ac:dyDescent="0.4">
      <c r="A30" s="381" t="s">
        <v>81</v>
      </c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O30" s="81">
        <v>42095</v>
      </c>
      <c r="P30" s="77">
        <v>6028.4775</v>
      </c>
      <c r="Q30" s="79">
        <v>1.8340284592738065E-2</v>
      </c>
      <c r="R30" s="98">
        <v>18401.927568750001</v>
      </c>
      <c r="S30" s="79">
        <v>-1.0730151257293263E-2</v>
      </c>
      <c r="T30" s="104">
        <v>8.4456758950148147E-2</v>
      </c>
    </row>
    <row r="31" spans="1:20" x14ac:dyDescent="0.35">
      <c r="A31" s="405" t="s">
        <v>101</v>
      </c>
      <c r="B31" s="406"/>
      <c r="C31" s="405" t="s">
        <v>100</v>
      </c>
      <c r="D31" s="406"/>
      <c r="E31" s="401" t="s">
        <v>99</v>
      </c>
      <c r="F31" s="402"/>
      <c r="G31" s="405" t="s">
        <v>98</v>
      </c>
      <c r="H31" s="406"/>
      <c r="I31" s="401" t="s">
        <v>102</v>
      </c>
      <c r="J31" s="402"/>
      <c r="K31" s="405" t="s">
        <v>95</v>
      </c>
      <c r="L31" s="406"/>
      <c r="O31" s="81">
        <v>42125</v>
      </c>
      <c r="P31" s="77">
        <v>6300.605263157895</v>
      </c>
      <c r="Q31" s="79">
        <v>4.5140379665992825E-2</v>
      </c>
      <c r="R31" s="98">
        <v>19242.048473684212</v>
      </c>
      <c r="S31" s="79">
        <v>4.5653962162143014E-2</v>
      </c>
      <c r="T31" s="104">
        <v>0.13396650678973865</v>
      </c>
    </row>
    <row r="32" spans="1:20" x14ac:dyDescent="0.35">
      <c r="A32" s="44"/>
      <c r="B32" s="50" t="s">
        <v>7</v>
      </c>
      <c r="C32" s="51"/>
      <c r="D32" s="40" t="s">
        <v>8</v>
      </c>
      <c r="E32" s="48"/>
      <c r="F32" s="58" t="s">
        <v>8</v>
      </c>
      <c r="G32" s="51"/>
      <c r="H32" s="40" t="s">
        <v>8</v>
      </c>
      <c r="I32" s="49"/>
      <c r="J32" s="53" t="s">
        <v>18</v>
      </c>
      <c r="K32" s="51"/>
      <c r="L32" s="40" t="s">
        <v>8</v>
      </c>
      <c r="M32" s="106"/>
      <c r="O32" s="81">
        <v>42156</v>
      </c>
      <c r="P32" s="77">
        <v>5833.613636363636</v>
      </c>
      <c r="Q32" s="79">
        <v>-7.4118534218441168E-2</v>
      </c>
      <c r="R32" s="98">
        <v>18168.789670454546</v>
      </c>
      <c r="S32" s="79">
        <v>-5.5776743557084174E-2</v>
      </c>
      <c r="T32" s="104">
        <v>7.0717547738204933E-2</v>
      </c>
    </row>
    <row r="33" spans="1:20" ht="26.25" hidden="1" customHeight="1" x14ac:dyDescent="0.35">
      <c r="A33" s="41"/>
      <c r="B33" s="63"/>
      <c r="C33" s="41"/>
      <c r="D33" s="63"/>
      <c r="E33" s="49"/>
      <c r="F33" s="54"/>
      <c r="G33" s="41"/>
      <c r="H33" s="47"/>
      <c r="I33" s="49"/>
      <c r="J33" s="54"/>
      <c r="K33" s="41"/>
      <c r="L33" s="47"/>
      <c r="O33" s="81">
        <v>42186</v>
      </c>
      <c r="T33" s="104">
        <v>-1</v>
      </c>
    </row>
    <row r="34" spans="1:20" hidden="1" x14ac:dyDescent="0.35">
      <c r="A34" s="41"/>
      <c r="B34" s="63"/>
      <c r="C34" s="41"/>
      <c r="D34" s="63"/>
      <c r="E34" s="49"/>
      <c r="F34" s="54"/>
      <c r="G34" s="41"/>
      <c r="H34" s="47"/>
      <c r="I34" s="49"/>
      <c r="J34" s="54"/>
      <c r="K34" s="41"/>
      <c r="L34" s="47"/>
      <c r="O34" s="81">
        <v>42217</v>
      </c>
      <c r="T34" s="104">
        <v>-1</v>
      </c>
    </row>
    <row r="35" spans="1:20" hidden="1" x14ac:dyDescent="0.35">
      <c r="A35" s="41"/>
      <c r="B35" s="63"/>
      <c r="C35" s="41"/>
      <c r="D35" s="63"/>
      <c r="E35" s="49"/>
      <c r="F35" s="54"/>
      <c r="G35" s="41"/>
      <c r="H35" s="47"/>
      <c r="I35" s="49"/>
      <c r="J35" s="54"/>
      <c r="K35" s="41"/>
      <c r="L35" s="47"/>
      <c r="O35" s="81">
        <v>42248</v>
      </c>
      <c r="T35" s="104">
        <v>-1</v>
      </c>
    </row>
    <row r="36" spans="1:20" hidden="1" x14ac:dyDescent="0.35">
      <c r="A36" s="41"/>
      <c r="B36" s="63"/>
      <c r="C36" s="41"/>
      <c r="D36" s="63"/>
      <c r="E36" s="49"/>
      <c r="F36" s="54"/>
      <c r="G36" s="41"/>
      <c r="H36" s="47"/>
      <c r="I36" s="49"/>
      <c r="J36" s="54"/>
      <c r="K36" s="41"/>
      <c r="L36" s="47"/>
      <c r="O36" s="81">
        <v>42278</v>
      </c>
      <c r="T36" s="104">
        <v>-1</v>
      </c>
    </row>
    <row r="37" spans="1:20" hidden="1" x14ac:dyDescent="0.35">
      <c r="A37" s="41"/>
      <c r="B37" s="63"/>
      <c r="C37" s="41"/>
      <c r="D37" s="63"/>
      <c r="E37" s="49"/>
      <c r="F37" s="54"/>
      <c r="G37" s="41"/>
      <c r="H37" s="47"/>
      <c r="I37" s="49"/>
      <c r="J37" s="54"/>
      <c r="K37" s="41"/>
      <c r="L37" s="47"/>
      <c r="O37" s="81">
        <v>42309</v>
      </c>
      <c r="T37" s="104">
        <v>-1</v>
      </c>
    </row>
    <row r="38" spans="1:20" hidden="1" x14ac:dyDescent="0.35">
      <c r="A38" s="41"/>
      <c r="B38" s="63"/>
      <c r="C38" s="41"/>
      <c r="D38" s="63"/>
      <c r="E38" s="49"/>
      <c r="F38" s="54"/>
      <c r="G38" s="41"/>
      <c r="H38" s="47"/>
      <c r="I38" s="49"/>
      <c r="J38" s="54"/>
      <c r="K38" s="41"/>
      <c r="L38" s="47"/>
      <c r="O38" s="81">
        <v>42339</v>
      </c>
      <c r="T38" s="104">
        <v>-1</v>
      </c>
    </row>
    <row r="39" spans="1:20" hidden="1" x14ac:dyDescent="0.35">
      <c r="A39" s="41"/>
      <c r="B39" s="63"/>
      <c r="C39" s="41"/>
      <c r="D39" s="63"/>
      <c r="E39" s="49"/>
      <c r="F39" s="54"/>
      <c r="G39" s="41"/>
      <c r="H39" s="47"/>
      <c r="I39" s="49"/>
      <c r="J39" s="54"/>
      <c r="K39" s="41"/>
      <c r="L39" s="47"/>
      <c r="O39" s="81">
        <v>42370</v>
      </c>
      <c r="T39" s="104" t="e">
        <v>#DIV/0!</v>
      </c>
    </row>
    <row r="40" spans="1:20" hidden="1" x14ac:dyDescent="0.35">
      <c r="A40" s="41"/>
      <c r="B40" s="63"/>
      <c r="C40" s="41"/>
      <c r="D40" s="63"/>
      <c r="E40" s="49"/>
      <c r="F40" s="54"/>
      <c r="G40" s="41"/>
      <c r="H40" s="47"/>
      <c r="I40" s="49"/>
      <c r="J40" s="54"/>
      <c r="K40" s="41"/>
      <c r="L40" s="47"/>
      <c r="O40" s="81">
        <v>42401</v>
      </c>
      <c r="T40" s="104" t="e">
        <v>#DIV/0!</v>
      </c>
    </row>
    <row r="41" spans="1:20" hidden="1" x14ac:dyDescent="0.35">
      <c r="A41" s="41"/>
      <c r="B41" s="63"/>
      <c r="C41" s="41"/>
      <c r="D41" s="63"/>
      <c r="E41" s="49"/>
      <c r="F41" s="54"/>
      <c r="G41" s="41"/>
      <c r="H41" s="47"/>
      <c r="I41" s="49"/>
      <c r="J41" s="54"/>
      <c r="K41" s="41"/>
      <c r="L41" s="47"/>
      <c r="O41" s="81">
        <v>42430</v>
      </c>
      <c r="T41" s="104" t="e">
        <v>#DIV/0!</v>
      </c>
    </row>
    <row r="42" spans="1:20" hidden="1" x14ac:dyDescent="0.35">
      <c r="A42" s="41"/>
      <c r="B42" s="63"/>
      <c r="C42" s="41"/>
      <c r="D42" s="63"/>
      <c r="E42" s="49"/>
      <c r="F42" s="54"/>
      <c r="G42" s="41"/>
      <c r="H42" s="47"/>
      <c r="I42" s="49"/>
      <c r="J42" s="54"/>
      <c r="K42" s="41"/>
      <c r="L42" s="47"/>
      <c r="O42" s="81">
        <v>42461</v>
      </c>
      <c r="T42" s="104" t="e">
        <v>#DIV/0!</v>
      </c>
    </row>
    <row r="43" spans="1:20" hidden="1" x14ac:dyDescent="0.35">
      <c r="A43" s="41"/>
      <c r="B43" s="63"/>
      <c r="C43" s="41"/>
      <c r="D43" s="63"/>
      <c r="E43" s="49"/>
      <c r="F43" s="54"/>
      <c r="G43" s="41"/>
      <c r="H43" s="47"/>
      <c r="I43" s="49"/>
      <c r="J43" s="54"/>
      <c r="K43" s="41"/>
      <c r="L43" s="47"/>
      <c r="O43" s="81">
        <v>42491</v>
      </c>
      <c r="T43" s="104" t="e">
        <v>#DIV/0!</v>
      </c>
    </row>
    <row r="44" spans="1:20" hidden="1" x14ac:dyDescent="0.35">
      <c r="A44" s="41"/>
      <c r="B44" s="63"/>
      <c r="C44" s="41"/>
      <c r="D44" s="63"/>
      <c r="E44" s="49"/>
      <c r="F44" s="54"/>
      <c r="G44" s="41"/>
      <c r="H44" s="47"/>
      <c r="I44" s="49"/>
      <c r="J44" s="54"/>
      <c r="K44" s="41"/>
      <c r="L44" s="47"/>
      <c r="O44" s="81">
        <v>42522</v>
      </c>
      <c r="T44" s="104" t="e">
        <v>#DIV/0!</v>
      </c>
    </row>
    <row r="45" spans="1:20" hidden="1" x14ac:dyDescent="0.35">
      <c r="A45" s="41"/>
      <c r="B45" s="63"/>
      <c r="C45" s="41"/>
      <c r="D45" s="63"/>
      <c r="E45" s="49"/>
      <c r="F45" s="54"/>
      <c r="G45" s="41"/>
      <c r="H45" s="47"/>
      <c r="I45" s="49"/>
      <c r="J45" s="54"/>
      <c r="K45" s="68"/>
      <c r="L45" s="69"/>
      <c r="O45" s="81">
        <v>42552</v>
      </c>
      <c r="T45" s="104" t="e">
        <v>#DIV/0!</v>
      </c>
    </row>
    <row r="46" spans="1:20" hidden="1" x14ac:dyDescent="0.35">
      <c r="A46" s="41"/>
      <c r="B46" s="63"/>
      <c r="C46" s="41"/>
      <c r="D46" s="63"/>
      <c r="E46" s="42"/>
      <c r="F46" s="64"/>
      <c r="G46" s="41"/>
      <c r="H46" s="47"/>
      <c r="I46" s="68"/>
      <c r="J46" s="69"/>
      <c r="K46" s="86"/>
      <c r="L46" s="87"/>
      <c r="O46" s="81">
        <v>42583</v>
      </c>
      <c r="T46" s="104" t="e">
        <v>#DIV/0!</v>
      </c>
    </row>
    <row r="47" spans="1:20" ht="15" hidden="1" thickBot="1" x14ac:dyDescent="0.4">
      <c r="A47" s="41"/>
      <c r="B47" s="63"/>
      <c r="C47" s="42"/>
      <c r="D47" s="64"/>
      <c r="E47" s="45"/>
      <c r="F47" s="46"/>
      <c r="G47" s="41"/>
      <c r="H47" s="47"/>
      <c r="I47" s="65"/>
      <c r="J47" s="85"/>
      <c r="K47" s="65"/>
      <c r="L47" s="85"/>
      <c r="O47" s="81">
        <v>42614</v>
      </c>
      <c r="T47" s="104" t="e">
        <v>#DIV/0!</v>
      </c>
    </row>
    <row r="48" spans="1:20" hidden="1" x14ac:dyDescent="0.35">
      <c r="A48" s="42"/>
      <c r="B48" s="64"/>
      <c r="C48" s="45"/>
      <c r="D48" s="46"/>
      <c r="E48" s="57"/>
      <c r="F48" s="59"/>
      <c r="G48" s="68"/>
      <c r="H48" s="69"/>
      <c r="I48" s="83"/>
      <c r="J48" s="84"/>
      <c r="K48" s="88"/>
      <c r="L48" s="89"/>
      <c r="O48" s="81">
        <v>42644</v>
      </c>
      <c r="T48" s="104" t="e">
        <v>#DIV/0!</v>
      </c>
    </row>
    <row r="49" spans="1:24" ht="15" hidden="1" thickBot="1" x14ac:dyDescent="0.4">
      <c r="A49" s="61" t="s">
        <v>19</v>
      </c>
      <c r="B49" s="60" t="e">
        <v>#DIV/0!</v>
      </c>
      <c r="C49" s="61" t="s">
        <v>19</v>
      </c>
      <c r="D49" s="60" t="e">
        <v>#DIV/0!</v>
      </c>
      <c r="E49" s="61" t="s">
        <v>19</v>
      </c>
      <c r="F49" s="62" t="e">
        <v>#DIV/0!</v>
      </c>
      <c r="G49" s="65" t="s">
        <v>19</v>
      </c>
      <c r="H49" s="70" t="e">
        <v>#DIV/0!</v>
      </c>
      <c r="I49" s="65" t="s">
        <v>19</v>
      </c>
      <c r="J49" s="70" t="e">
        <v>#DIV/0!</v>
      </c>
      <c r="K49" s="61" t="s">
        <v>19</v>
      </c>
      <c r="L49" s="70" t="e">
        <v>#DIV/0!</v>
      </c>
      <c r="O49" s="81">
        <v>42675</v>
      </c>
      <c r="T49" s="104" t="e">
        <v>#DIV/0!</v>
      </c>
    </row>
    <row r="50" spans="1:24" ht="15" hidden="1" thickBot="1" x14ac:dyDescent="0.4">
      <c r="A50" s="55" t="s">
        <v>10</v>
      </c>
      <c r="B50" s="66" t="e">
        <v>#DIV/0!</v>
      </c>
      <c r="C50" s="55" t="s">
        <v>10</v>
      </c>
      <c r="D50" s="66" t="e">
        <v>#DIV/0!</v>
      </c>
      <c r="E50" s="56" t="s">
        <v>10</v>
      </c>
      <c r="F50" s="66" t="e">
        <v>#DIV/0!</v>
      </c>
      <c r="G50" s="55" t="s">
        <v>10</v>
      </c>
      <c r="H50" s="66" t="e">
        <v>#DIV/0!</v>
      </c>
      <c r="I50" s="56" t="s">
        <v>10</v>
      </c>
      <c r="J50" s="66" t="e">
        <v>#DIV/0!</v>
      </c>
      <c r="K50" s="55" t="s">
        <v>10</v>
      </c>
      <c r="L50" s="66" t="e">
        <v>#DIV/0!</v>
      </c>
      <c r="O50" s="81">
        <v>42705</v>
      </c>
      <c r="T50" s="104" t="e">
        <v>#DIV/0!</v>
      </c>
    </row>
    <row r="51" spans="1:24" ht="15" hidden="1" thickBot="1" x14ac:dyDescent="0.4">
      <c r="A51" s="407" t="e">
        <v>#DIV/0!</v>
      </c>
      <c r="B51" s="408"/>
      <c r="C51" s="399" t="e">
        <v>#DIV/0!</v>
      </c>
      <c r="D51" s="404"/>
      <c r="E51" s="399" t="e">
        <v>#DIV/0!</v>
      </c>
      <c r="F51" s="404"/>
      <c r="G51" s="399" t="e">
        <v>#DIV/0!</v>
      </c>
      <c r="H51" s="404"/>
      <c r="I51" s="399" t="e">
        <v>#DIV/0!</v>
      </c>
      <c r="J51" s="400"/>
      <c r="K51" s="403" t="e">
        <v>#DIV/0!</v>
      </c>
      <c r="L51" s="400"/>
      <c r="O51" s="81">
        <v>42736</v>
      </c>
      <c r="T51" s="104" t="e">
        <v>#DIV/0!</v>
      </c>
    </row>
    <row r="52" spans="1:24" ht="15" hidden="1" thickBot="1" x14ac:dyDescent="0.4">
      <c r="A52" s="67" t="s">
        <v>11</v>
      </c>
      <c r="B52" s="67" t="e">
        <v>#DIV/0!</v>
      </c>
      <c r="C52" s="67" t="s">
        <v>11</v>
      </c>
      <c r="D52" s="67" t="e">
        <v>#DIV/0!</v>
      </c>
      <c r="E52" s="67" t="s">
        <v>11</v>
      </c>
      <c r="F52" s="67" t="e">
        <v>#DIV/0!</v>
      </c>
      <c r="G52" s="67" t="s">
        <v>11</v>
      </c>
      <c r="H52" s="67" t="e">
        <v>#DIV/0!</v>
      </c>
      <c r="I52" s="67" t="s">
        <v>11</v>
      </c>
      <c r="J52" s="67" t="e">
        <v>#DIV/0!</v>
      </c>
      <c r="K52" s="67" t="s">
        <v>11</v>
      </c>
      <c r="L52" s="67" t="e">
        <v>#DIV/0!</v>
      </c>
      <c r="O52" s="81">
        <v>42767</v>
      </c>
      <c r="T52" s="104" t="e">
        <v>#DIV/0!</v>
      </c>
    </row>
    <row r="53" spans="1:24" ht="15" hidden="1" thickBot="1" x14ac:dyDescent="0.4">
      <c r="A53" s="67"/>
      <c r="B53" s="73" t="e">
        <v>#DIV/0!</v>
      </c>
      <c r="C53" s="67"/>
      <c r="D53" s="73" t="e">
        <v>#DIV/0!</v>
      </c>
      <c r="E53" s="67"/>
      <c r="F53" s="73" t="e">
        <v>#DIV/0!</v>
      </c>
      <c r="G53" s="67"/>
      <c r="H53" s="73" t="e">
        <v>#DIV/0!</v>
      </c>
      <c r="I53" s="67"/>
      <c r="J53" s="73" t="e">
        <v>#DIV/0!</v>
      </c>
      <c r="K53" s="67"/>
      <c r="L53" s="73" t="e">
        <v>#DIV/0!</v>
      </c>
      <c r="O53" s="81">
        <v>42795</v>
      </c>
      <c r="T53" s="104" t="e">
        <v>#DIV/0!</v>
      </c>
    </row>
    <row r="54" spans="1:24" hidden="1" x14ac:dyDescent="0.35">
      <c r="A54" s="396" t="s">
        <v>90</v>
      </c>
      <c r="B54" s="397"/>
      <c r="C54" s="396" t="s">
        <v>91</v>
      </c>
      <c r="D54" s="397"/>
      <c r="E54" s="396" t="s">
        <v>92</v>
      </c>
      <c r="F54" s="397"/>
      <c r="G54" s="405" t="s">
        <v>93</v>
      </c>
      <c r="H54" s="406"/>
      <c r="I54" s="405" t="s">
        <v>94</v>
      </c>
      <c r="J54" s="406"/>
      <c r="K54" s="405" t="s">
        <v>95</v>
      </c>
      <c r="L54" s="406"/>
      <c r="O54" s="81">
        <v>42826</v>
      </c>
      <c r="T54" s="104" t="e">
        <v>#DIV/0!</v>
      </c>
    </row>
    <row r="55" spans="1:24" hidden="1" x14ac:dyDescent="0.35">
      <c r="A55" s="44"/>
      <c r="B55" s="50" t="s">
        <v>7</v>
      </c>
      <c r="C55" s="51"/>
      <c r="D55" s="40" t="s">
        <v>8</v>
      </c>
      <c r="E55" s="51"/>
      <c r="F55" s="52" t="s">
        <v>8</v>
      </c>
      <c r="G55" s="51"/>
      <c r="H55" s="40" t="s">
        <v>8</v>
      </c>
      <c r="I55" s="49"/>
      <c r="J55" s="53" t="s">
        <v>8</v>
      </c>
      <c r="K55" s="51"/>
      <c r="L55" s="40" t="s">
        <v>8</v>
      </c>
      <c r="O55" s="81">
        <v>42856</v>
      </c>
      <c r="T55" s="104" t="e">
        <v>#DIV/0!</v>
      </c>
    </row>
    <row r="56" spans="1:24" ht="15" customHeight="1" x14ac:dyDescent="0.35">
      <c r="A56" s="41">
        <v>1</v>
      </c>
      <c r="B56" s="63">
        <v>4783.5</v>
      </c>
      <c r="C56" s="41">
        <v>1</v>
      </c>
      <c r="D56" s="63">
        <v>4906.5</v>
      </c>
      <c r="E56" s="41">
        <v>1</v>
      </c>
      <c r="F56" s="63">
        <v>4619.5</v>
      </c>
      <c r="G56" s="41">
        <v>3</v>
      </c>
      <c r="H56" s="63">
        <v>4807</v>
      </c>
      <c r="I56" s="49">
        <v>1</v>
      </c>
      <c r="J56" s="63">
        <v>4862.5</v>
      </c>
      <c r="K56" s="49">
        <v>1</v>
      </c>
      <c r="L56" s="63">
        <v>5773</v>
      </c>
      <c r="O56" s="81">
        <v>42186</v>
      </c>
      <c r="P56" s="77">
        <v>5456.913043478261</v>
      </c>
      <c r="Q56" s="79">
        <v>-6.4574141581339006E-2</v>
      </c>
      <c r="R56" s="98">
        <v>17564.711704347825</v>
      </c>
      <c r="S56" s="79">
        <f>R56/R32-1</f>
        <v>-3.3248112673627928E-2</v>
      </c>
      <c r="T56" s="104">
        <v>3.5118210069374545E-2</v>
      </c>
    </row>
    <row r="57" spans="1:24" x14ac:dyDescent="0.35">
      <c r="A57" s="41">
        <v>4</v>
      </c>
      <c r="B57" s="63">
        <v>4920</v>
      </c>
      <c r="C57" s="41">
        <v>2</v>
      </c>
      <c r="D57" s="63">
        <v>4885.25</v>
      </c>
      <c r="E57" s="41">
        <v>2</v>
      </c>
      <c r="F57" s="63">
        <v>4606.75</v>
      </c>
      <c r="G57" s="41">
        <v>4</v>
      </c>
      <c r="H57" s="63">
        <v>4790.5</v>
      </c>
      <c r="I57" s="49">
        <v>2</v>
      </c>
      <c r="J57" s="63">
        <v>4871</v>
      </c>
      <c r="K57" s="49">
        <v>2</v>
      </c>
      <c r="L57" s="63">
        <v>5736</v>
      </c>
      <c r="O57" s="81">
        <v>42217</v>
      </c>
      <c r="P57" s="77">
        <v>5088.9250000000002</v>
      </c>
      <c r="Q57" s="79">
        <v>-6.7435203849923075E-2</v>
      </c>
      <c r="R57" s="98">
        <v>17846.351082500001</v>
      </c>
      <c r="S57" s="79">
        <f t="shared" ref="S57:S71" si="0">R57/R56-1</f>
        <v>1.6034386609514506E-2</v>
      </c>
      <c r="T57" s="104">
        <v>5.1715695636175285E-2</v>
      </c>
    </row>
    <row r="58" spans="1:24" x14ac:dyDescent="0.35">
      <c r="A58" s="41">
        <v>5</v>
      </c>
      <c r="B58" s="63">
        <v>4840</v>
      </c>
      <c r="C58" s="41">
        <v>3</v>
      </c>
      <c r="D58" s="63">
        <v>4844.25</v>
      </c>
      <c r="E58" s="41">
        <v>5</v>
      </c>
      <c r="F58" s="63">
        <v>4602.75</v>
      </c>
      <c r="G58" s="41">
        <v>5</v>
      </c>
      <c r="H58" s="63">
        <v>4777.5</v>
      </c>
      <c r="I58" s="49">
        <v>3</v>
      </c>
      <c r="J58" s="63">
        <v>4918</v>
      </c>
      <c r="K58" s="49">
        <v>5</v>
      </c>
      <c r="L58" s="63">
        <v>5851.5</v>
      </c>
      <c r="O58" s="81">
        <v>42248</v>
      </c>
      <c r="P58" s="77">
        <v>5208.090909090909</v>
      </c>
      <c r="Q58" s="79">
        <v>2.3416715532437404E-2</v>
      </c>
      <c r="R58" s="98">
        <v>20289.159754545453</v>
      </c>
      <c r="S58" s="79">
        <f t="shared" si="0"/>
        <v>0.13688000761348085</v>
      </c>
      <c r="T58" s="104">
        <v>0.1956745480620723</v>
      </c>
    </row>
    <row r="59" spans="1:24" x14ac:dyDescent="0.35">
      <c r="A59" s="41">
        <v>6</v>
      </c>
      <c r="B59" s="63">
        <v>4706</v>
      </c>
      <c r="C59" s="41">
        <v>4</v>
      </c>
      <c r="D59" s="63">
        <v>4786.5</v>
      </c>
      <c r="E59" s="41">
        <v>6</v>
      </c>
      <c r="F59" s="63">
        <v>4622.25</v>
      </c>
      <c r="G59" s="41">
        <v>6</v>
      </c>
      <c r="H59" s="63">
        <v>4742</v>
      </c>
      <c r="I59" s="49">
        <v>4</v>
      </c>
      <c r="J59" s="63">
        <v>4943</v>
      </c>
      <c r="K59" s="49">
        <v>6</v>
      </c>
      <c r="L59" s="63">
        <v>5856</v>
      </c>
      <c r="O59" s="81">
        <v>42278</v>
      </c>
      <c r="P59" s="77">
        <v>5222.613636363636</v>
      </c>
      <c r="Q59" s="79">
        <v>2.7884934280577589E-3</v>
      </c>
      <c r="R59" s="98">
        <v>20224.049045454543</v>
      </c>
      <c r="S59" s="79">
        <f t="shared" si="0"/>
        <v>-3.2091377799084997E-3</v>
      </c>
      <c r="T59" s="104">
        <v>0.19183746369741139</v>
      </c>
    </row>
    <row r="60" spans="1:24" x14ac:dyDescent="0.35">
      <c r="A60" s="41">
        <v>7</v>
      </c>
      <c r="B60" s="63">
        <v>4725</v>
      </c>
      <c r="C60" s="41">
        <v>5</v>
      </c>
      <c r="D60" s="63">
        <v>4792.25</v>
      </c>
      <c r="E60" s="41">
        <v>7</v>
      </c>
      <c r="F60" s="63">
        <v>4641.5</v>
      </c>
      <c r="G60" s="41">
        <v>7</v>
      </c>
      <c r="H60" s="63">
        <v>4742</v>
      </c>
      <c r="I60" s="49">
        <v>7</v>
      </c>
      <c r="J60" s="63">
        <v>5032</v>
      </c>
      <c r="K60" s="49">
        <v>7</v>
      </c>
      <c r="L60" s="63">
        <v>5903.5</v>
      </c>
      <c r="O60" s="81">
        <v>42309</v>
      </c>
      <c r="P60" s="77">
        <v>4808.2380952380954</v>
      </c>
      <c r="Q60" s="79">
        <v>-7.9342561019707936E-2</v>
      </c>
      <c r="R60" s="98">
        <v>18166.485171428572</v>
      </c>
      <c r="S60" s="79">
        <f t="shared" si="0"/>
        <v>-0.10173847330974595</v>
      </c>
      <c r="T60" s="104">
        <v>7.0581739707477054E-2</v>
      </c>
    </row>
    <row r="61" spans="1:24" x14ac:dyDescent="0.35">
      <c r="A61" s="41">
        <v>8</v>
      </c>
      <c r="B61" s="63">
        <v>4709.5</v>
      </c>
      <c r="C61" s="41">
        <v>8</v>
      </c>
      <c r="D61" s="63">
        <v>4795.5</v>
      </c>
      <c r="E61" s="41">
        <v>8</v>
      </c>
      <c r="F61" s="63">
        <v>4617.25</v>
      </c>
      <c r="G61" s="41">
        <v>10</v>
      </c>
      <c r="H61" s="63">
        <v>4786</v>
      </c>
      <c r="I61" s="49">
        <v>8</v>
      </c>
      <c r="J61" s="63">
        <v>5044</v>
      </c>
      <c r="K61" s="49">
        <v>8</v>
      </c>
      <c r="L61" s="63">
        <v>5838</v>
      </c>
      <c r="O61" s="81">
        <v>42339</v>
      </c>
      <c r="P61" s="77">
        <v>4629</v>
      </c>
      <c r="Q61" s="79">
        <v>-3.7277291949333047E-2</v>
      </c>
      <c r="R61" s="98">
        <v>17927.6541</v>
      </c>
      <c r="S61" s="79">
        <f t="shared" si="0"/>
        <v>-1.3146795826206148E-2</v>
      </c>
      <c r="T61" s="104">
        <f>R61/R26-1</f>
        <v>5.6507020160278199E-2</v>
      </c>
    </row>
    <row r="62" spans="1:24" x14ac:dyDescent="0.35">
      <c r="A62" s="41">
        <v>11</v>
      </c>
      <c r="B62" s="63">
        <v>4745.75</v>
      </c>
      <c r="C62" s="41">
        <v>9</v>
      </c>
      <c r="D62" s="63">
        <v>4778.5</v>
      </c>
      <c r="E62" s="41">
        <v>9</v>
      </c>
      <c r="F62" s="63">
        <v>4622.25</v>
      </c>
      <c r="G62" s="41">
        <v>11</v>
      </c>
      <c r="H62" s="63">
        <v>4801.5</v>
      </c>
      <c r="I62" s="49">
        <v>9</v>
      </c>
      <c r="J62" s="63">
        <v>5335</v>
      </c>
      <c r="K62" s="49">
        <v>9</v>
      </c>
      <c r="L62" s="63">
        <v>5824</v>
      </c>
      <c r="O62" s="81">
        <v>42370</v>
      </c>
      <c r="P62" s="77">
        <f>B27</f>
        <v>4462.75</v>
      </c>
      <c r="Q62" s="79">
        <f t="shared" ref="Q62:Q67" si="1">P62/P61-1</f>
        <v>-3.5914884424281701E-2</v>
      </c>
      <c r="R62" s="80">
        <f>B28</f>
        <v>18027.278625000003</v>
      </c>
      <c r="S62" s="79">
        <f t="shared" si="0"/>
        <v>5.5570307439165578E-3</v>
      </c>
      <c r="T62" s="104">
        <f>R62/$R$61-1</f>
        <v>5.5570307439165578E-3</v>
      </c>
      <c r="V62" s="81"/>
      <c r="W62" s="81"/>
      <c r="X62" s="81"/>
    </row>
    <row r="63" spans="1:24" x14ac:dyDescent="0.35">
      <c r="A63" s="41">
        <v>12</v>
      </c>
      <c r="B63" s="63">
        <v>4811</v>
      </c>
      <c r="C63" s="41">
        <v>10</v>
      </c>
      <c r="D63" s="63">
        <v>4874</v>
      </c>
      <c r="E63" s="41">
        <v>12</v>
      </c>
      <c r="F63" s="63">
        <v>4572.75</v>
      </c>
      <c r="G63" s="41">
        <v>12</v>
      </c>
      <c r="H63" s="63">
        <v>4805</v>
      </c>
      <c r="I63" s="49">
        <v>10</v>
      </c>
      <c r="J63" s="63">
        <v>5619</v>
      </c>
      <c r="K63" s="49">
        <v>12</v>
      </c>
      <c r="L63" s="63">
        <v>5757</v>
      </c>
      <c r="O63" s="81">
        <v>42401</v>
      </c>
      <c r="P63" s="77">
        <f>D27</f>
        <v>4595.4761904761908</v>
      </c>
      <c r="Q63" s="79">
        <f t="shared" si="1"/>
        <v>2.9740897535418975E-2</v>
      </c>
      <c r="R63" s="80">
        <f>D28</f>
        <v>18233.011333333336</v>
      </c>
      <c r="S63" s="79">
        <f t="shared" si="0"/>
        <v>1.14122998048094E-2</v>
      </c>
      <c r="T63" s="104">
        <f>R63/$R$61-1</f>
        <v>1.7032749049600282E-2</v>
      </c>
    </row>
    <row r="64" spans="1:24" x14ac:dyDescent="0.35">
      <c r="A64" s="41">
        <v>13</v>
      </c>
      <c r="B64" s="63">
        <v>4918.25</v>
      </c>
      <c r="C64" s="41">
        <v>11</v>
      </c>
      <c r="D64" s="63">
        <v>4809.5</v>
      </c>
      <c r="E64" s="41">
        <v>13</v>
      </c>
      <c r="F64" s="63">
        <v>4641.25</v>
      </c>
      <c r="G64" s="41">
        <v>13</v>
      </c>
      <c r="H64" s="63">
        <v>4754.5</v>
      </c>
      <c r="I64" s="49">
        <v>11</v>
      </c>
      <c r="J64" s="63">
        <v>5900</v>
      </c>
      <c r="K64" s="49">
        <v>13</v>
      </c>
      <c r="L64" s="63">
        <v>5765.5</v>
      </c>
      <c r="O64" s="81">
        <v>42430</v>
      </c>
      <c r="P64" s="77">
        <f>F27</f>
        <v>4947.5476190476193</v>
      </c>
      <c r="Q64" s="79">
        <f t="shared" si="1"/>
        <v>7.6612610745557141E-2</v>
      </c>
      <c r="R64" s="80">
        <f>F28</f>
        <v>18272.77762142857</v>
      </c>
      <c r="S64" s="79">
        <f t="shared" si="0"/>
        <v>2.1810049567914103E-3</v>
      </c>
      <c r="T64" s="104">
        <f>R64/$R$61-1</f>
        <v>1.9250902516496637E-2</v>
      </c>
    </row>
    <row r="65" spans="1:21" x14ac:dyDescent="0.35">
      <c r="A65" s="41">
        <v>14</v>
      </c>
      <c r="B65" s="63">
        <v>4911.25</v>
      </c>
      <c r="C65" s="41">
        <v>12</v>
      </c>
      <c r="D65" s="63">
        <v>4745.5</v>
      </c>
      <c r="E65" s="41">
        <v>14</v>
      </c>
      <c r="F65" s="63">
        <v>4669.25</v>
      </c>
      <c r="G65" s="41">
        <v>14</v>
      </c>
      <c r="H65" s="63">
        <v>4672.5</v>
      </c>
      <c r="I65" s="49">
        <v>14</v>
      </c>
      <c r="J65" s="63">
        <v>5620</v>
      </c>
      <c r="K65" s="49">
        <v>14</v>
      </c>
      <c r="L65" s="63">
        <v>5735</v>
      </c>
      <c r="O65" s="81">
        <v>42461</v>
      </c>
      <c r="P65" s="77">
        <f>H27</f>
        <v>4851.3571428571431</v>
      </c>
      <c r="Q65" s="79">
        <f t="shared" si="1"/>
        <v>-1.944205161768453E-2</v>
      </c>
      <c r="R65" s="80">
        <f>H28</f>
        <v>17299.454435714288</v>
      </c>
      <c r="S65" s="79">
        <f t="shared" si="0"/>
        <v>-5.3266296229253163E-2</v>
      </c>
      <c r="T65" s="104">
        <f>R65/$R$61-1</f>
        <v>-3.5040817988880812E-2</v>
      </c>
    </row>
    <row r="66" spans="1:21" x14ac:dyDescent="0.35">
      <c r="A66" s="41">
        <v>15</v>
      </c>
      <c r="B66" s="63">
        <v>4945.25</v>
      </c>
      <c r="C66" s="41">
        <v>15</v>
      </c>
      <c r="D66" s="63">
        <v>4745.75</v>
      </c>
      <c r="E66" s="41">
        <v>15</v>
      </c>
      <c r="F66" s="63">
        <v>4726</v>
      </c>
      <c r="G66" s="41">
        <v>17</v>
      </c>
      <c r="H66" s="63">
        <v>4671.5</v>
      </c>
      <c r="I66" s="49">
        <v>15</v>
      </c>
      <c r="J66" s="63">
        <v>5448</v>
      </c>
      <c r="K66" s="49">
        <v>15</v>
      </c>
      <c r="L66" s="63">
        <v>5682.5</v>
      </c>
      <c r="O66" s="81">
        <v>42491</v>
      </c>
      <c r="P66" s="77">
        <f>J27</f>
        <v>4708.3500000000004</v>
      </c>
      <c r="Q66" s="79">
        <f t="shared" si="1"/>
        <v>-2.9477760273266651E-2</v>
      </c>
      <c r="R66" s="80">
        <f>J28</f>
        <v>16669.913175000002</v>
      </c>
      <c r="S66" s="79">
        <f t="shared" si="0"/>
        <v>-3.6390815852239466E-2</v>
      </c>
      <c r="T66" s="104">
        <f>R66/R61-1</f>
        <v>-7.0156469886375028E-2</v>
      </c>
    </row>
    <row r="67" spans="1:21" x14ac:dyDescent="0.35">
      <c r="A67" s="41">
        <v>18</v>
      </c>
      <c r="B67" s="63">
        <v>4838.5</v>
      </c>
      <c r="C67" s="41">
        <v>16</v>
      </c>
      <c r="D67" s="63">
        <v>4798</v>
      </c>
      <c r="E67" s="41">
        <v>16</v>
      </c>
      <c r="F67" s="63">
        <v>4733.25</v>
      </c>
      <c r="G67" s="41">
        <v>18</v>
      </c>
      <c r="H67" s="63">
        <v>4665.5</v>
      </c>
      <c r="I67" s="49">
        <v>16</v>
      </c>
      <c r="J67" s="63">
        <v>5459</v>
      </c>
      <c r="K67" s="49">
        <v>16</v>
      </c>
      <c r="L67" s="63">
        <v>5649</v>
      </c>
      <c r="O67" s="81">
        <v>42522</v>
      </c>
      <c r="P67" s="77">
        <f>L27</f>
        <v>4635.181818181818</v>
      </c>
      <c r="Q67" s="79">
        <f t="shared" si="1"/>
        <v>-1.5540089801773904E-2</v>
      </c>
      <c r="R67" s="80">
        <f>L28</f>
        <v>15898.673636363637</v>
      </c>
      <c r="S67" s="79">
        <f t="shared" si="0"/>
        <v>-4.6265360265523081E-2</v>
      </c>
      <c r="T67" s="104">
        <f>R67/R61-1</f>
        <v>-0.11317601579764769</v>
      </c>
    </row>
    <row r="68" spans="1:21" x14ac:dyDescent="0.35">
      <c r="A68" s="41">
        <v>19</v>
      </c>
      <c r="B68" s="63">
        <v>4938</v>
      </c>
      <c r="C68" s="41">
        <v>17</v>
      </c>
      <c r="D68" s="63">
        <v>4755.5</v>
      </c>
      <c r="E68" s="41">
        <v>19</v>
      </c>
      <c r="F68" s="63">
        <v>4731.25</v>
      </c>
      <c r="G68" s="41">
        <v>19</v>
      </c>
      <c r="H68" s="63">
        <v>4642.5</v>
      </c>
      <c r="I68" s="49">
        <v>17</v>
      </c>
      <c r="J68" s="63">
        <v>5426</v>
      </c>
      <c r="K68" s="49">
        <v>19</v>
      </c>
      <c r="L68" s="63">
        <v>5561</v>
      </c>
      <c r="O68" s="81">
        <v>42552</v>
      </c>
      <c r="P68" s="77">
        <f>B80</f>
        <v>4855.4761904761908</v>
      </c>
      <c r="Q68" s="79">
        <f>P68/P67-1</f>
        <v>4.7526587075884086E-2</v>
      </c>
      <c r="R68" s="80">
        <f>B82</f>
        <v>15885.175904761905</v>
      </c>
      <c r="S68" s="79">
        <f t="shared" si="0"/>
        <v>-8.4898475875749835E-4</v>
      </c>
      <c r="T68" s="104">
        <f>R68/R61-1</f>
        <v>-0.11392891584393605</v>
      </c>
    </row>
    <row r="69" spans="1:21" x14ac:dyDescent="0.35">
      <c r="A69" s="41">
        <v>20</v>
      </c>
      <c r="B69" s="63">
        <v>4900</v>
      </c>
      <c r="C69" s="41">
        <v>18</v>
      </c>
      <c r="D69" s="63">
        <v>4802.5</v>
      </c>
      <c r="E69" s="41">
        <v>20</v>
      </c>
      <c r="F69" s="63">
        <v>4732.25</v>
      </c>
      <c r="G69" s="41">
        <v>20</v>
      </c>
      <c r="H69" s="63">
        <v>4633.5</v>
      </c>
      <c r="I69" s="49">
        <v>18</v>
      </c>
      <c r="J69" s="63">
        <v>5446</v>
      </c>
      <c r="K69" s="49">
        <v>20</v>
      </c>
      <c r="L69" s="63">
        <v>5485.5</v>
      </c>
      <c r="M69" s="106"/>
      <c r="O69" s="81">
        <v>42583</v>
      </c>
      <c r="P69" s="77">
        <f>D80</f>
        <v>4757.965909090909</v>
      </c>
      <c r="Q69" s="79">
        <f>P69/P68-1</f>
        <v>-2.0082537234256015E-2</v>
      </c>
      <c r="R69" s="80">
        <f>D82</f>
        <v>15271.167381818181</v>
      </c>
      <c r="S69" s="79">
        <f t="shared" si="0"/>
        <v>-3.8652925634878432E-2</v>
      </c>
      <c r="T69" s="104">
        <f>R69/R61-1</f>
        <v>-0.14817815556703651</v>
      </c>
      <c r="U69" s="106"/>
    </row>
    <row r="70" spans="1:21" x14ac:dyDescent="0.35">
      <c r="A70" s="41">
        <v>21</v>
      </c>
      <c r="B70" s="63">
        <v>4953.25</v>
      </c>
      <c r="C70" s="41">
        <v>19</v>
      </c>
      <c r="D70" s="63">
        <v>4773.5</v>
      </c>
      <c r="E70" s="41">
        <v>21</v>
      </c>
      <c r="F70" s="63">
        <v>4732.75</v>
      </c>
      <c r="G70" s="41">
        <v>21</v>
      </c>
      <c r="H70" s="63">
        <v>4637</v>
      </c>
      <c r="I70" s="49">
        <v>21</v>
      </c>
      <c r="J70" s="63">
        <v>5535.5</v>
      </c>
      <c r="K70" s="49">
        <v>21</v>
      </c>
      <c r="L70" s="63">
        <v>5498.5</v>
      </c>
      <c r="O70" s="81">
        <v>42614</v>
      </c>
      <c r="P70" s="77">
        <f>F80</f>
        <v>4705.625</v>
      </c>
      <c r="Q70" s="79">
        <f>P70/P69-1</f>
        <v>-1.1000690230020926E-2</v>
      </c>
      <c r="R70" s="80">
        <f>F82</f>
        <v>15323.39725</v>
      </c>
      <c r="S70" s="79">
        <f t="shared" si="0"/>
        <v>3.4201621183200803E-3</v>
      </c>
      <c r="T70" s="104">
        <f>R70/R61-1</f>
        <v>-0.14526478676314936</v>
      </c>
    </row>
    <row r="71" spans="1:21" x14ac:dyDescent="0.35">
      <c r="A71" s="41">
        <v>22</v>
      </c>
      <c r="B71" s="63">
        <v>4955.5</v>
      </c>
      <c r="C71" s="41">
        <v>22</v>
      </c>
      <c r="D71" s="63">
        <v>4732</v>
      </c>
      <c r="E71" s="41">
        <v>22</v>
      </c>
      <c r="F71" s="63">
        <v>4815.25</v>
      </c>
      <c r="G71" s="41">
        <v>24</v>
      </c>
      <c r="H71" s="63">
        <v>4620.5</v>
      </c>
      <c r="I71" s="49">
        <v>22</v>
      </c>
      <c r="J71" s="63">
        <v>5618</v>
      </c>
      <c r="K71" s="49">
        <v>22</v>
      </c>
      <c r="L71" s="63">
        <v>5426</v>
      </c>
      <c r="O71" s="81">
        <v>42644</v>
      </c>
      <c r="P71" s="77">
        <f>H80</f>
        <v>4732.1428571428569</v>
      </c>
      <c r="Q71" s="79">
        <f>P71/P70-1</f>
        <v>5.6353528262147456E-3</v>
      </c>
      <c r="R71" s="80">
        <f>H82</f>
        <v>15097.428571428571</v>
      </c>
      <c r="S71" s="79">
        <f t="shared" si="0"/>
        <v>-1.4746643638141599E-2</v>
      </c>
      <c r="T71" s="104">
        <f>R71/R61-1</f>
        <v>-0.15786926235772414</v>
      </c>
    </row>
    <row r="72" spans="1:21" x14ac:dyDescent="0.35">
      <c r="A72" s="41">
        <v>25</v>
      </c>
      <c r="B72" s="63">
        <v>4919.5</v>
      </c>
      <c r="C72" s="41">
        <v>23</v>
      </c>
      <c r="D72" s="63">
        <v>4719</v>
      </c>
      <c r="E72" s="41">
        <v>23</v>
      </c>
      <c r="F72" s="63">
        <v>4814.5</v>
      </c>
      <c r="G72" s="41">
        <v>25</v>
      </c>
      <c r="H72" s="63">
        <v>4720</v>
      </c>
      <c r="I72" s="49">
        <v>23</v>
      </c>
      <c r="J72" s="63">
        <v>5564</v>
      </c>
      <c r="K72" s="49">
        <v>23</v>
      </c>
      <c r="L72" s="63">
        <v>5482</v>
      </c>
      <c r="O72" s="81">
        <v>42675</v>
      </c>
      <c r="P72" s="77">
        <f>J80</f>
        <v>5443.25</v>
      </c>
      <c r="Q72" s="79">
        <f>P72/P71-1</f>
        <v>0.15027169811320751</v>
      </c>
      <c r="R72" s="80">
        <f>J82</f>
        <v>18126.022499999999</v>
      </c>
      <c r="S72" s="79">
        <f>R72/R71-1</f>
        <v>0.20060329573626534</v>
      </c>
      <c r="T72" s="104">
        <f>R72/R61-1</f>
        <v>1.1064939054128642E-2</v>
      </c>
    </row>
    <row r="73" spans="1:21" x14ac:dyDescent="0.35">
      <c r="A73" s="41">
        <v>26</v>
      </c>
      <c r="B73" s="63">
        <v>4861.5</v>
      </c>
      <c r="C73" s="41">
        <v>24</v>
      </c>
      <c r="D73" s="63">
        <v>4658.5</v>
      </c>
      <c r="E73" s="41">
        <v>26</v>
      </c>
      <c r="F73" s="63">
        <v>4793.75</v>
      </c>
      <c r="G73" s="41">
        <v>26</v>
      </c>
      <c r="H73" s="63">
        <v>4717.5</v>
      </c>
      <c r="I73" s="49">
        <v>24</v>
      </c>
      <c r="J73" s="63">
        <v>5834.5</v>
      </c>
      <c r="K73" s="49"/>
      <c r="L73" s="63"/>
      <c r="O73" s="81" t="s">
        <v>83</v>
      </c>
      <c r="P73" s="115">
        <f>P72/P61-1</f>
        <v>0.17590192266148197</v>
      </c>
      <c r="Q73" s="79" t="s">
        <v>103</v>
      </c>
      <c r="R73" s="80"/>
      <c r="S73" s="126">
        <f>R72/R61-1</f>
        <v>1.1064939054128642E-2</v>
      </c>
      <c r="T73" t="s">
        <v>104</v>
      </c>
    </row>
    <row r="74" spans="1:21" x14ac:dyDescent="0.35">
      <c r="A74" s="41">
        <v>27</v>
      </c>
      <c r="B74" s="63">
        <v>4869.25</v>
      </c>
      <c r="C74" s="41">
        <v>25</v>
      </c>
      <c r="D74" s="63">
        <v>4639.5</v>
      </c>
      <c r="E74" s="41">
        <v>27</v>
      </c>
      <c r="F74" s="63">
        <v>4774</v>
      </c>
      <c r="G74" s="41">
        <v>27</v>
      </c>
      <c r="H74" s="63">
        <v>4774</v>
      </c>
      <c r="I74" s="49">
        <v>25</v>
      </c>
      <c r="J74" s="63">
        <v>5822.5</v>
      </c>
      <c r="K74" s="49"/>
      <c r="L74" s="63"/>
      <c r="P74" s="79"/>
    </row>
    <row r="75" spans="1:21" x14ac:dyDescent="0.35">
      <c r="A75" s="41">
        <v>28</v>
      </c>
      <c r="B75" s="63">
        <v>4861.5</v>
      </c>
      <c r="C75" s="41">
        <v>26</v>
      </c>
      <c r="D75" s="63">
        <v>4622</v>
      </c>
      <c r="E75" s="41">
        <v>28</v>
      </c>
      <c r="F75" s="63">
        <v>4807.25</v>
      </c>
      <c r="G75" s="41">
        <v>28</v>
      </c>
      <c r="H75" s="63">
        <v>4787</v>
      </c>
      <c r="I75" s="49">
        <v>28</v>
      </c>
      <c r="J75" s="63">
        <v>5935.5</v>
      </c>
      <c r="K75" s="49"/>
      <c r="L75" s="63"/>
    </row>
    <row r="76" spans="1:21" x14ac:dyDescent="0.35">
      <c r="A76" s="42">
        <v>29</v>
      </c>
      <c r="B76" s="64">
        <v>4852.5</v>
      </c>
      <c r="C76" s="41">
        <v>29</v>
      </c>
      <c r="D76" s="63" t="s">
        <v>9</v>
      </c>
      <c r="E76" s="41">
        <v>29</v>
      </c>
      <c r="F76" s="63">
        <v>4816.25</v>
      </c>
      <c r="G76" s="42">
        <v>31</v>
      </c>
      <c r="H76" s="64">
        <v>4827.5</v>
      </c>
      <c r="I76" s="49">
        <v>29</v>
      </c>
      <c r="J76" s="63">
        <v>5778</v>
      </c>
      <c r="K76" s="72"/>
      <c r="L76" s="64"/>
    </row>
    <row r="77" spans="1:21" x14ac:dyDescent="0.35">
      <c r="A77" s="117"/>
      <c r="B77" s="118"/>
      <c r="C77" s="41">
        <v>30</v>
      </c>
      <c r="D77" s="63">
        <v>4609</v>
      </c>
      <c r="E77" s="42">
        <v>30</v>
      </c>
      <c r="F77" s="64">
        <v>4831.75</v>
      </c>
      <c r="G77" s="394"/>
      <c r="H77" s="395"/>
      <c r="I77" s="42">
        <v>30</v>
      </c>
      <c r="J77" s="64">
        <v>5740</v>
      </c>
      <c r="K77" s="394"/>
      <c r="L77" s="395"/>
    </row>
    <row r="78" spans="1:21" x14ac:dyDescent="0.35">
      <c r="A78" s="117"/>
      <c r="B78" s="118"/>
      <c r="C78" s="42">
        <v>31</v>
      </c>
      <c r="D78" s="64">
        <v>4602.25</v>
      </c>
      <c r="E78" s="394"/>
      <c r="F78" s="395"/>
      <c r="G78" s="394"/>
      <c r="H78" s="395"/>
      <c r="I78" s="394"/>
      <c r="J78" s="395"/>
      <c r="K78" s="394"/>
      <c r="L78" s="395"/>
    </row>
    <row r="79" spans="1:21" ht="15" thickBot="1" x14ac:dyDescent="0.4">
      <c r="A79" s="384">
        <f>B80/L27-1</f>
        <v>4.7526587075884086E-2</v>
      </c>
      <c r="B79" s="385"/>
      <c r="C79" s="384">
        <f>D80/B80-1</f>
        <v>-2.0082537234256015E-2</v>
      </c>
      <c r="D79" s="385"/>
      <c r="E79" s="384">
        <f>F80/D80-1</f>
        <v>-1.1000690230020926E-2</v>
      </c>
      <c r="F79" s="385"/>
      <c r="G79" s="384">
        <f>H80/F80-1</f>
        <v>5.6353528262147456E-3</v>
      </c>
      <c r="H79" s="385"/>
      <c r="I79" s="384">
        <f>J80/H80-1</f>
        <v>0.15027169811320751</v>
      </c>
      <c r="J79" s="385"/>
      <c r="K79" s="384">
        <f>L80/J80-1</f>
        <v>4.63472028227081E-2</v>
      </c>
      <c r="L79" s="385"/>
    </row>
    <row r="80" spans="1:21" ht="15" thickBot="1" x14ac:dyDescent="0.4">
      <c r="A80" s="65" t="s">
        <v>10</v>
      </c>
      <c r="B80" s="66">
        <f>AVERAGE(B56:B78)</f>
        <v>4855.4761904761908</v>
      </c>
      <c r="C80" s="55" t="s">
        <v>10</v>
      </c>
      <c r="D80" s="66">
        <f>AVERAGE(D56:D78)</f>
        <v>4757.965909090909</v>
      </c>
      <c r="E80" s="55" t="s">
        <v>10</v>
      </c>
      <c r="F80" s="66">
        <f>AVERAGE(F56:F77)</f>
        <v>4705.625</v>
      </c>
      <c r="G80" s="55" t="s">
        <v>10</v>
      </c>
      <c r="H80" s="66">
        <f>AVERAGE(H56:H78)</f>
        <v>4732.1428571428569</v>
      </c>
      <c r="I80" s="56" t="s">
        <v>10</v>
      </c>
      <c r="J80" s="66">
        <f>AVERAGE(J56:J77)</f>
        <v>5443.25</v>
      </c>
      <c r="K80" s="55" t="s">
        <v>10</v>
      </c>
      <c r="L80" s="66">
        <f>AVERAGE(L56:L76)</f>
        <v>5695.5294117647063</v>
      </c>
    </row>
    <row r="81" spans="1:16" ht="15" thickBot="1" x14ac:dyDescent="0.4">
      <c r="A81" s="386"/>
      <c r="B81" s="387"/>
      <c r="C81" s="388"/>
      <c r="D81" s="389"/>
      <c r="E81" s="388"/>
      <c r="F81" s="390"/>
      <c r="G81" s="388"/>
      <c r="H81" s="390"/>
      <c r="I81" s="391"/>
      <c r="J81" s="391"/>
      <c r="K81" s="392"/>
      <c r="L81" s="393"/>
    </row>
    <row r="82" spans="1:16" ht="15" thickBot="1" x14ac:dyDescent="0.4">
      <c r="A82" s="67" t="s">
        <v>11</v>
      </c>
      <c r="B82" s="67">
        <f>B80*A83</f>
        <v>15885.175904761905</v>
      </c>
      <c r="C82" s="67" t="s">
        <v>11</v>
      </c>
      <c r="D82" s="99">
        <f>D80*C83</f>
        <v>15271.167381818181</v>
      </c>
      <c r="E82" s="67" t="s">
        <v>11</v>
      </c>
      <c r="F82" s="67">
        <f>F80*E83</f>
        <v>15323.39725</v>
      </c>
      <c r="G82" s="67" t="s">
        <v>11</v>
      </c>
      <c r="H82" s="67">
        <f>H80*G83</f>
        <v>15097.428571428571</v>
      </c>
      <c r="I82" s="67" t="s">
        <v>11</v>
      </c>
      <c r="J82" s="67">
        <f>J80*I83</f>
        <v>18126.022499999999</v>
      </c>
      <c r="K82" s="67" t="s">
        <v>11</v>
      </c>
      <c r="L82" s="67">
        <f>L80*K83</f>
        <v>19307.844705882355</v>
      </c>
      <c r="M82" s="79"/>
    </row>
    <row r="83" spans="1:16" ht="15" thickBot="1" x14ac:dyDescent="0.4">
      <c r="A83" s="67">
        <v>3.2715999999999998</v>
      </c>
      <c r="B83" s="73">
        <f>B82/L28-1</f>
        <v>-8.4898475875749835E-4</v>
      </c>
      <c r="C83" s="67">
        <v>3.2096</v>
      </c>
      <c r="D83" s="73">
        <f>D82/L28-1</f>
        <v>-3.9469094648890479E-2</v>
      </c>
      <c r="E83" s="67">
        <v>3.2564000000000002</v>
      </c>
      <c r="F83" s="73">
        <f>F82/D82-1</f>
        <v>3.4201621183200803E-3</v>
      </c>
      <c r="G83" s="67">
        <v>3.1903999999999999</v>
      </c>
      <c r="H83" s="73">
        <f>H82/F82-1</f>
        <v>-1.4746643638141599E-2</v>
      </c>
      <c r="I83" s="67">
        <v>3.33</v>
      </c>
      <c r="J83" s="73">
        <f>J82/H82-1</f>
        <v>0.20060329573626534</v>
      </c>
      <c r="K83" s="67">
        <v>3.39</v>
      </c>
      <c r="L83" s="73">
        <f>L82/J82-1</f>
        <v>6.5200305576270656E-2</v>
      </c>
      <c r="O83" s="125"/>
    </row>
    <row r="84" spans="1:16" x14ac:dyDescent="0.35">
      <c r="A84" s="381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3"/>
      <c r="N84" s="106"/>
      <c r="O84" s="80"/>
      <c r="P84" s="106"/>
    </row>
    <row r="85" spans="1:16" x14ac:dyDescent="0.35">
      <c r="A85" s="90"/>
      <c r="B85" s="75"/>
      <c r="C85" s="38"/>
      <c r="D85" s="113"/>
      <c r="E85" s="37"/>
      <c r="F85" s="37"/>
      <c r="G85" s="36"/>
      <c r="H85" s="37"/>
      <c r="I85" s="36"/>
      <c r="J85" s="39"/>
      <c r="K85" s="38"/>
      <c r="L85" s="100"/>
    </row>
    <row r="86" spans="1:16" ht="23.5" x14ac:dyDescent="0.35">
      <c r="A86" s="74"/>
      <c r="B86" s="75"/>
      <c r="C86" s="38"/>
      <c r="D86" s="36"/>
      <c r="E86" s="108" t="s">
        <v>66</v>
      </c>
      <c r="G86" s="78"/>
      <c r="J86" s="78"/>
      <c r="K86" s="78"/>
      <c r="L86" s="100"/>
    </row>
    <row r="87" spans="1:16" x14ac:dyDescent="0.35">
      <c r="A87" s="74"/>
      <c r="B87" s="75"/>
      <c r="C87" s="38"/>
      <c r="D87" s="36"/>
      <c r="E87" s="37"/>
      <c r="F87" s="81"/>
      <c r="G87" s="81"/>
      <c r="H87" s="94"/>
      <c r="I87" s="36"/>
      <c r="J87" s="97"/>
      <c r="K87" s="38"/>
      <c r="L87" s="38"/>
    </row>
    <row r="88" spans="1:16" x14ac:dyDescent="0.35">
      <c r="F88" s="81"/>
      <c r="G88" s="81"/>
      <c r="H88" s="95"/>
      <c r="I88" s="96"/>
      <c r="J88" s="97"/>
      <c r="K88" s="96"/>
    </row>
  </sheetData>
  <mergeCells count="58">
    <mergeCell ref="A1:L1"/>
    <mergeCell ref="A2:B2"/>
    <mergeCell ref="C2:D2"/>
    <mergeCell ref="E2:F2"/>
    <mergeCell ref="G2:H2"/>
    <mergeCell ref="I2:J2"/>
    <mergeCell ref="K2:L2"/>
    <mergeCell ref="A25:B25"/>
    <mergeCell ref="C25:D25"/>
    <mergeCell ref="I25:J25"/>
    <mergeCell ref="A24:B24"/>
    <mergeCell ref="E25:F25"/>
    <mergeCell ref="G25:H25"/>
    <mergeCell ref="I24:J24"/>
    <mergeCell ref="K26:L26"/>
    <mergeCell ref="A30:L30"/>
    <mergeCell ref="A31:B31"/>
    <mergeCell ref="C31:D31"/>
    <mergeCell ref="E31:F31"/>
    <mergeCell ref="G31:H31"/>
    <mergeCell ref="I31:J31"/>
    <mergeCell ref="K31:L31"/>
    <mergeCell ref="A26:B26"/>
    <mergeCell ref="C26:D26"/>
    <mergeCell ref="E26:F26"/>
    <mergeCell ref="G26:H26"/>
    <mergeCell ref="I26:J26"/>
    <mergeCell ref="K54:L54"/>
    <mergeCell ref="A51:B51"/>
    <mergeCell ref="C51:D51"/>
    <mergeCell ref="E51:F51"/>
    <mergeCell ref="G51:H51"/>
    <mergeCell ref="I51:J51"/>
    <mergeCell ref="K51:L51"/>
    <mergeCell ref="A54:B54"/>
    <mergeCell ref="C54:D54"/>
    <mergeCell ref="E54:F54"/>
    <mergeCell ref="G54:H54"/>
    <mergeCell ref="I54:J54"/>
    <mergeCell ref="K79:L79"/>
    <mergeCell ref="K77:L77"/>
    <mergeCell ref="E78:F78"/>
    <mergeCell ref="G78:H78"/>
    <mergeCell ref="I78:J78"/>
    <mergeCell ref="K78:L78"/>
    <mergeCell ref="G77:H77"/>
    <mergeCell ref="A79:B79"/>
    <mergeCell ref="C79:D79"/>
    <mergeCell ref="E79:F79"/>
    <mergeCell ref="G79:H79"/>
    <mergeCell ref="I79:J79"/>
    <mergeCell ref="A84:L84"/>
    <mergeCell ref="A81:B81"/>
    <mergeCell ref="C81:D81"/>
    <mergeCell ref="E81:F81"/>
    <mergeCell ref="G81:H81"/>
    <mergeCell ref="I81:J81"/>
    <mergeCell ref="K81:L81"/>
  </mergeCells>
  <pageMargins left="0.31496062992125984" right="0.31496062992125984" top="0.59055118110236227" bottom="0.47244094488188981" header="0.31496062992125984" footer="0.31496062992125984"/>
  <pageSetup paperSize="9" scale="85" orientation="portrait" r:id="rId1"/>
  <headerFooter>
    <oddHeader>&amp;C&amp;"-,Negrito"&amp;12ACOMPANHAMENTO COBRE LME - 2015
&amp;R&amp;D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3"/>
  <sheetViews>
    <sheetView topLeftCell="A11" workbookViewId="0">
      <selection activeCell="K30" sqref="K30"/>
    </sheetView>
  </sheetViews>
  <sheetFormatPr defaultRowHeight="14.5" x14ac:dyDescent="0.35"/>
  <cols>
    <col min="1" max="1" width="8.453125" customWidth="1"/>
    <col min="2" max="2" width="12.1796875" customWidth="1"/>
    <col min="3" max="3" width="7" bestFit="1" customWidth="1"/>
    <col min="4" max="4" width="11.453125" bestFit="1" customWidth="1"/>
    <col min="5" max="5" width="7" bestFit="1" customWidth="1"/>
    <col min="6" max="6" width="11.453125" bestFit="1" customWidth="1"/>
    <col min="7" max="7" width="7" customWidth="1"/>
    <col min="8" max="8" width="11.453125" bestFit="1" customWidth="1"/>
    <col min="9" max="9" width="7" bestFit="1" customWidth="1"/>
    <col min="10" max="10" width="11.81640625" customWidth="1"/>
    <col min="11" max="11" width="7" bestFit="1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</cols>
  <sheetData>
    <row r="1" spans="1:20" ht="15" thickBot="1" x14ac:dyDescent="0.4">
      <c r="A1" s="381" t="s">
        <v>136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x14ac:dyDescent="0.35">
      <c r="A2" s="396" t="s">
        <v>138</v>
      </c>
      <c r="B2" s="397"/>
      <c r="C2" s="405" t="s">
        <v>139</v>
      </c>
      <c r="D2" s="406"/>
      <c r="E2" s="396" t="s">
        <v>140</v>
      </c>
      <c r="F2" s="397"/>
      <c r="G2" s="396" t="s">
        <v>141</v>
      </c>
      <c r="H2" s="397"/>
      <c r="I2" s="398" t="s">
        <v>142</v>
      </c>
      <c r="J2" s="398"/>
      <c r="K2" s="396" t="s">
        <v>143</v>
      </c>
      <c r="L2" s="397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3</v>
      </c>
      <c r="B4" s="63">
        <v>5574</v>
      </c>
      <c r="C4" s="41">
        <v>1</v>
      </c>
      <c r="D4" s="63">
        <v>5931</v>
      </c>
      <c r="E4" s="41">
        <v>1</v>
      </c>
      <c r="F4" s="63">
        <v>6040</v>
      </c>
      <c r="G4" s="41">
        <v>3</v>
      </c>
      <c r="H4" s="63">
        <v>5817</v>
      </c>
      <c r="I4" s="49">
        <v>2</v>
      </c>
      <c r="J4" s="63">
        <v>5746.5</v>
      </c>
      <c r="K4" s="41">
        <v>1</v>
      </c>
      <c r="L4" s="63">
        <v>5636.5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4</v>
      </c>
      <c r="B5" s="63">
        <v>5500.5</v>
      </c>
      <c r="C5" s="41">
        <v>2</v>
      </c>
      <c r="D5" s="63">
        <v>5903</v>
      </c>
      <c r="E5" s="41">
        <v>2</v>
      </c>
      <c r="F5" s="63">
        <v>5994</v>
      </c>
      <c r="G5" s="41">
        <v>4</v>
      </c>
      <c r="H5" s="63">
        <v>5724.5</v>
      </c>
      <c r="I5" s="49">
        <v>3</v>
      </c>
      <c r="J5" s="63">
        <v>5636.5</v>
      </c>
      <c r="K5" s="41">
        <v>2</v>
      </c>
      <c r="L5" s="63">
        <v>5559.5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5</v>
      </c>
      <c r="B6" s="63">
        <v>5611</v>
      </c>
      <c r="C6" s="41">
        <v>3</v>
      </c>
      <c r="D6" s="63">
        <v>5836</v>
      </c>
      <c r="E6" s="41">
        <v>3</v>
      </c>
      <c r="F6" s="63">
        <v>5910</v>
      </c>
      <c r="G6" s="41">
        <v>5</v>
      </c>
      <c r="H6" s="63">
        <v>5808.5</v>
      </c>
      <c r="I6" s="49">
        <v>4</v>
      </c>
      <c r="J6" s="63">
        <v>5543</v>
      </c>
      <c r="K6" s="41">
        <v>5</v>
      </c>
      <c r="L6" s="63">
        <v>5586.5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6</v>
      </c>
      <c r="B7" s="63">
        <v>5546.5</v>
      </c>
      <c r="C7" s="41">
        <v>6</v>
      </c>
      <c r="D7" s="63">
        <v>5786</v>
      </c>
      <c r="E7" s="41">
        <v>6</v>
      </c>
      <c r="F7" s="63">
        <v>5856</v>
      </c>
      <c r="G7" s="41">
        <v>6</v>
      </c>
      <c r="H7" s="63">
        <v>5870.5</v>
      </c>
      <c r="I7" s="49">
        <v>5</v>
      </c>
      <c r="J7" s="63">
        <v>5530.5</v>
      </c>
      <c r="K7" s="41">
        <v>6</v>
      </c>
      <c r="L7" s="63">
        <v>5540.5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9</v>
      </c>
      <c r="B8" s="63">
        <v>5551.5</v>
      </c>
      <c r="C8" s="41">
        <v>7</v>
      </c>
      <c r="D8" s="63">
        <v>5802</v>
      </c>
      <c r="E8" s="41">
        <v>7</v>
      </c>
      <c r="F8" s="63">
        <v>5807</v>
      </c>
      <c r="G8" s="41">
        <v>7</v>
      </c>
      <c r="H8" s="63">
        <v>5770</v>
      </c>
      <c r="I8" s="49">
        <v>8</v>
      </c>
      <c r="J8" s="63">
        <v>5466</v>
      </c>
      <c r="K8" s="41">
        <v>7</v>
      </c>
      <c r="L8" s="63">
        <v>5575.5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10</v>
      </c>
      <c r="B9" s="63">
        <v>5642</v>
      </c>
      <c r="C9" s="41">
        <v>8</v>
      </c>
      <c r="D9" s="63">
        <v>5865</v>
      </c>
      <c r="E9" s="41">
        <v>8</v>
      </c>
      <c r="F9" s="63">
        <v>5782</v>
      </c>
      <c r="G9" s="41">
        <v>10</v>
      </c>
      <c r="H9" s="63">
        <v>5731</v>
      </c>
      <c r="I9" s="49">
        <v>9</v>
      </c>
      <c r="J9" s="63">
        <v>5496</v>
      </c>
      <c r="K9" s="41">
        <v>8</v>
      </c>
      <c r="L9" s="63">
        <v>5647.5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11</v>
      </c>
      <c r="B10" s="63">
        <v>5709.5</v>
      </c>
      <c r="C10" s="41">
        <v>9</v>
      </c>
      <c r="D10" s="63">
        <v>5863</v>
      </c>
      <c r="E10" s="41">
        <v>9</v>
      </c>
      <c r="F10" s="63">
        <v>5655</v>
      </c>
      <c r="G10" s="41">
        <v>11</v>
      </c>
      <c r="H10" s="63">
        <v>5746</v>
      </c>
      <c r="I10" s="49">
        <v>10</v>
      </c>
      <c r="J10" s="63">
        <v>5512</v>
      </c>
      <c r="K10" s="41">
        <v>9</v>
      </c>
      <c r="L10" s="63">
        <v>5739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12</v>
      </c>
      <c r="B11" s="63">
        <v>5752.5</v>
      </c>
      <c r="C11" s="41">
        <v>10</v>
      </c>
      <c r="D11" s="63">
        <v>5872</v>
      </c>
      <c r="E11" s="41">
        <v>10</v>
      </c>
      <c r="F11" s="63">
        <v>5714.5</v>
      </c>
      <c r="G11" s="41">
        <v>12</v>
      </c>
      <c r="H11" s="63">
        <v>5685</v>
      </c>
      <c r="I11" s="49">
        <v>11</v>
      </c>
      <c r="J11" s="63">
        <v>5580.5</v>
      </c>
      <c r="K11" s="41">
        <v>12</v>
      </c>
      <c r="L11" s="63">
        <v>5752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13</v>
      </c>
      <c r="B12" s="63">
        <v>5797</v>
      </c>
      <c r="C12" s="41">
        <v>13</v>
      </c>
      <c r="D12" s="63">
        <v>6111</v>
      </c>
      <c r="E12" s="41">
        <v>13</v>
      </c>
      <c r="F12" s="63">
        <v>5794</v>
      </c>
      <c r="G12" s="41">
        <v>13</v>
      </c>
      <c r="H12" s="63">
        <v>5655</v>
      </c>
      <c r="I12" s="49">
        <v>12</v>
      </c>
      <c r="J12" s="63">
        <v>5520</v>
      </c>
      <c r="K12" s="41">
        <v>13</v>
      </c>
      <c r="L12" s="63">
        <v>5659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16</v>
      </c>
      <c r="B13" s="63">
        <v>5857</v>
      </c>
      <c r="C13" s="41">
        <v>14</v>
      </c>
      <c r="D13" s="63">
        <v>6145</v>
      </c>
      <c r="E13" s="41">
        <v>14</v>
      </c>
      <c r="F13" s="63">
        <v>5747</v>
      </c>
      <c r="G13" s="41">
        <v>18</v>
      </c>
      <c r="H13" s="63">
        <v>5620.5</v>
      </c>
      <c r="I13" s="49">
        <v>15</v>
      </c>
      <c r="J13" s="63">
        <v>5586</v>
      </c>
      <c r="K13" s="41">
        <v>14</v>
      </c>
      <c r="L13" s="63">
        <v>5684.5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17</v>
      </c>
      <c r="B14" s="63">
        <v>5771.5</v>
      </c>
      <c r="C14" s="41">
        <v>15</v>
      </c>
      <c r="D14" s="63">
        <v>6016</v>
      </c>
      <c r="E14" s="41">
        <v>15</v>
      </c>
      <c r="F14" s="63">
        <v>5850</v>
      </c>
      <c r="G14" s="41">
        <v>19</v>
      </c>
      <c r="H14" s="63">
        <v>5600.5</v>
      </c>
      <c r="I14" s="49">
        <v>16</v>
      </c>
      <c r="J14" s="63">
        <v>5584</v>
      </c>
      <c r="K14" s="41">
        <v>15</v>
      </c>
      <c r="L14" s="63">
        <v>5637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18</v>
      </c>
      <c r="B15" s="63">
        <v>5721</v>
      </c>
      <c r="C15" s="41">
        <v>16</v>
      </c>
      <c r="D15" s="63">
        <v>6015</v>
      </c>
      <c r="E15" s="41">
        <v>16</v>
      </c>
      <c r="F15" s="63">
        <v>5911</v>
      </c>
      <c r="G15" s="41">
        <v>20</v>
      </c>
      <c r="H15" s="63">
        <v>5611.5</v>
      </c>
      <c r="I15" s="49">
        <v>17</v>
      </c>
      <c r="J15" s="63">
        <v>5575</v>
      </c>
      <c r="K15" s="41">
        <v>16</v>
      </c>
      <c r="L15" s="63">
        <v>5655.5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19</v>
      </c>
      <c r="B16" s="63">
        <v>5710</v>
      </c>
      <c r="C16" s="41">
        <v>17</v>
      </c>
      <c r="D16" s="63">
        <v>5939</v>
      </c>
      <c r="E16" s="41">
        <v>17</v>
      </c>
      <c r="F16" s="63">
        <v>5889</v>
      </c>
      <c r="G16" s="41">
        <v>21</v>
      </c>
      <c r="H16" s="63">
        <v>5601</v>
      </c>
      <c r="I16" s="49">
        <v>18</v>
      </c>
      <c r="J16" s="63">
        <v>5490</v>
      </c>
      <c r="K16" s="41">
        <v>19</v>
      </c>
      <c r="L16" s="63">
        <v>5687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0" x14ac:dyDescent="0.35">
      <c r="A17" s="41">
        <v>20</v>
      </c>
      <c r="B17" s="63">
        <v>5706</v>
      </c>
      <c r="C17" s="41">
        <v>20</v>
      </c>
      <c r="D17" s="63">
        <v>6002</v>
      </c>
      <c r="E17" s="41">
        <v>20</v>
      </c>
      <c r="F17" s="63">
        <v>5891</v>
      </c>
      <c r="G17" s="41">
        <v>24</v>
      </c>
      <c r="H17" s="63">
        <v>5612</v>
      </c>
      <c r="I17" s="49">
        <v>19</v>
      </c>
      <c r="J17" s="63">
        <v>5596</v>
      </c>
      <c r="K17" s="41">
        <v>20</v>
      </c>
      <c r="L17" s="63">
        <v>5673.5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0" x14ac:dyDescent="0.35">
      <c r="A18" s="41">
        <v>23</v>
      </c>
      <c r="B18" s="63">
        <v>5775</v>
      </c>
      <c r="C18" s="41">
        <v>21</v>
      </c>
      <c r="D18" s="63">
        <v>6034</v>
      </c>
      <c r="E18" s="41">
        <v>21</v>
      </c>
      <c r="F18" s="63">
        <v>5765.5</v>
      </c>
      <c r="G18" s="41">
        <v>25</v>
      </c>
      <c r="H18" s="63">
        <v>5652.5</v>
      </c>
      <c r="I18" s="49">
        <v>22</v>
      </c>
      <c r="J18" s="63">
        <v>5677</v>
      </c>
      <c r="K18" s="41">
        <v>21</v>
      </c>
      <c r="L18" s="63">
        <v>5650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0" x14ac:dyDescent="0.35">
      <c r="A19" s="41">
        <v>24</v>
      </c>
      <c r="B19" s="63">
        <v>5879</v>
      </c>
      <c r="C19" s="41">
        <v>22</v>
      </c>
      <c r="D19" s="63">
        <v>5976</v>
      </c>
      <c r="E19" s="41">
        <v>22</v>
      </c>
      <c r="F19" s="63">
        <v>5712</v>
      </c>
      <c r="G19" s="41">
        <v>26</v>
      </c>
      <c r="H19" s="63">
        <v>5677.5</v>
      </c>
      <c r="I19" s="49">
        <v>23</v>
      </c>
      <c r="J19" s="63">
        <v>5660.5</v>
      </c>
      <c r="K19" s="41">
        <v>22</v>
      </c>
      <c r="L19" s="63">
        <v>5736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0" x14ac:dyDescent="0.35">
      <c r="A20" s="41">
        <v>25</v>
      </c>
      <c r="B20" s="63">
        <v>5867</v>
      </c>
      <c r="C20" s="41">
        <v>23</v>
      </c>
      <c r="D20" s="63">
        <v>5991</v>
      </c>
      <c r="E20" s="41">
        <v>23</v>
      </c>
      <c r="F20" s="63">
        <v>5790.5</v>
      </c>
      <c r="G20" s="41">
        <v>27</v>
      </c>
      <c r="H20" s="63">
        <v>5686.5</v>
      </c>
      <c r="I20" s="49">
        <v>24</v>
      </c>
      <c r="J20" s="63">
        <v>5662.5</v>
      </c>
      <c r="K20" s="41">
        <v>23</v>
      </c>
      <c r="L20" s="63">
        <v>5774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0" x14ac:dyDescent="0.35">
      <c r="A21" s="41">
        <v>26</v>
      </c>
      <c r="B21" s="63">
        <v>5890</v>
      </c>
      <c r="C21" s="41">
        <v>24</v>
      </c>
      <c r="D21" s="63">
        <v>5881</v>
      </c>
      <c r="E21" s="41">
        <v>24</v>
      </c>
      <c r="F21" s="63">
        <v>5782.5</v>
      </c>
      <c r="G21" s="42">
        <v>28</v>
      </c>
      <c r="H21" s="64">
        <v>5688.5</v>
      </c>
      <c r="I21" s="49">
        <v>25</v>
      </c>
      <c r="J21" s="63">
        <v>5665</v>
      </c>
      <c r="K21" s="41">
        <v>26</v>
      </c>
      <c r="L21" s="63">
        <v>5771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0" x14ac:dyDescent="0.35">
      <c r="A22" s="41">
        <v>27</v>
      </c>
      <c r="B22" s="63">
        <v>5847</v>
      </c>
      <c r="C22" s="41">
        <v>27</v>
      </c>
      <c r="D22" s="63">
        <v>5927</v>
      </c>
      <c r="E22" s="41">
        <v>27</v>
      </c>
      <c r="F22" s="63">
        <v>5673.5</v>
      </c>
      <c r="G22" s="41"/>
      <c r="H22" s="63"/>
      <c r="I22" s="49">
        <v>26</v>
      </c>
      <c r="J22" s="63">
        <v>5671</v>
      </c>
      <c r="K22" s="41">
        <v>27</v>
      </c>
      <c r="L22" s="63">
        <v>5789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0" x14ac:dyDescent="0.35">
      <c r="A23" s="41">
        <v>30</v>
      </c>
      <c r="B23" s="63">
        <v>5857</v>
      </c>
      <c r="C23" s="42">
        <v>28</v>
      </c>
      <c r="D23" s="64">
        <v>5936</v>
      </c>
      <c r="E23" s="41">
        <v>28</v>
      </c>
      <c r="F23" s="63">
        <v>5774.5</v>
      </c>
      <c r="G23" s="41"/>
      <c r="H23" s="63"/>
      <c r="I23" s="49">
        <v>30</v>
      </c>
      <c r="J23" s="63">
        <v>5608</v>
      </c>
      <c r="K23" s="41">
        <v>28</v>
      </c>
      <c r="L23" s="63">
        <v>5822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0" x14ac:dyDescent="0.35">
      <c r="A24" s="42">
        <v>31</v>
      </c>
      <c r="B24" s="64">
        <v>5921</v>
      </c>
      <c r="C24" s="394"/>
      <c r="D24" s="395"/>
      <c r="E24" s="41">
        <v>29</v>
      </c>
      <c r="F24" s="63">
        <v>5847</v>
      </c>
      <c r="G24" s="41"/>
      <c r="H24" s="63"/>
      <c r="I24" s="42">
        <v>31</v>
      </c>
      <c r="J24" s="64">
        <v>5615.5</v>
      </c>
      <c r="K24" s="41">
        <v>29</v>
      </c>
      <c r="L24" s="63">
        <v>5905.5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</row>
    <row r="25" spans="1:20" x14ac:dyDescent="0.35">
      <c r="A25" s="394"/>
      <c r="B25" s="395"/>
      <c r="C25" s="394"/>
      <c r="D25" s="395"/>
      <c r="E25" s="161">
        <v>30</v>
      </c>
      <c r="F25" s="63">
        <v>5860</v>
      </c>
      <c r="G25" s="394"/>
      <c r="H25" s="395"/>
      <c r="I25" s="394"/>
      <c r="J25" s="395"/>
      <c r="K25" s="72">
        <v>30</v>
      </c>
      <c r="L25" s="64">
        <v>5907.5</v>
      </c>
      <c r="O25" s="81"/>
      <c r="P25" s="77"/>
      <c r="Q25" s="79"/>
      <c r="R25" s="98"/>
      <c r="S25" s="79"/>
      <c r="T25" s="104"/>
    </row>
    <row r="26" spans="1:20" x14ac:dyDescent="0.35">
      <c r="A26" s="394"/>
      <c r="B26" s="395"/>
      <c r="C26" s="394"/>
      <c r="D26" s="395"/>
      <c r="E26" s="42">
        <v>31</v>
      </c>
      <c r="F26" s="64">
        <v>5849</v>
      </c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0" ht="15" thickBot="1" x14ac:dyDescent="0.4">
      <c r="A27" s="384">
        <f>B28/'2016'!L80-1</f>
        <v>7.3564995691741686E-3</v>
      </c>
      <c r="B27" s="385"/>
      <c r="C27" s="384">
        <f>D28/B28-1</f>
        <v>3.5577162491907677E-2</v>
      </c>
      <c r="D27" s="385"/>
      <c r="E27" s="384">
        <f>F28/D28-1</f>
        <v>-2.0201506487291243E-2</v>
      </c>
      <c r="F27" s="385"/>
      <c r="G27" s="384">
        <f>H28/F28-1</f>
        <v>-2.1275377472397494E-2</v>
      </c>
      <c r="H27" s="385"/>
      <c r="I27" s="384">
        <f>J28/H28-1</f>
        <v>-1.8633358684841839E-2</v>
      </c>
      <c r="J27" s="385"/>
      <c r="K27" s="384">
        <f>L28/J28-1</f>
        <v>1.9310967133554957E-2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0" ht="15" thickBot="1" x14ac:dyDescent="0.4">
      <c r="A28" s="65" t="s">
        <v>10</v>
      </c>
      <c r="B28" s="66">
        <f>AVERAGE(B4:B26)</f>
        <v>5737.4285714285716</v>
      </c>
      <c r="C28" s="55" t="s">
        <v>10</v>
      </c>
      <c r="D28" s="66">
        <f>AVERAGE(D4:D24)</f>
        <v>5941.55</v>
      </c>
      <c r="E28" s="55" t="s">
        <v>10</v>
      </c>
      <c r="F28" s="66">
        <f>AVERAGE(F4:F26)</f>
        <v>5821.521739130435</v>
      </c>
      <c r="G28" s="55" t="s">
        <v>10</v>
      </c>
      <c r="H28" s="66">
        <f>AVERAGE(H4:H21)</f>
        <v>5697.666666666667</v>
      </c>
      <c r="I28" s="56" t="s">
        <v>10</v>
      </c>
      <c r="J28" s="66">
        <f>AVERAGE(J4:J24)</f>
        <v>5591.5</v>
      </c>
      <c r="K28" s="55" t="s">
        <v>10</v>
      </c>
      <c r="L28" s="66">
        <f>AVERAGE(L4:L26)</f>
        <v>5699.477272727273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0" ht="15" thickBot="1" x14ac:dyDescent="0.4">
      <c r="A29" s="67" t="s">
        <v>11</v>
      </c>
      <c r="B29" s="67">
        <f>B28*A30</f>
        <v>18359.771428571428</v>
      </c>
      <c r="C29" s="67" t="s">
        <v>11</v>
      </c>
      <c r="D29" s="67">
        <f>D28*C30</f>
        <v>18478.220499999999</v>
      </c>
      <c r="E29" s="67" t="s">
        <v>11</v>
      </c>
      <c r="F29" s="67">
        <f>F28*E30</f>
        <v>18191.673282608695</v>
      </c>
      <c r="G29" s="67" t="s">
        <v>11</v>
      </c>
      <c r="H29" s="67">
        <f>H28*G30</f>
        <v>17859.336166666668</v>
      </c>
      <c r="I29" s="67" t="s">
        <v>11</v>
      </c>
      <c r="J29" s="67">
        <f>J28*I30</f>
        <v>17934.736250000002</v>
      </c>
      <c r="K29" s="67" t="s">
        <v>11</v>
      </c>
      <c r="L29" s="67">
        <f>L28*K30</f>
        <v>18764.389025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0" ht="15" thickBot="1" x14ac:dyDescent="0.4">
      <c r="A30" s="67">
        <v>3.2</v>
      </c>
      <c r="B30" s="73">
        <f>B29/'2016'!L82-1</f>
        <v>-4.9103009256236896E-2</v>
      </c>
      <c r="C30" s="67">
        <v>3.11</v>
      </c>
      <c r="D30" s="73">
        <f>D29/B29-1</f>
        <v>6.4515547968229114E-3</v>
      </c>
      <c r="E30" s="67">
        <v>3.1248999999999998</v>
      </c>
      <c r="F30" s="73">
        <f>F29/D29-1</f>
        <v>-1.5507295055349313E-2</v>
      </c>
      <c r="G30" s="67">
        <v>3.1345000000000001</v>
      </c>
      <c r="H30" s="73">
        <f>H29/F29-1</f>
        <v>-1.8268639216368454E-2</v>
      </c>
      <c r="I30" s="67">
        <v>3.2075</v>
      </c>
      <c r="J30" s="73">
        <f>J29/H29-1</f>
        <v>4.221886112097728E-3</v>
      </c>
      <c r="K30" s="67">
        <v>3.2923</v>
      </c>
      <c r="L30" s="73">
        <f>L29/J29-1</f>
        <v>4.6259547028465464E-2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0" ht="15" thickBot="1" x14ac:dyDescent="0.4">
      <c r="A31" s="381" t="s">
        <v>136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0" x14ac:dyDescent="0.35">
      <c r="A32" s="405" t="s">
        <v>154</v>
      </c>
      <c r="B32" s="406"/>
      <c r="C32" s="405" t="s">
        <v>155</v>
      </c>
      <c r="D32" s="406"/>
      <c r="E32" s="401" t="s">
        <v>156</v>
      </c>
      <c r="F32" s="402"/>
      <c r="G32" s="405" t="s">
        <v>157</v>
      </c>
      <c r="H32" s="406"/>
      <c r="I32" s="401" t="s">
        <v>158</v>
      </c>
      <c r="J32" s="402"/>
      <c r="K32" s="405" t="s">
        <v>159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3</v>
      </c>
      <c r="B41" s="63">
        <v>5894</v>
      </c>
      <c r="C41" s="41">
        <v>1</v>
      </c>
      <c r="D41" s="63">
        <v>6300.5</v>
      </c>
      <c r="E41" s="41">
        <v>1</v>
      </c>
      <c r="F41" s="63">
        <v>6776</v>
      </c>
      <c r="G41" s="41">
        <v>2</v>
      </c>
      <c r="H41" s="63">
        <v>6455</v>
      </c>
      <c r="I41" s="49">
        <v>1</v>
      </c>
      <c r="J41" s="63">
        <v>6918</v>
      </c>
      <c r="K41" s="49">
        <v>1</v>
      </c>
      <c r="L41" s="63">
        <v>6734</v>
      </c>
      <c r="O41" s="81">
        <v>42186</v>
      </c>
      <c r="P41" s="77">
        <v>5456.913043478261</v>
      </c>
      <c r="Q41" s="79">
        <v>-6.4574141581339006E-2</v>
      </c>
      <c r="R41" s="98">
        <v>17564.711704347825</v>
      </c>
      <c r="S41" s="79">
        <f>R41/R33-1</f>
        <v>-3.3248112673627928E-2</v>
      </c>
      <c r="T41" s="104">
        <v>3.5118210069374545E-2</v>
      </c>
    </row>
    <row r="42" spans="1:24" x14ac:dyDescent="0.35">
      <c r="A42" s="41">
        <v>4</v>
      </c>
      <c r="B42" s="63">
        <v>5847</v>
      </c>
      <c r="C42" s="41">
        <v>2</v>
      </c>
      <c r="D42" s="63">
        <v>6300</v>
      </c>
      <c r="E42" s="41">
        <v>4</v>
      </c>
      <c r="F42" s="63">
        <v>6873</v>
      </c>
      <c r="G42" s="41">
        <v>3</v>
      </c>
      <c r="H42" s="63">
        <v>6447</v>
      </c>
      <c r="I42" s="49">
        <v>2</v>
      </c>
      <c r="J42" s="63">
        <v>6855</v>
      </c>
      <c r="K42" s="49">
        <v>4</v>
      </c>
      <c r="L42" s="63">
        <v>6807</v>
      </c>
      <c r="O42" s="81">
        <v>42217</v>
      </c>
      <c r="P42" s="77">
        <v>5088.9250000000002</v>
      </c>
      <c r="Q42" s="79">
        <v>-6.7435203849923075E-2</v>
      </c>
      <c r="R42" s="98">
        <v>17846.351082500001</v>
      </c>
      <c r="S42" s="79">
        <f t="shared" ref="S42:S56" si="0">R42/R41-1</f>
        <v>1.6034386609514506E-2</v>
      </c>
      <c r="T42" s="104">
        <v>5.1715695636175285E-2</v>
      </c>
    </row>
    <row r="43" spans="1:24" x14ac:dyDescent="0.35">
      <c r="A43" s="41">
        <v>5</v>
      </c>
      <c r="B43" s="63">
        <v>5818</v>
      </c>
      <c r="C43" s="41">
        <v>3</v>
      </c>
      <c r="D43" s="63">
        <v>6290</v>
      </c>
      <c r="E43" s="41">
        <v>5</v>
      </c>
      <c r="F43" s="63">
        <v>6904</v>
      </c>
      <c r="G43" s="41">
        <v>4</v>
      </c>
      <c r="H43" s="63">
        <v>6453</v>
      </c>
      <c r="I43" s="49">
        <v>3</v>
      </c>
      <c r="J43" s="63">
        <v>6914.5</v>
      </c>
      <c r="K43" s="49">
        <v>5</v>
      </c>
      <c r="L43" s="63">
        <v>6645</v>
      </c>
      <c r="O43" s="81">
        <v>42248</v>
      </c>
      <c r="P43" s="77">
        <v>5208.090909090909</v>
      </c>
      <c r="Q43" s="79">
        <v>2.3416715532437404E-2</v>
      </c>
      <c r="R43" s="98">
        <v>20289.159754545453</v>
      </c>
      <c r="S43" s="79">
        <f t="shared" si="0"/>
        <v>0.13688000761348085</v>
      </c>
      <c r="T43" s="104">
        <v>0.1956745480620723</v>
      </c>
    </row>
    <row r="44" spans="1:24" x14ac:dyDescent="0.35">
      <c r="A44" s="41">
        <v>6</v>
      </c>
      <c r="B44" s="63">
        <v>5828.5</v>
      </c>
      <c r="C44" s="41">
        <v>4</v>
      </c>
      <c r="D44" s="63">
        <v>6330</v>
      </c>
      <c r="E44" s="41">
        <v>6</v>
      </c>
      <c r="F44" s="63">
        <v>6864</v>
      </c>
      <c r="G44" s="41">
        <v>5</v>
      </c>
      <c r="H44" s="63">
        <v>6511</v>
      </c>
      <c r="I44" s="49">
        <v>4</v>
      </c>
      <c r="J44" s="63">
        <v>6902.5</v>
      </c>
      <c r="K44" s="49">
        <v>6</v>
      </c>
      <c r="L44" s="63">
        <v>6539</v>
      </c>
      <c r="O44" s="81">
        <v>42278</v>
      </c>
      <c r="P44" s="77">
        <v>5222.613636363636</v>
      </c>
      <c r="Q44" s="79">
        <v>2.7884934280577589E-3</v>
      </c>
      <c r="R44" s="98">
        <v>20224.049045454543</v>
      </c>
      <c r="S44" s="79">
        <f t="shared" si="0"/>
        <v>-3.2091377799084997E-3</v>
      </c>
      <c r="T44" s="104">
        <v>0.19183746369741139</v>
      </c>
    </row>
    <row r="45" spans="1:24" x14ac:dyDescent="0.35">
      <c r="A45" s="41">
        <v>7</v>
      </c>
      <c r="B45" s="63">
        <v>5809</v>
      </c>
      <c r="C45" s="41">
        <v>7</v>
      </c>
      <c r="D45" s="63">
        <v>6333</v>
      </c>
      <c r="E45" s="41">
        <v>7</v>
      </c>
      <c r="F45" s="63">
        <v>6842.5</v>
      </c>
      <c r="G45" s="41">
        <v>6</v>
      </c>
      <c r="H45" s="63">
        <v>6639</v>
      </c>
      <c r="I45" s="49">
        <v>7</v>
      </c>
      <c r="J45" s="63">
        <v>6863</v>
      </c>
      <c r="K45" s="49">
        <v>7</v>
      </c>
      <c r="L45" s="63">
        <v>6530.5</v>
      </c>
      <c r="O45" s="81">
        <v>42309</v>
      </c>
      <c r="P45" s="77">
        <v>4808.2380952380954</v>
      </c>
      <c r="Q45" s="79">
        <v>-7.9342561019707936E-2</v>
      </c>
      <c r="R45" s="98">
        <v>18166.485171428572</v>
      </c>
      <c r="S45" s="79">
        <f t="shared" si="0"/>
        <v>-0.10173847330974595</v>
      </c>
      <c r="T45" s="104">
        <v>7.0581739707477054E-2</v>
      </c>
    </row>
    <row r="46" spans="1:24" x14ac:dyDescent="0.35">
      <c r="A46" s="41">
        <v>10</v>
      </c>
      <c r="B46" s="63">
        <v>5780</v>
      </c>
      <c r="C46" s="41">
        <v>8</v>
      </c>
      <c r="D46" s="63">
        <v>6364</v>
      </c>
      <c r="E46" s="41">
        <v>8</v>
      </c>
      <c r="F46" s="63">
        <v>6780</v>
      </c>
      <c r="G46" s="41">
        <v>9</v>
      </c>
      <c r="H46" s="63">
        <v>6607</v>
      </c>
      <c r="I46" s="49">
        <v>8</v>
      </c>
      <c r="J46" s="63">
        <v>6812</v>
      </c>
      <c r="K46" s="49">
        <v>8</v>
      </c>
      <c r="L46" s="63">
        <v>6538.5</v>
      </c>
      <c r="O46" s="81">
        <v>42339</v>
      </c>
      <c r="P46" s="77">
        <v>4629</v>
      </c>
      <c r="Q46" s="79">
        <v>-3.7277291949333047E-2</v>
      </c>
      <c r="R46" s="98">
        <v>17927.6541</v>
      </c>
      <c r="S46" s="79">
        <f t="shared" si="0"/>
        <v>-1.3146795826206148E-2</v>
      </c>
      <c r="T46" s="104">
        <f>R46/R27-1</f>
        <v>5.6507020160278199E-2</v>
      </c>
    </row>
    <row r="47" spans="1:24" x14ac:dyDescent="0.35">
      <c r="A47" s="41">
        <v>11</v>
      </c>
      <c r="B47" s="63">
        <v>5795</v>
      </c>
      <c r="C47" s="41">
        <v>9</v>
      </c>
      <c r="D47" s="63">
        <v>6465</v>
      </c>
      <c r="E47" s="41">
        <v>11</v>
      </c>
      <c r="F47" s="63">
        <v>6737</v>
      </c>
      <c r="G47" s="41">
        <v>10</v>
      </c>
      <c r="H47" s="63">
        <v>6641</v>
      </c>
      <c r="I47" s="49">
        <v>9</v>
      </c>
      <c r="J47" s="63">
        <v>6777</v>
      </c>
      <c r="K47" s="49">
        <v>11</v>
      </c>
      <c r="L47" s="63">
        <v>6547.5</v>
      </c>
      <c r="O47" s="81">
        <v>42370</v>
      </c>
      <c r="P47" s="77">
        <f>B28</f>
        <v>5737.4285714285716</v>
      </c>
      <c r="Q47" s="79">
        <f t="shared" ref="Q47:Q52" si="1">P47/P46-1</f>
        <v>0.23945313705521087</v>
      </c>
      <c r="R47" s="80">
        <f>B29</f>
        <v>18359.771428571428</v>
      </c>
      <c r="S47" s="79">
        <f t="shared" si="0"/>
        <v>2.4103395020959706E-2</v>
      </c>
      <c r="T47" s="104">
        <f>R47/$R$46-1</f>
        <v>2.4103395020959706E-2</v>
      </c>
      <c r="V47" s="81"/>
      <c r="W47" s="81"/>
      <c r="X47" s="81"/>
    </row>
    <row r="48" spans="1:24" x14ac:dyDescent="0.35">
      <c r="A48" s="41">
        <v>12</v>
      </c>
      <c r="B48" s="63">
        <v>5882.5</v>
      </c>
      <c r="C48" s="41">
        <v>10</v>
      </c>
      <c r="D48" s="63">
        <v>6416.5</v>
      </c>
      <c r="E48" s="41">
        <v>12</v>
      </c>
      <c r="F48" s="63">
        <v>6601.5</v>
      </c>
      <c r="G48" s="41">
        <v>11</v>
      </c>
      <c r="H48" s="63">
        <v>6685</v>
      </c>
      <c r="I48" s="49">
        <v>10</v>
      </c>
      <c r="J48" s="63">
        <v>6797</v>
      </c>
      <c r="K48" s="49">
        <v>12</v>
      </c>
      <c r="L48" s="63">
        <v>6614</v>
      </c>
      <c r="O48" s="81">
        <v>42401</v>
      </c>
      <c r="P48" s="77">
        <f>D28</f>
        <v>5941.55</v>
      </c>
      <c r="Q48" s="79">
        <f t="shared" si="1"/>
        <v>3.5577162491907677E-2</v>
      </c>
      <c r="R48" s="80">
        <f>D29</f>
        <v>18478.220499999999</v>
      </c>
      <c r="S48" s="79">
        <f t="shared" si="0"/>
        <v>6.4515547968229114E-3</v>
      </c>
      <c r="T48" s="104">
        <f>R48/$R$46-1</f>
        <v>3.0710454191549719E-2</v>
      </c>
    </row>
    <row r="49" spans="1:21" x14ac:dyDescent="0.35">
      <c r="A49" s="41">
        <v>13</v>
      </c>
      <c r="B49" s="63">
        <v>5902</v>
      </c>
      <c r="C49" s="41">
        <v>11</v>
      </c>
      <c r="D49" s="63">
        <v>6353.5</v>
      </c>
      <c r="E49" s="41">
        <v>13</v>
      </c>
      <c r="F49" s="63">
        <v>6527</v>
      </c>
      <c r="G49" s="41">
        <v>12</v>
      </c>
      <c r="H49" s="63">
        <v>6813</v>
      </c>
      <c r="I49" s="49">
        <v>13</v>
      </c>
      <c r="J49" s="63">
        <v>6768</v>
      </c>
      <c r="K49" s="49">
        <v>13</v>
      </c>
      <c r="L49" s="63">
        <v>6685</v>
      </c>
      <c r="O49" s="81">
        <v>42430</v>
      </c>
      <c r="P49" s="77">
        <f>F28</f>
        <v>5821.521739130435</v>
      </c>
      <c r="Q49" s="79">
        <f t="shared" si="1"/>
        <v>-2.0201506487291243E-2</v>
      </c>
      <c r="R49" s="80">
        <f>F29</f>
        <v>18191.673282608695</v>
      </c>
      <c r="S49" s="79">
        <f t="shared" si="0"/>
        <v>-1.5507295055349313E-2</v>
      </c>
      <c r="T49" s="104">
        <f>R49/$R$46-1</f>
        <v>1.4726923061768371E-2</v>
      </c>
    </row>
    <row r="50" spans="1:21" x14ac:dyDescent="0.35">
      <c r="A50" s="41">
        <v>14</v>
      </c>
      <c r="B50" s="63">
        <v>5858</v>
      </c>
      <c r="C50" s="41">
        <v>14</v>
      </c>
      <c r="D50" s="63">
        <v>6351</v>
      </c>
      <c r="E50" s="41">
        <v>14</v>
      </c>
      <c r="F50" s="63">
        <v>6418.5</v>
      </c>
      <c r="G50" s="41">
        <v>13</v>
      </c>
      <c r="H50" s="63">
        <v>6858</v>
      </c>
      <c r="I50" s="49">
        <v>14</v>
      </c>
      <c r="J50" s="63">
        <v>6822.5</v>
      </c>
      <c r="K50" s="49">
        <v>14</v>
      </c>
      <c r="L50" s="63">
        <v>6723</v>
      </c>
      <c r="O50" s="81">
        <v>42461</v>
      </c>
      <c r="P50" s="77">
        <f>H28</f>
        <v>5697.666666666667</v>
      </c>
      <c r="Q50" s="79">
        <f t="shared" si="1"/>
        <v>-2.1275377472397494E-2</v>
      </c>
      <c r="R50" s="80">
        <f>H29</f>
        <v>17859.336166666668</v>
      </c>
      <c r="S50" s="79">
        <f t="shared" si="0"/>
        <v>-1.8268639216368454E-2</v>
      </c>
      <c r="T50" s="104">
        <f>R50/$R$46-1</f>
        <v>-3.8107569987827494E-3</v>
      </c>
    </row>
    <row r="51" spans="1:21" x14ac:dyDescent="0.35">
      <c r="A51" s="41">
        <v>17</v>
      </c>
      <c r="B51" s="63">
        <v>5965.5</v>
      </c>
      <c r="C51" s="41">
        <v>15</v>
      </c>
      <c r="D51" s="63">
        <v>6382</v>
      </c>
      <c r="E51" s="41">
        <v>15</v>
      </c>
      <c r="F51" s="63">
        <v>6457</v>
      </c>
      <c r="G51" s="41">
        <v>16</v>
      </c>
      <c r="H51" s="63">
        <v>7063</v>
      </c>
      <c r="I51" s="49">
        <v>15</v>
      </c>
      <c r="J51" s="63">
        <v>6715.5</v>
      </c>
      <c r="K51" s="49">
        <v>15</v>
      </c>
      <c r="L51" s="63">
        <v>6735.5</v>
      </c>
      <c r="O51" s="81">
        <v>42491</v>
      </c>
      <c r="P51" s="77">
        <f>J28</f>
        <v>5591.5</v>
      </c>
      <c r="Q51" s="79">
        <f t="shared" si="1"/>
        <v>-1.8633358684841839E-2</v>
      </c>
      <c r="R51" s="80">
        <f>J29</f>
        <v>17934.736250000002</v>
      </c>
      <c r="S51" s="79">
        <f t="shared" si="0"/>
        <v>4.221886112097728E-3</v>
      </c>
      <c r="T51" s="104">
        <f>R51/R46-1</f>
        <v>3.9504053126515615E-4</v>
      </c>
    </row>
    <row r="52" spans="1:21" x14ac:dyDescent="0.35">
      <c r="A52" s="41">
        <v>18</v>
      </c>
      <c r="B52" s="63">
        <v>5940.5</v>
      </c>
      <c r="C52" s="41">
        <v>16</v>
      </c>
      <c r="D52" s="63">
        <v>6433</v>
      </c>
      <c r="E52" s="41">
        <v>18</v>
      </c>
      <c r="F52" s="63">
        <v>6487</v>
      </c>
      <c r="G52" s="41">
        <v>17</v>
      </c>
      <c r="H52" s="63">
        <v>7046</v>
      </c>
      <c r="I52" s="49">
        <v>16</v>
      </c>
      <c r="J52" s="63">
        <v>6764</v>
      </c>
      <c r="K52" s="49">
        <v>18</v>
      </c>
      <c r="L52" s="63">
        <v>6844</v>
      </c>
      <c r="O52" s="81">
        <v>42522</v>
      </c>
      <c r="P52" s="77">
        <f>L28</f>
        <v>5699.477272727273</v>
      </c>
      <c r="Q52" s="79">
        <f t="shared" si="1"/>
        <v>1.9310967133554957E-2</v>
      </c>
      <c r="R52" s="80">
        <f>L29</f>
        <v>18764.389025</v>
      </c>
      <c r="S52" s="79">
        <f t="shared" si="0"/>
        <v>4.6259547028465464E-2</v>
      </c>
      <c r="T52" s="104">
        <f>R52/R46-1</f>
        <v>4.6672861955764811E-2</v>
      </c>
    </row>
    <row r="53" spans="1:21" x14ac:dyDescent="0.35">
      <c r="A53" s="41">
        <v>19</v>
      </c>
      <c r="B53" s="63">
        <v>5956</v>
      </c>
      <c r="C53" s="41">
        <v>17</v>
      </c>
      <c r="D53" s="63">
        <v>6460</v>
      </c>
      <c r="E53" s="41">
        <v>19</v>
      </c>
      <c r="F53" s="63">
        <v>6492</v>
      </c>
      <c r="G53" s="41">
        <v>18</v>
      </c>
      <c r="H53" s="63">
        <v>6971.5</v>
      </c>
      <c r="I53" s="49">
        <v>17</v>
      </c>
      <c r="J53" s="63">
        <v>6728.5</v>
      </c>
      <c r="K53" s="49">
        <v>19</v>
      </c>
      <c r="L53" s="63">
        <v>6845</v>
      </c>
      <c r="O53" s="81">
        <v>42552</v>
      </c>
      <c r="P53" s="77">
        <f>B65</f>
        <v>5978.5952380952385</v>
      </c>
      <c r="Q53" s="79">
        <f>P53/P52-1</f>
        <v>4.8972555203190327E-2</v>
      </c>
      <c r="R53" s="80">
        <f>B67</f>
        <v>19181.724961904765</v>
      </c>
      <c r="S53" s="79">
        <f t="shared" si="0"/>
        <v>2.2240848681443603E-2</v>
      </c>
      <c r="T53" s="104">
        <f>R53/R46-1</f>
        <v>6.9951754697496371E-2</v>
      </c>
    </row>
    <row r="54" spans="1:21" x14ac:dyDescent="0.35">
      <c r="A54" s="41">
        <v>20</v>
      </c>
      <c r="B54" s="63">
        <v>5930</v>
      </c>
      <c r="C54" s="41">
        <v>18</v>
      </c>
      <c r="D54" s="63">
        <v>6453</v>
      </c>
      <c r="E54" s="41">
        <v>20</v>
      </c>
      <c r="F54" s="63">
        <v>6520</v>
      </c>
      <c r="G54" s="41">
        <v>19</v>
      </c>
      <c r="H54" s="63">
        <v>6920</v>
      </c>
      <c r="I54" s="49">
        <v>20</v>
      </c>
      <c r="J54" s="63">
        <v>6752</v>
      </c>
      <c r="K54" s="49">
        <v>20</v>
      </c>
      <c r="L54" s="63">
        <v>6925</v>
      </c>
      <c r="M54" s="106"/>
      <c r="O54" s="81">
        <v>42583</v>
      </c>
      <c r="P54" s="77">
        <f>D65</f>
        <v>6478.227272727273</v>
      </c>
      <c r="Q54" s="79">
        <f>P54/P53-1</f>
        <v>8.3570138926350124E-2</v>
      </c>
      <c r="R54" s="80">
        <f>D67</f>
        <v>20407.711554545454</v>
      </c>
      <c r="S54" s="79">
        <f t="shared" si="0"/>
        <v>6.3914303592378596E-2</v>
      </c>
      <c r="T54" s="104">
        <f>R54/R46-1</f>
        <v>0.13833697597643035</v>
      </c>
      <c r="U54" s="106"/>
    </row>
    <row r="55" spans="1:21" x14ac:dyDescent="0.35">
      <c r="A55" s="41">
        <v>21</v>
      </c>
      <c r="B55" s="63">
        <v>6001.5</v>
      </c>
      <c r="C55" s="41">
        <v>21</v>
      </c>
      <c r="D55" s="63">
        <v>6515.5</v>
      </c>
      <c r="E55" s="41">
        <v>21</v>
      </c>
      <c r="F55" s="63">
        <v>6407.5</v>
      </c>
      <c r="G55" s="41">
        <v>20</v>
      </c>
      <c r="H55" s="63">
        <v>7008.5</v>
      </c>
      <c r="I55" s="49">
        <v>21</v>
      </c>
      <c r="J55" s="63">
        <v>6828</v>
      </c>
      <c r="K55" s="49">
        <v>21</v>
      </c>
      <c r="L55" s="63">
        <v>6977</v>
      </c>
      <c r="O55" s="81">
        <v>42614</v>
      </c>
      <c r="P55" s="77">
        <f>F65</f>
        <v>6583.1904761904761</v>
      </c>
      <c r="Q55" s="79">
        <f>P55/P54-1</f>
        <v>1.6202457716339769E-2</v>
      </c>
      <c r="R55" s="80">
        <f>F67</f>
        <v>20612.627700000001</v>
      </c>
      <c r="S55" s="79">
        <f t="shared" si="0"/>
        <v>1.004111337554181E-2</v>
      </c>
      <c r="T55" s="104">
        <f>R55/R46-1</f>
        <v>0.14976714661178114</v>
      </c>
    </row>
    <row r="56" spans="1:21" x14ac:dyDescent="0.35">
      <c r="A56" s="41">
        <v>24</v>
      </c>
      <c r="B56" s="63">
        <v>6000</v>
      </c>
      <c r="C56" s="41">
        <v>22</v>
      </c>
      <c r="D56" s="63">
        <v>6584</v>
      </c>
      <c r="E56" s="41">
        <v>22</v>
      </c>
      <c r="F56" s="63">
        <v>6405</v>
      </c>
      <c r="G56" s="41">
        <v>23</v>
      </c>
      <c r="H56" s="63">
        <v>6959</v>
      </c>
      <c r="I56" s="49">
        <v>22</v>
      </c>
      <c r="J56" s="63">
        <v>6872.5</v>
      </c>
      <c r="K56" s="49">
        <v>22</v>
      </c>
      <c r="L56" s="63">
        <v>7019</v>
      </c>
      <c r="O56" s="81">
        <v>42644</v>
      </c>
      <c r="P56" s="77">
        <f>H65</f>
        <v>6797.386363636364</v>
      </c>
      <c r="Q56" s="79">
        <f>P56/P55-1</f>
        <v>3.2536790211459499E-2</v>
      </c>
      <c r="R56" s="80">
        <f>H67</f>
        <v>21693.858579545456</v>
      </c>
      <c r="S56" s="79">
        <f t="shared" si="0"/>
        <v>5.2454781373917569E-2</v>
      </c>
      <c r="T56" s="104">
        <f>R56/R46-1</f>
        <v>0.21007793091821525</v>
      </c>
    </row>
    <row r="57" spans="1:21" x14ac:dyDescent="0.35">
      <c r="A57" s="41">
        <v>25</v>
      </c>
      <c r="B57" s="63">
        <v>6150</v>
      </c>
      <c r="C57" s="41">
        <v>23</v>
      </c>
      <c r="D57" s="63">
        <v>6555</v>
      </c>
      <c r="E57" s="41">
        <v>25</v>
      </c>
      <c r="F57" s="63">
        <v>6416</v>
      </c>
      <c r="G57" s="41">
        <v>24</v>
      </c>
      <c r="H57" s="63">
        <v>7073.5</v>
      </c>
      <c r="I57" s="49">
        <v>23</v>
      </c>
      <c r="J57" s="63">
        <v>6895.5</v>
      </c>
      <c r="K57" s="49">
        <v>27</v>
      </c>
      <c r="L57" s="63">
        <v>7140</v>
      </c>
      <c r="O57" s="81">
        <v>42675</v>
      </c>
      <c r="P57" s="77">
        <f>J65</f>
        <v>6825.568181818182</v>
      </c>
      <c r="Q57" s="79">
        <f>P57/P56-1</f>
        <v>4.1459785679656136E-3</v>
      </c>
      <c r="R57" s="80">
        <f>J67</f>
        <v>22252.034829545457</v>
      </c>
      <c r="S57" s="79">
        <f>R57/R56-1</f>
        <v>2.5729689716254001E-2</v>
      </c>
      <c r="T57" s="104">
        <f>R57/R46-1</f>
        <v>0.24121286061322755</v>
      </c>
    </row>
    <row r="58" spans="1:21" x14ac:dyDescent="0.35">
      <c r="A58" s="41">
        <v>26</v>
      </c>
      <c r="B58" s="63">
        <v>6238</v>
      </c>
      <c r="C58" s="41">
        <v>24</v>
      </c>
      <c r="D58" s="63">
        <v>6577</v>
      </c>
      <c r="E58" s="41">
        <v>26</v>
      </c>
      <c r="F58" s="63">
        <v>6423</v>
      </c>
      <c r="G58" s="41">
        <v>25</v>
      </c>
      <c r="H58" s="63">
        <v>6970.5</v>
      </c>
      <c r="I58" s="49">
        <v>24</v>
      </c>
      <c r="J58" s="63">
        <v>6967.5</v>
      </c>
      <c r="K58" s="49">
        <v>28</v>
      </c>
      <c r="L58" s="63">
        <v>7216</v>
      </c>
      <c r="O58" s="81" t="s">
        <v>83</v>
      </c>
      <c r="P58" s="115">
        <f>P57/P46-1</f>
        <v>0.47452326243641862</v>
      </c>
      <c r="Q58" s="79" t="s">
        <v>103</v>
      </c>
      <c r="R58" s="80"/>
      <c r="S58" s="126">
        <f>R57/R46-1</f>
        <v>0.24121286061322755</v>
      </c>
      <c r="T58" t="s">
        <v>104</v>
      </c>
    </row>
    <row r="59" spans="1:21" x14ac:dyDescent="0.35">
      <c r="A59" s="41">
        <v>27</v>
      </c>
      <c r="B59" s="63">
        <v>6325</v>
      </c>
      <c r="C59" s="41">
        <v>25</v>
      </c>
      <c r="D59" s="63">
        <v>6714</v>
      </c>
      <c r="E59" s="41">
        <v>27</v>
      </c>
      <c r="F59" s="63">
        <v>6426</v>
      </c>
      <c r="G59" s="41">
        <v>26</v>
      </c>
      <c r="H59" s="63">
        <v>6965</v>
      </c>
      <c r="I59" s="49">
        <v>27</v>
      </c>
      <c r="J59" s="63">
        <v>6892</v>
      </c>
      <c r="K59" s="72">
        <v>29</v>
      </c>
      <c r="L59" s="64">
        <v>7157</v>
      </c>
      <c r="P59" s="79"/>
    </row>
    <row r="60" spans="1:21" x14ac:dyDescent="0.35">
      <c r="A60" s="41">
        <v>28</v>
      </c>
      <c r="B60" s="63">
        <v>6283</v>
      </c>
      <c r="C60" s="41">
        <v>29</v>
      </c>
      <c r="D60" s="63">
        <v>6797</v>
      </c>
      <c r="E60" s="41">
        <v>28</v>
      </c>
      <c r="F60" s="63">
        <v>6405</v>
      </c>
      <c r="G60" s="41">
        <v>27</v>
      </c>
      <c r="H60" s="63">
        <v>6831.5</v>
      </c>
      <c r="I60" s="49">
        <v>28</v>
      </c>
      <c r="J60" s="63">
        <v>6800</v>
      </c>
      <c r="K60" s="49"/>
      <c r="L60" s="63"/>
    </row>
    <row r="61" spans="1:21" x14ac:dyDescent="0.35">
      <c r="A61" s="42">
        <v>31</v>
      </c>
      <c r="B61" s="64">
        <v>6347</v>
      </c>
      <c r="C61" s="41">
        <v>30</v>
      </c>
      <c r="D61" s="63">
        <v>6755</v>
      </c>
      <c r="E61" s="42">
        <v>29</v>
      </c>
      <c r="F61" s="64">
        <v>6485</v>
      </c>
      <c r="G61" s="41">
        <v>30</v>
      </c>
      <c r="H61" s="63">
        <v>6823</v>
      </c>
      <c r="I61" s="49">
        <v>29</v>
      </c>
      <c r="J61" s="63">
        <v>6756.5</v>
      </c>
      <c r="K61" s="49"/>
      <c r="L61" s="63"/>
    </row>
    <row r="62" spans="1:21" x14ac:dyDescent="0.35">
      <c r="A62" s="117"/>
      <c r="B62" s="118"/>
      <c r="C62" s="42">
        <v>31</v>
      </c>
      <c r="D62" s="64">
        <v>6792</v>
      </c>
      <c r="E62" s="394"/>
      <c r="F62" s="395"/>
      <c r="G62" s="42">
        <v>31</v>
      </c>
      <c r="H62" s="64">
        <v>6802</v>
      </c>
      <c r="I62" s="42">
        <v>30</v>
      </c>
      <c r="J62" s="64">
        <v>6761</v>
      </c>
      <c r="K62" s="394"/>
      <c r="L62" s="395"/>
    </row>
    <row r="63" spans="1:21" x14ac:dyDescent="0.35">
      <c r="A63" s="117"/>
      <c r="B63" s="118"/>
      <c r="C63" s="117"/>
      <c r="D63" s="118"/>
      <c r="E63" s="394"/>
      <c r="F63" s="395"/>
      <c r="G63" s="394"/>
      <c r="H63" s="395"/>
      <c r="I63" s="394"/>
      <c r="J63" s="395"/>
      <c r="K63" s="394"/>
      <c r="L63" s="395"/>
    </row>
    <row r="64" spans="1:21" ht="15" thickBot="1" x14ac:dyDescent="0.4">
      <c r="A64" s="384">
        <f>B65/L28-1</f>
        <v>4.8972555203190327E-2</v>
      </c>
      <c r="B64" s="385"/>
      <c r="C64" s="384">
        <f>D65/B65-1</f>
        <v>8.3570138926350124E-2</v>
      </c>
      <c r="D64" s="385"/>
      <c r="E64" s="384">
        <f>F65/D65-1</f>
        <v>1.6202457716339769E-2</v>
      </c>
      <c r="F64" s="385"/>
      <c r="G64" s="384">
        <f>H65/F65-1</f>
        <v>3.2536790211459499E-2</v>
      </c>
      <c r="H64" s="385"/>
      <c r="I64" s="384">
        <f>J65/H65-1</f>
        <v>4.1459785679656136E-3</v>
      </c>
      <c r="J64" s="385"/>
      <c r="K64" s="384">
        <f>L65/J65-1</f>
        <v>-3.5763011123913779E-3</v>
      </c>
      <c r="L64" s="385"/>
    </row>
    <row r="65" spans="1:16" ht="15" thickBot="1" x14ac:dyDescent="0.4">
      <c r="A65" s="65" t="s">
        <v>10</v>
      </c>
      <c r="B65" s="66">
        <f>AVERAGE(B41:B63)</f>
        <v>5978.5952380952385</v>
      </c>
      <c r="C65" s="55" t="s">
        <v>10</v>
      </c>
      <c r="D65" s="66">
        <f>AVERAGE(D41:D63)</f>
        <v>6478.227272727273</v>
      </c>
      <c r="E65" s="55" t="s">
        <v>10</v>
      </c>
      <c r="F65" s="66">
        <f>AVERAGE(F41:F61)</f>
        <v>6583.1904761904761</v>
      </c>
      <c r="G65" s="55" t="s">
        <v>10</v>
      </c>
      <c r="H65" s="66">
        <f>AVERAGE(H41:H63)</f>
        <v>6797.386363636364</v>
      </c>
      <c r="I65" s="56" t="s">
        <v>10</v>
      </c>
      <c r="J65" s="66">
        <f>AVERAGE(J41:J62)</f>
        <v>6825.568181818182</v>
      </c>
      <c r="K65" s="55" t="s">
        <v>10</v>
      </c>
      <c r="L65" s="66">
        <f>AVERAGE(L41:L61)</f>
        <v>6801.1578947368425</v>
      </c>
    </row>
    <row r="66" spans="1:16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16" ht="15" thickBot="1" x14ac:dyDescent="0.4">
      <c r="A67" s="67" t="s">
        <v>11</v>
      </c>
      <c r="B67" s="67">
        <f>B65*A68</f>
        <v>19181.724961904765</v>
      </c>
      <c r="C67" s="67" t="s">
        <v>11</v>
      </c>
      <c r="D67" s="99">
        <f>D65*C68</f>
        <v>20407.711554545454</v>
      </c>
      <c r="E67" s="67" t="s">
        <v>11</v>
      </c>
      <c r="F67" s="67">
        <f>F65*E68</f>
        <v>20612.627700000001</v>
      </c>
      <c r="G67" s="67" t="s">
        <v>11</v>
      </c>
      <c r="H67" s="67">
        <f>H65*G68</f>
        <v>21693.858579545456</v>
      </c>
      <c r="I67" s="67" t="s">
        <v>11</v>
      </c>
      <c r="J67" s="67">
        <f>J65*I68</f>
        <v>22252.034829545457</v>
      </c>
      <c r="K67" s="67" t="s">
        <v>11</v>
      </c>
      <c r="L67" s="67">
        <f>L65*K68</f>
        <v>22409.135147368423</v>
      </c>
      <c r="M67" s="79"/>
    </row>
    <row r="68" spans="1:16" ht="15" thickBot="1" x14ac:dyDescent="0.4">
      <c r="A68" s="67">
        <v>3.2084000000000001</v>
      </c>
      <c r="B68" s="73">
        <f>B67/L29-1</f>
        <v>2.2240848681443603E-2</v>
      </c>
      <c r="C68" s="67">
        <v>3.1501999999999999</v>
      </c>
      <c r="D68" s="73">
        <f>D67/L29-1</f>
        <v>8.7576660628600145E-2</v>
      </c>
      <c r="E68" s="67">
        <v>3.1311</v>
      </c>
      <c r="F68" s="73">
        <f>F67/D67-1</f>
        <v>1.004111337554181E-2</v>
      </c>
      <c r="G68" s="67">
        <v>3.1915</v>
      </c>
      <c r="H68" s="73">
        <f>H67/F67-1</f>
        <v>5.2454781373917569E-2</v>
      </c>
      <c r="I68" s="67">
        <v>3.2601</v>
      </c>
      <c r="J68" s="73">
        <f>J67/H67-1</f>
        <v>2.5729689716254001E-2</v>
      </c>
      <c r="K68" s="67">
        <v>3.2949000000000002</v>
      </c>
      <c r="L68" s="73">
        <f>L67/J67-1</f>
        <v>7.0600427792955056E-3</v>
      </c>
      <c r="O68" s="125"/>
    </row>
    <row r="69" spans="1:16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16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16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16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16" x14ac:dyDescent="0.35">
      <c r="F73" s="81"/>
      <c r="G73" s="81"/>
      <c r="H73" s="95"/>
      <c r="I73" s="96"/>
      <c r="J73" s="97"/>
      <c r="K73" s="96"/>
    </row>
  </sheetData>
  <mergeCells count="61">
    <mergeCell ref="A69:L69"/>
    <mergeCell ref="A66:B66"/>
    <mergeCell ref="C66:D66"/>
    <mergeCell ref="E66:F66"/>
    <mergeCell ref="G66:H66"/>
    <mergeCell ref="I66:J66"/>
    <mergeCell ref="K66:L66"/>
    <mergeCell ref="A64:B64"/>
    <mergeCell ref="C64:D64"/>
    <mergeCell ref="E64:F64"/>
    <mergeCell ref="G64:H64"/>
    <mergeCell ref="I64:J64"/>
    <mergeCell ref="K64:L64"/>
    <mergeCell ref="K62:L62"/>
    <mergeCell ref="E63:F63"/>
    <mergeCell ref="G63:H63"/>
    <mergeCell ref="I63:J63"/>
    <mergeCell ref="K63:L63"/>
    <mergeCell ref="E62:F6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A31:L31"/>
    <mergeCell ref="A32:B32"/>
    <mergeCell ref="C32:D32"/>
    <mergeCell ref="E32:F32"/>
    <mergeCell ref="G32:H32"/>
    <mergeCell ref="I32:J32"/>
    <mergeCell ref="K32:L32"/>
    <mergeCell ref="K27:L27"/>
    <mergeCell ref="A26:B26"/>
    <mergeCell ref="C26:D26"/>
    <mergeCell ref="G26:H26"/>
    <mergeCell ref="I26:J26"/>
    <mergeCell ref="A27:B27"/>
    <mergeCell ref="C27:D27"/>
    <mergeCell ref="E27:F27"/>
    <mergeCell ref="G27:H27"/>
    <mergeCell ref="I27:J27"/>
    <mergeCell ref="K26:L26"/>
    <mergeCell ref="C24:D24"/>
    <mergeCell ref="A25:B25"/>
    <mergeCell ref="C25:D25"/>
    <mergeCell ref="G25:H25"/>
    <mergeCell ref="A1:L1"/>
    <mergeCell ref="A2:B2"/>
    <mergeCell ref="C2:D2"/>
    <mergeCell ref="E2:F2"/>
    <mergeCell ref="G2:H2"/>
    <mergeCell ref="I2:J2"/>
    <mergeCell ref="K2:L2"/>
    <mergeCell ref="I25:J25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S8" sqref="S8"/>
    </sheetView>
  </sheetViews>
  <sheetFormatPr defaultRowHeight="14.5" x14ac:dyDescent="0.35"/>
  <cols>
    <col min="1" max="1" width="13.26953125" bestFit="1" customWidth="1"/>
  </cols>
  <sheetData/>
  <pageMargins left="0.51181102362204722" right="0.51181102362204722" top="0.78740157480314965" bottom="0.78740157480314965" header="0.31496062992125984" footer="0.31496062992125984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33"/>
  <sheetViews>
    <sheetView topLeftCell="A10" zoomScale="80" zoomScaleNormal="80" workbookViewId="0">
      <selection activeCell="U55" sqref="U55"/>
    </sheetView>
  </sheetViews>
  <sheetFormatPr defaultRowHeight="14.5" x14ac:dyDescent="0.35"/>
  <cols>
    <col min="1" max="1" width="12.1796875" customWidth="1"/>
    <col min="5" max="5" width="9" bestFit="1" customWidth="1"/>
    <col min="6" max="6" width="10.7265625" customWidth="1"/>
    <col min="13" max="13" width="13.453125" bestFit="1" customWidth="1"/>
  </cols>
  <sheetData>
    <row r="1" spans="1:14" x14ac:dyDescent="0.35">
      <c r="B1" s="78" t="s">
        <v>59</v>
      </c>
      <c r="C1" s="78" t="s">
        <v>60</v>
      </c>
      <c r="D1" s="78" t="s">
        <v>61</v>
      </c>
      <c r="E1" s="78" t="s">
        <v>82</v>
      </c>
      <c r="F1" s="78"/>
      <c r="G1" s="107"/>
    </row>
    <row r="2" spans="1:14" x14ac:dyDescent="0.35">
      <c r="A2" t="s">
        <v>47</v>
      </c>
      <c r="B2" s="101">
        <f>'2013'!A31</f>
        <v>2.0331000000000001</v>
      </c>
      <c r="C2" s="101">
        <f>'2014'!A31</f>
        <v>2.3809</v>
      </c>
      <c r="D2" s="101">
        <f>'2015'!A31</f>
        <v>2.6371000000000002</v>
      </c>
      <c r="E2" s="101">
        <f>'2016'!A29</f>
        <v>4.0395000000000003</v>
      </c>
    </row>
    <row r="3" spans="1:14" x14ac:dyDescent="0.35">
      <c r="A3" t="s">
        <v>48</v>
      </c>
      <c r="B3" s="101">
        <f>'2013'!C31</f>
        <v>1.9717</v>
      </c>
      <c r="C3" s="101">
        <f>'2014'!C31</f>
        <v>2.3856999999999999</v>
      </c>
      <c r="D3" s="101">
        <f>'2015'!$C$31</f>
        <v>2.8164899999999999</v>
      </c>
      <c r="E3" s="101">
        <f>'2016'!C29</f>
        <v>3.9676</v>
      </c>
    </row>
    <row r="4" spans="1:14" x14ac:dyDescent="0.35">
      <c r="A4" t="s">
        <v>49</v>
      </c>
      <c r="B4" s="101">
        <f>'2013'!E31</f>
        <v>1.9854000000000001</v>
      </c>
      <c r="C4" s="101">
        <f>'2014'!E31</f>
        <v>2.3258000000000001</v>
      </c>
      <c r="D4" s="101">
        <f>'2015'!$E$31</f>
        <v>3.1421999999999999</v>
      </c>
      <c r="E4" s="101">
        <f>'2016'!E29</f>
        <v>3.6932999999999998</v>
      </c>
    </row>
    <row r="5" spans="1:14" ht="21" x14ac:dyDescent="0.5">
      <c r="A5" t="s">
        <v>50</v>
      </c>
      <c r="B5" s="101">
        <f>'2013'!G31</f>
        <v>2.0009999999999999</v>
      </c>
      <c r="C5" s="101">
        <f>'2014'!G31</f>
        <v>2.2330999999999999</v>
      </c>
      <c r="D5" s="101">
        <f>'2015'!$G$31</f>
        <v>3.0525000000000002</v>
      </c>
      <c r="E5" s="101">
        <f>'2016'!G29</f>
        <v>3.5659000000000001</v>
      </c>
      <c r="F5" s="106"/>
      <c r="M5" s="109" t="s">
        <v>61</v>
      </c>
      <c r="N5" s="110">
        <f>D13/C13-1</f>
        <v>0.46595253416102045</v>
      </c>
    </row>
    <row r="6" spans="1:14" x14ac:dyDescent="0.35">
      <c r="A6" t="s">
        <v>51</v>
      </c>
      <c r="B6" s="101">
        <f>'2013'!I31</f>
        <v>2.0339999999999998</v>
      </c>
      <c r="C6" s="101">
        <f>'2014'!I31</f>
        <v>2.2210999999999999</v>
      </c>
      <c r="D6" s="101">
        <f>'2015'!I31</f>
        <v>3.0539999999999998</v>
      </c>
      <c r="E6" s="101">
        <v>3.54</v>
      </c>
    </row>
    <row r="7" spans="1:14" ht="21" x14ac:dyDescent="0.5">
      <c r="A7" t="s">
        <v>52</v>
      </c>
      <c r="B7" s="101">
        <f>'2013'!K31</f>
        <v>2.17</v>
      </c>
      <c r="C7" s="101">
        <f>'2014'!K31</f>
        <v>2.2342</v>
      </c>
      <c r="D7" s="101">
        <f>'2015'!K31</f>
        <v>3.1145</v>
      </c>
      <c r="E7" s="101">
        <f>'2016'!K29</f>
        <v>3.43</v>
      </c>
      <c r="M7" s="109" t="s">
        <v>82</v>
      </c>
      <c r="N7" s="110">
        <f>E11/D13-1</f>
        <v>-0.17622453458648557</v>
      </c>
    </row>
    <row r="8" spans="1:14" x14ac:dyDescent="0.35">
      <c r="A8" t="s">
        <v>53</v>
      </c>
      <c r="B8" s="101">
        <f>'2013'!A62</f>
        <v>2.2526799999999998</v>
      </c>
      <c r="C8" s="101">
        <f>'2014'!A85</f>
        <v>2.2248999999999999</v>
      </c>
      <c r="D8" s="101">
        <f>'2015'!A85</f>
        <v>3.2187999999999999</v>
      </c>
      <c r="E8" s="101">
        <v>3.27</v>
      </c>
    </row>
    <row r="9" spans="1:14" x14ac:dyDescent="0.35">
      <c r="A9" t="s">
        <v>54</v>
      </c>
      <c r="B9" s="101">
        <f>'2013'!C62</f>
        <v>2.3395000000000001</v>
      </c>
      <c r="C9" s="101">
        <f>'2014'!C85</f>
        <v>2.2684000000000002</v>
      </c>
      <c r="D9" s="101">
        <f>'2015'!$C$85</f>
        <v>3.5068999999999999</v>
      </c>
      <c r="E9" s="101">
        <v>3.29</v>
      </c>
      <c r="F9" s="79"/>
    </row>
    <row r="10" spans="1:14" x14ac:dyDescent="0.35">
      <c r="A10" t="s">
        <v>55</v>
      </c>
      <c r="B10" s="101">
        <f>'2013'!E62</f>
        <v>2.2711000000000001</v>
      </c>
      <c r="C10" s="101">
        <f>'2014'!E85</f>
        <v>2.335</v>
      </c>
      <c r="D10" s="101">
        <f>'2015'!E85</f>
        <v>3.8957000000000002</v>
      </c>
      <c r="E10" s="101">
        <f>'2016'!E83</f>
        <v>3.2564000000000002</v>
      </c>
      <c r="F10" s="106"/>
    </row>
    <row r="11" spans="1:14" x14ac:dyDescent="0.35">
      <c r="A11" t="s">
        <v>56</v>
      </c>
      <c r="B11" s="101">
        <f>'2013'!G62</f>
        <v>2.1867999999999999</v>
      </c>
      <c r="C11" s="101">
        <f>'2014'!G85</f>
        <v>2.4506999999999999</v>
      </c>
      <c r="D11" s="101">
        <f>'2015'!G85</f>
        <v>3.8723999999999998</v>
      </c>
      <c r="E11" s="101">
        <f>'2016'!G83</f>
        <v>3.1903999999999999</v>
      </c>
      <c r="F11" s="106"/>
    </row>
    <row r="12" spans="1:14" x14ac:dyDescent="0.35">
      <c r="A12" t="s">
        <v>57</v>
      </c>
      <c r="B12" s="101">
        <f>'2013'!I62</f>
        <v>2.2976000000000001</v>
      </c>
      <c r="C12" s="101">
        <f>'2014'!I85</f>
        <v>2.56</v>
      </c>
      <c r="D12" s="101">
        <f>'2015'!I85</f>
        <v>3.7782</v>
      </c>
      <c r="E12" s="101">
        <f>'2016'!I83</f>
        <v>3.33</v>
      </c>
      <c r="F12" s="106"/>
    </row>
    <row r="13" spans="1:14" x14ac:dyDescent="0.35">
      <c r="A13" t="s">
        <v>58</v>
      </c>
      <c r="B13" s="101">
        <f>'2013'!$K$62</f>
        <v>2.3477999999999999</v>
      </c>
      <c r="C13" s="101">
        <f>'2014'!K85</f>
        <v>2.6419000000000001</v>
      </c>
      <c r="D13" s="101">
        <f>'2015'!K85</f>
        <v>3.8729</v>
      </c>
    </row>
    <row r="14" spans="1:14" x14ac:dyDescent="0.35">
      <c r="C14" s="124">
        <f>C13/B13-1</f>
        <v>0.12526620666155552</v>
      </c>
      <c r="D14" s="124">
        <f>D13/C13-1</f>
        <v>0.46595253416102045</v>
      </c>
      <c r="E14" s="123">
        <f>E12/D13-1</f>
        <v>-0.14017919388571864</v>
      </c>
    </row>
    <row r="86" spans="1:7" x14ac:dyDescent="0.35">
      <c r="B86" s="78"/>
      <c r="C86" s="78"/>
      <c r="D86" s="78"/>
      <c r="E86" s="78"/>
      <c r="F86" s="78"/>
      <c r="G86" s="107"/>
    </row>
    <row r="87" spans="1:7" x14ac:dyDescent="0.35">
      <c r="B87" s="101"/>
      <c r="C87" s="101"/>
      <c r="D87" s="101"/>
      <c r="E87" s="106"/>
    </row>
    <row r="88" spans="1:7" x14ac:dyDescent="0.35">
      <c r="A88" s="91" t="s">
        <v>67</v>
      </c>
      <c r="B88" s="111" t="s">
        <v>68</v>
      </c>
      <c r="C88" s="101"/>
      <c r="D88" s="101"/>
      <c r="E88" s="106"/>
    </row>
    <row r="89" spans="1:7" x14ac:dyDescent="0.35">
      <c r="A89" s="112">
        <v>41275</v>
      </c>
      <c r="B89" s="101">
        <v>2.0331000000000001</v>
      </c>
      <c r="C89" s="101"/>
      <c r="D89" s="101"/>
      <c r="E89" s="106"/>
    </row>
    <row r="90" spans="1:7" x14ac:dyDescent="0.35">
      <c r="A90" s="112">
        <v>41306</v>
      </c>
      <c r="B90" s="101">
        <v>1.9717</v>
      </c>
      <c r="C90" s="101"/>
      <c r="D90" s="101"/>
      <c r="E90" s="106"/>
      <c r="F90" s="106"/>
    </row>
    <row r="91" spans="1:7" x14ac:dyDescent="0.35">
      <c r="A91" s="112">
        <v>41334</v>
      </c>
      <c r="B91" s="101">
        <v>1.9854000000000001</v>
      </c>
      <c r="C91" s="101"/>
      <c r="D91" s="101"/>
      <c r="E91" s="106"/>
    </row>
    <row r="92" spans="1:7" x14ac:dyDescent="0.35">
      <c r="A92" s="112">
        <v>41365</v>
      </c>
      <c r="B92" s="101">
        <v>2.0009999999999999</v>
      </c>
      <c r="C92" s="101"/>
      <c r="D92" s="101"/>
      <c r="E92" s="106"/>
    </row>
    <row r="93" spans="1:7" x14ac:dyDescent="0.35">
      <c r="A93" s="112">
        <v>41395</v>
      </c>
      <c r="B93" s="101">
        <v>2.0339999999999998</v>
      </c>
      <c r="C93" s="101"/>
      <c r="D93" s="101"/>
      <c r="E93" s="106"/>
    </row>
    <row r="94" spans="1:7" x14ac:dyDescent="0.35">
      <c r="A94" s="112">
        <v>41426</v>
      </c>
      <c r="B94" s="101">
        <v>2.17</v>
      </c>
      <c r="C94" s="101"/>
      <c r="D94" s="101"/>
      <c r="E94" s="106"/>
      <c r="F94" s="79"/>
    </row>
    <row r="95" spans="1:7" x14ac:dyDescent="0.35">
      <c r="A95" s="112">
        <v>41456</v>
      </c>
      <c r="B95" s="101">
        <v>2.2526799999999998</v>
      </c>
      <c r="C95" s="101"/>
      <c r="D95" s="101"/>
    </row>
    <row r="96" spans="1:7" x14ac:dyDescent="0.35">
      <c r="A96" s="112">
        <v>41487</v>
      </c>
      <c r="B96" s="101">
        <v>2.3395000000000001</v>
      </c>
      <c r="C96" s="101"/>
      <c r="D96" s="101"/>
    </row>
    <row r="97" spans="1:4" x14ac:dyDescent="0.35">
      <c r="A97" s="112">
        <v>41518</v>
      </c>
      <c r="B97" s="101">
        <v>2.2711000000000001</v>
      </c>
      <c r="C97" s="101"/>
      <c r="D97" s="101"/>
    </row>
    <row r="98" spans="1:4" x14ac:dyDescent="0.35">
      <c r="A98" s="112">
        <v>41548</v>
      </c>
      <c r="B98" s="101">
        <v>2.1867999999999999</v>
      </c>
      <c r="C98" s="101"/>
      <c r="D98" s="101"/>
    </row>
    <row r="99" spans="1:4" x14ac:dyDescent="0.35">
      <c r="A99" s="112">
        <v>41579</v>
      </c>
      <c r="B99" s="101">
        <v>2.2976000000000001</v>
      </c>
    </row>
    <row r="100" spans="1:4" x14ac:dyDescent="0.35">
      <c r="A100" s="112">
        <v>41609</v>
      </c>
      <c r="B100" s="101">
        <v>2.3477999999999999</v>
      </c>
    </row>
    <row r="101" spans="1:4" x14ac:dyDescent="0.35">
      <c r="A101" s="112">
        <v>41640</v>
      </c>
      <c r="B101" s="101">
        <v>2.3809</v>
      </c>
    </row>
    <row r="102" spans="1:4" x14ac:dyDescent="0.35">
      <c r="A102" s="112">
        <v>41671</v>
      </c>
      <c r="B102" s="101">
        <v>2.3856999999999999</v>
      </c>
    </row>
    <row r="103" spans="1:4" x14ac:dyDescent="0.35">
      <c r="A103" s="112">
        <v>41699</v>
      </c>
      <c r="B103" s="101">
        <v>2.3258000000000001</v>
      </c>
    </row>
    <row r="104" spans="1:4" x14ac:dyDescent="0.35">
      <c r="A104" s="112">
        <v>41730</v>
      </c>
      <c r="B104" s="101">
        <v>2.2330999999999999</v>
      </c>
    </row>
    <row r="105" spans="1:4" x14ac:dyDescent="0.35">
      <c r="A105" s="112">
        <v>41760</v>
      </c>
      <c r="B105" s="101">
        <v>2.2210999999999999</v>
      </c>
    </row>
    <row r="106" spans="1:4" x14ac:dyDescent="0.35">
      <c r="A106" s="112">
        <v>41791</v>
      </c>
      <c r="B106" s="101">
        <v>2.2342</v>
      </c>
    </row>
    <row r="107" spans="1:4" x14ac:dyDescent="0.35">
      <c r="A107" s="112">
        <v>41821</v>
      </c>
      <c r="B107" s="101">
        <v>2.2248999999999999</v>
      </c>
    </row>
    <row r="108" spans="1:4" x14ac:dyDescent="0.35">
      <c r="A108" s="112">
        <v>41852</v>
      </c>
      <c r="B108" s="101">
        <v>2.2684000000000002</v>
      </c>
    </row>
    <row r="109" spans="1:4" x14ac:dyDescent="0.35">
      <c r="A109" s="112">
        <v>41883</v>
      </c>
      <c r="B109" s="101">
        <v>2.335</v>
      </c>
    </row>
    <row r="110" spans="1:4" x14ac:dyDescent="0.35">
      <c r="A110" s="112">
        <v>41913</v>
      </c>
      <c r="B110" s="101">
        <v>2.4506999999999999</v>
      </c>
    </row>
    <row r="111" spans="1:4" x14ac:dyDescent="0.35">
      <c r="A111" s="112">
        <v>41944</v>
      </c>
      <c r="B111" s="101">
        <v>2.56</v>
      </c>
    </row>
    <row r="112" spans="1:4" x14ac:dyDescent="0.35">
      <c r="A112" s="112">
        <v>41974</v>
      </c>
      <c r="B112" s="101">
        <v>2.6419000000000001</v>
      </c>
    </row>
    <row r="113" spans="1:2" x14ac:dyDescent="0.35">
      <c r="A113" s="112">
        <v>42005</v>
      </c>
      <c r="B113" s="101">
        <v>2.6371000000000002</v>
      </c>
    </row>
    <row r="114" spans="1:2" x14ac:dyDescent="0.35">
      <c r="A114" s="112">
        <v>42036</v>
      </c>
      <c r="B114" s="101">
        <v>2.8164899999999999</v>
      </c>
    </row>
    <row r="115" spans="1:2" x14ac:dyDescent="0.35">
      <c r="A115" s="112">
        <v>42064</v>
      </c>
      <c r="B115" s="101">
        <v>3.1421999999999999</v>
      </c>
    </row>
    <row r="116" spans="1:2" x14ac:dyDescent="0.35">
      <c r="A116" s="112">
        <v>42095</v>
      </c>
      <c r="B116" s="101">
        <v>3.0525000000000002</v>
      </c>
    </row>
    <row r="117" spans="1:2" x14ac:dyDescent="0.35">
      <c r="A117" s="112">
        <v>42125</v>
      </c>
      <c r="B117" s="101">
        <v>3.0539999999999998</v>
      </c>
    </row>
    <row r="118" spans="1:2" x14ac:dyDescent="0.35">
      <c r="A118" s="112">
        <v>42156</v>
      </c>
      <c r="B118" s="101">
        <v>3.1145</v>
      </c>
    </row>
    <row r="119" spans="1:2" x14ac:dyDescent="0.35">
      <c r="A119" s="112">
        <v>42186</v>
      </c>
      <c r="B119" s="101">
        <v>3.2187999999999999</v>
      </c>
    </row>
    <row r="120" spans="1:2" x14ac:dyDescent="0.35">
      <c r="A120" s="112">
        <v>42217</v>
      </c>
      <c r="B120" s="101">
        <v>3.5055000000000001</v>
      </c>
    </row>
    <row r="121" spans="1:2" x14ac:dyDescent="0.35">
      <c r="A121" s="112">
        <v>42248</v>
      </c>
      <c r="B121" s="101">
        <v>3.8957000000000002</v>
      </c>
    </row>
    <row r="122" spans="1:2" x14ac:dyDescent="0.35">
      <c r="A122" s="112">
        <v>42278</v>
      </c>
      <c r="B122" s="101">
        <v>3.8723999999999998</v>
      </c>
    </row>
    <row r="123" spans="1:2" x14ac:dyDescent="0.35">
      <c r="A123" s="112">
        <v>42309</v>
      </c>
      <c r="B123" s="101">
        <v>3.7782</v>
      </c>
    </row>
    <row r="124" spans="1:2" x14ac:dyDescent="0.35">
      <c r="A124" s="112">
        <v>42339</v>
      </c>
      <c r="B124" s="101">
        <v>3.8729</v>
      </c>
    </row>
    <row r="125" spans="1:2" x14ac:dyDescent="0.35">
      <c r="A125" s="112">
        <v>42370</v>
      </c>
      <c r="B125" s="101">
        <v>4.0395000000000003</v>
      </c>
    </row>
    <row r="126" spans="1:2" x14ac:dyDescent="0.35">
      <c r="A126" s="112">
        <v>42401</v>
      </c>
      <c r="B126" s="101">
        <v>3.9676</v>
      </c>
    </row>
    <row r="127" spans="1:2" x14ac:dyDescent="0.35">
      <c r="A127" s="112">
        <v>42430</v>
      </c>
      <c r="B127" s="101">
        <v>3.7381000000000002</v>
      </c>
    </row>
    <row r="128" spans="1:2" x14ac:dyDescent="0.35">
      <c r="A128" s="112">
        <v>42461</v>
      </c>
      <c r="B128" s="101">
        <v>3.57</v>
      </c>
    </row>
    <row r="129" spans="1:2" x14ac:dyDescent="0.35">
      <c r="A129" s="112">
        <v>42491</v>
      </c>
      <c r="B129" s="101">
        <v>3.54</v>
      </c>
    </row>
    <row r="130" spans="1:2" x14ac:dyDescent="0.35">
      <c r="A130" s="112">
        <v>42522</v>
      </c>
      <c r="B130" s="101">
        <v>3.43</v>
      </c>
    </row>
    <row r="131" spans="1:2" x14ac:dyDescent="0.35">
      <c r="A131" s="112">
        <v>42552</v>
      </c>
      <c r="B131" s="101">
        <v>3.27</v>
      </c>
    </row>
    <row r="132" spans="1:2" x14ac:dyDescent="0.35">
      <c r="A132" s="112">
        <v>42583</v>
      </c>
      <c r="B132" s="101">
        <v>3.29</v>
      </c>
    </row>
    <row r="133" spans="1:2" x14ac:dyDescent="0.35">
      <c r="A133" s="112">
        <v>42614</v>
      </c>
      <c r="B133" s="101">
        <v>3.27</v>
      </c>
    </row>
  </sheetData>
  <pageMargins left="0.51181102362204722" right="0.51181102362204722" top="0.78740157480314965" bottom="0.78740157480314965" header="0.31496062992125984" footer="0.31496062992125984"/>
  <pageSetup paperSize="9" scale="96" orientation="landscape" r:id="rId1"/>
  <headerFooter>
    <oddHeader>&amp;C&amp;"-,Negrito"&amp;12ACOMPANHAMENTO COTAÇÃO DOLAR&amp;R&amp;D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9"/>
  <sheetViews>
    <sheetView topLeftCell="A67" workbookViewId="0">
      <selection activeCell="F54" sqref="F54"/>
    </sheetView>
  </sheetViews>
  <sheetFormatPr defaultRowHeight="14.5" x14ac:dyDescent="0.35"/>
  <cols>
    <col min="1" max="1" width="9.1796875" customWidth="1"/>
    <col min="4" max="4" width="9.81640625" bestFit="1" customWidth="1"/>
    <col min="5" max="5" width="11.7265625" bestFit="1" customWidth="1"/>
  </cols>
  <sheetData>
    <row r="1" spans="1:6" x14ac:dyDescent="0.35">
      <c r="A1" s="82" t="s">
        <v>38</v>
      </c>
      <c r="B1" s="82"/>
    </row>
    <row r="2" spans="1:6" x14ac:dyDescent="0.35">
      <c r="C2" s="78" t="s">
        <v>35</v>
      </c>
      <c r="D2" s="78" t="s">
        <v>36</v>
      </c>
      <c r="E2" s="78" t="s">
        <v>37</v>
      </c>
      <c r="F2" s="78" t="s">
        <v>36</v>
      </c>
    </row>
    <row r="3" spans="1:6" x14ac:dyDescent="0.35">
      <c r="A3" s="81">
        <v>41275</v>
      </c>
      <c r="B3" s="81"/>
      <c r="C3" s="77">
        <v>8049.2454545454557</v>
      </c>
      <c r="D3" s="79">
        <f>C3/7962.58-1</f>
        <v>1.0884092159256786E-2</v>
      </c>
      <c r="E3" s="80">
        <v>16364.920933636367</v>
      </c>
      <c r="F3" s="79">
        <f>E3/16546.24-1</f>
        <v>-1.0958324450971002E-2</v>
      </c>
    </row>
    <row r="4" spans="1:6" x14ac:dyDescent="0.35">
      <c r="A4" s="81">
        <v>41306</v>
      </c>
      <c r="B4" s="81"/>
      <c r="C4" s="77">
        <v>8070.4750000000004</v>
      </c>
      <c r="D4" s="79">
        <f>C4/C3-1</f>
        <v>2.6374578306040952E-3</v>
      </c>
      <c r="E4" s="80">
        <v>15912.555557500002</v>
      </c>
      <c r="F4" s="79">
        <f>E4/E3-1</f>
        <v>-2.7642380795532939E-2</v>
      </c>
    </row>
    <row r="5" spans="1:6" x14ac:dyDescent="0.35">
      <c r="A5" s="81">
        <v>41334</v>
      </c>
      <c r="B5" s="81"/>
      <c r="C5" s="77">
        <v>7662.4</v>
      </c>
      <c r="D5" s="79">
        <f t="shared" ref="D5:D14" si="0">C5/C4-1</f>
        <v>-5.0563938305985823E-2</v>
      </c>
      <c r="E5" s="80">
        <v>15212.928959999999</v>
      </c>
      <c r="F5" s="79">
        <f t="shared" ref="F5:F14" si="1">E5/E4-1</f>
        <v>-4.396695395481276E-2</v>
      </c>
    </row>
    <row r="6" spans="1:6" x14ac:dyDescent="0.35">
      <c r="A6" s="81">
        <v>41365</v>
      </c>
      <c r="B6" s="81"/>
      <c r="C6" s="77">
        <v>7203.3571428571431</v>
      </c>
      <c r="D6" s="79">
        <f t="shared" si="0"/>
        <v>-5.9908495659696248E-2</v>
      </c>
      <c r="E6" s="80">
        <v>14413.917642857143</v>
      </c>
      <c r="F6" s="79">
        <f t="shared" si="1"/>
        <v>-5.2521859481742816E-2</v>
      </c>
    </row>
    <row r="7" spans="1:6" x14ac:dyDescent="0.35">
      <c r="A7" s="81">
        <v>41395</v>
      </c>
      <c r="B7" s="81"/>
      <c r="C7" s="77">
        <v>7229.1428571428569</v>
      </c>
      <c r="D7" s="79">
        <f t="shared" si="0"/>
        <v>3.5796801094727382E-3</v>
      </c>
      <c r="E7" s="80">
        <v>14704.07657142857</v>
      </c>
      <c r="F7" s="79">
        <f t="shared" si="1"/>
        <v>2.0130469436615339E-2</v>
      </c>
    </row>
    <row r="8" spans="1:6" x14ac:dyDescent="0.35">
      <c r="A8" s="81">
        <v>41426</v>
      </c>
      <c r="B8" s="81"/>
      <c r="C8" s="77">
        <v>7004.05</v>
      </c>
      <c r="D8" s="79">
        <f t="shared" si="0"/>
        <v>-3.1136866650857575E-2</v>
      </c>
      <c r="E8" s="80">
        <v>15198.788500000001</v>
      </c>
      <c r="F8" s="79">
        <f t="shared" si="1"/>
        <v>3.3644542461966243E-2</v>
      </c>
    </row>
    <row r="9" spans="1:6" x14ac:dyDescent="0.35">
      <c r="A9" s="81">
        <v>41456</v>
      </c>
      <c r="B9" s="81"/>
      <c r="C9" s="77">
        <v>6896.977272727273</v>
      </c>
      <c r="D9" s="79">
        <f t="shared" si="0"/>
        <v>-1.528725912475315E-2</v>
      </c>
      <c r="E9" s="80">
        <v>15536.682762727272</v>
      </c>
      <c r="F9" s="79">
        <f t="shared" si="1"/>
        <v>2.223165765661328E-2</v>
      </c>
    </row>
    <row r="10" spans="1:6" x14ac:dyDescent="0.35">
      <c r="A10" s="81">
        <v>41487</v>
      </c>
      <c r="B10" s="81"/>
      <c r="C10" s="77">
        <v>7182.2619047619046</v>
      </c>
      <c r="D10" s="79">
        <f t="shared" si="0"/>
        <v>4.1363719315522962E-2</v>
      </c>
      <c r="E10" s="80">
        <v>16802.901726190477</v>
      </c>
      <c r="F10" s="79">
        <f t="shared" si="1"/>
        <v>8.1498668847180378E-2</v>
      </c>
    </row>
    <row r="11" spans="1:6" x14ac:dyDescent="0.35">
      <c r="A11" s="81">
        <v>41518</v>
      </c>
      <c r="B11" s="81"/>
      <c r="C11" s="77">
        <v>7161.4285714285716</v>
      </c>
      <c r="D11" s="79">
        <f t="shared" si="0"/>
        <v>-2.9006646665892255E-3</v>
      </c>
      <c r="E11" s="80">
        <v>16264.320428571429</v>
      </c>
      <c r="F11" s="79">
        <f t="shared" si="1"/>
        <v>-3.2052874342505255E-2</v>
      </c>
    </row>
    <row r="12" spans="1:6" x14ac:dyDescent="0.35">
      <c r="A12" s="81">
        <v>41548</v>
      </c>
      <c r="B12" s="81"/>
      <c r="C12" s="77">
        <v>7188.782608695652</v>
      </c>
      <c r="D12" s="79">
        <f t="shared" si="0"/>
        <v>3.8196341685530211E-3</v>
      </c>
      <c r="E12" s="80">
        <v>15720.429808695651</v>
      </c>
      <c r="F12" s="79">
        <f t="shared" si="1"/>
        <v>-3.3440722117127564E-2</v>
      </c>
    </row>
    <row r="13" spans="1:6" x14ac:dyDescent="0.35">
      <c r="A13" s="81">
        <v>41579</v>
      </c>
      <c r="B13" s="81"/>
      <c r="C13" s="77">
        <v>7066.4047619047615</v>
      </c>
      <c r="D13" s="79">
        <f t="shared" si="0"/>
        <v>-1.7023445199589204E-2</v>
      </c>
      <c r="E13" s="80">
        <v>16235.77158095238</v>
      </c>
      <c r="F13" s="79">
        <f t="shared" si="1"/>
        <v>3.2781659186676304E-2</v>
      </c>
    </row>
    <row r="14" spans="1:6" x14ac:dyDescent="0.35">
      <c r="A14" s="81">
        <v>41609</v>
      </c>
      <c r="B14" s="81"/>
      <c r="C14" s="77">
        <v>7202.95</v>
      </c>
      <c r="D14" s="79">
        <f t="shared" si="0"/>
        <v>1.9323155507785073E-2</v>
      </c>
      <c r="E14" s="80">
        <v>16911.086009999999</v>
      </c>
      <c r="F14" s="79">
        <f t="shared" si="1"/>
        <v>4.1594230719523617E-2</v>
      </c>
    </row>
    <row r="15" spans="1:6" x14ac:dyDescent="0.35">
      <c r="A15" s="81">
        <v>41640</v>
      </c>
      <c r="B15" s="81"/>
      <c r="C15" s="77">
        <f>'2014'!B28</f>
        <v>7294.886363636364</v>
      </c>
      <c r="D15" s="79">
        <f t="shared" ref="D15:D49" si="2">C15/C14-1</f>
        <v>1.2763709818388813E-2</v>
      </c>
      <c r="E15" s="80">
        <f>'2014'!B30</f>
        <v>17368.394943181818</v>
      </c>
      <c r="F15" s="79">
        <f t="shared" ref="F15:F34" si="3">E15/E14-1</f>
        <v>2.7041961285715121E-2</v>
      </c>
    </row>
    <row r="16" spans="1:6" x14ac:dyDescent="0.35">
      <c r="A16" s="81">
        <v>41671</v>
      </c>
      <c r="B16" s="81"/>
      <c r="C16" s="77">
        <f>'2014'!D28</f>
        <v>7152.15</v>
      </c>
      <c r="D16" s="79">
        <f t="shared" si="2"/>
        <v>-1.9566632915336224E-2</v>
      </c>
      <c r="E16" s="80">
        <f>'2014'!D30</f>
        <v>17062.884254999997</v>
      </c>
      <c r="F16" s="79">
        <f t="shared" si="3"/>
        <v>-1.7590035762156231E-2</v>
      </c>
    </row>
    <row r="17" spans="1:6" x14ac:dyDescent="0.35">
      <c r="A17" s="81">
        <v>41699</v>
      </c>
      <c r="B17" s="81"/>
      <c r="C17" s="77">
        <f>'2014'!P17</f>
        <v>6667.8095238095239</v>
      </c>
      <c r="D17" s="79">
        <f t="shared" si="2"/>
        <v>-6.7719563514534231E-2</v>
      </c>
      <c r="E17" s="80">
        <f>'2014'!R17</f>
        <v>15507.991390476191</v>
      </c>
      <c r="F17" s="79">
        <f t="shared" si="3"/>
        <v>-9.1127199908665579E-2</v>
      </c>
    </row>
    <row r="18" spans="1:6" x14ac:dyDescent="0.35">
      <c r="A18" s="81">
        <v>41730</v>
      </c>
      <c r="B18" s="81"/>
      <c r="C18" s="77">
        <f>'2014'!$P$18</f>
        <v>6670.8249999999998</v>
      </c>
      <c r="D18" s="79">
        <f t="shared" si="2"/>
        <v>4.5224390104547929E-4</v>
      </c>
      <c r="E18" s="80">
        <f>'2014'!$R$18</f>
        <v>14896.619307499999</v>
      </c>
      <c r="F18" s="79">
        <f t="shared" si="3"/>
        <v>-3.9423034716904004E-2</v>
      </c>
    </row>
    <row r="19" spans="1:6" x14ac:dyDescent="0.35">
      <c r="A19" s="81">
        <v>41760</v>
      </c>
      <c r="B19" s="81"/>
      <c r="C19" s="77">
        <f>'2015'!$P$19</f>
        <v>6883.875</v>
      </c>
      <c r="D19" s="79">
        <f t="shared" si="2"/>
        <v>3.1937578935139266E-2</v>
      </c>
      <c r="E19" s="80">
        <f>'2015'!$R$19</f>
        <v>15289.774762499999</v>
      </c>
      <c r="F19" s="79">
        <f t="shared" si="3"/>
        <v>2.6392260343396146E-2</v>
      </c>
    </row>
    <row r="20" spans="1:6" x14ac:dyDescent="0.35">
      <c r="A20" s="81">
        <v>41791</v>
      </c>
      <c r="B20" s="81"/>
      <c r="C20" s="77">
        <f>'2015'!$P$20</f>
        <v>6806.0952380952385</v>
      </c>
      <c r="D20" s="79">
        <f t="shared" si="2"/>
        <v>-1.1298834145704539E-2</v>
      </c>
      <c r="E20" s="80">
        <f>'2015'!$R$20</f>
        <v>15206.177980952381</v>
      </c>
      <c r="F20" s="79">
        <f t="shared" si="3"/>
        <v>-5.4674959472031937E-3</v>
      </c>
    </row>
    <row r="21" spans="1:6" x14ac:dyDescent="0.35">
      <c r="A21" s="81">
        <v>41821</v>
      </c>
      <c r="B21" s="81"/>
      <c r="C21" s="77">
        <f>'2015'!$P$21</f>
        <v>7104.847826086957</v>
      </c>
      <c r="D21" s="79">
        <f t="shared" si="2"/>
        <v>4.389485858492459E-2</v>
      </c>
      <c r="E21" s="80">
        <f>'2015'!$R$21</f>
        <v>15807.575928260871</v>
      </c>
      <c r="F21" s="79">
        <f t="shared" si="3"/>
        <v>3.9549579655177913E-2</v>
      </c>
    </row>
    <row r="22" spans="1:6" x14ac:dyDescent="0.35">
      <c r="A22" s="81">
        <v>41852</v>
      </c>
      <c r="B22" s="81"/>
      <c r="C22" s="77">
        <f>'2015'!$P$22</f>
        <v>7000.55</v>
      </c>
      <c r="D22" s="79">
        <f t="shared" si="2"/>
        <v>-1.4679811396382747E-2</v>
      </c>
      <c r="E22" s="80">
        <f>'2015'!R22</f>
        <v>15880.047620000001</v>
      </c>
      <c r="F22" s="79">
        <f t="shared" si="3"/>
        <v>4.5846176585218057E-3</v>
      </c>
    </row>
    <row r="23" spans="1:6" x14ac:dyDescent="0.35">
      <c r="A23" s="81">
        <v>41883</v>
      </c>
      <c r="B23" s="81"/>
      <c r="C23" s="77">
        <f>'2015'!$P$23</f>
        <v>6872.227272727273</v>
      </c>
      <c r="D23" s="79">
        <f t="shared" si="2"/>
        <v>-1.8330377937837317E-2</v>
      </c>
      <c r="E23" s="80">
        <f>'2015'!R23</f>
        <v>16046.650681818182</v>
      </c>
      <c r="F23" s="79">
        <f t="shared" si="3"/>
        <v>1.0491345227980009E-2</v>
      </c>
    </row>
    <row r="24" spans="1:6" x14ac:dyDescent="0.35">
      <c r="A24" s="81">
        <v>41913</v>
      </c>
      <c r="B24" s="81"/>
      <c r="C24" s="77">
        <f>'2015'!$P$24</f>
        <v>6739.195652173913</v>
      </c>
      <c r="D24" s="79">
        <f t="shared" si="2"/>
        <v>-1.9357861036014001E-2</v>
      </c>
      <c r="E24" s="80">
        <f>'2015'!R24</f>
        <v>16515.746784782608</v>
      </c>
      <c r="F24" s="79">
        <f t="shared" si="3"/>
        <v>2.9233271931066618E-2</v>
      </c>
    </row>
    <row r="25" spans="1:6" x14ac:dyDescent="0.35">
      <c r="A25" s="81">
        <v>41944</v>
      </c>
      <c r="B25" s="81"/>
      <c r="C25" s="77">
        <f>'2015'!$P$25</f>
        <v>6701.1350000000002</v>
      </c>
      <c r="D25" s="79">
        <f t="shared" si="2"/>
        <v>-5.6476550226932654E-3</v>
      </c>
      <c r="E25" s="80">
        <f>'2015'!R25</f>
        <v>17154.905600000002</v>
      </c>
      <c r="F25" s="79">
        <f t="shared" si="3"/>
        <v>3.8699964557842748E-2</v>
      </c>
    </row>
    <row r="26" spans="1:6" x14ac:dyDescent="0.35">
      <c r="A26" s="81">
        <v>41974</v>
      </c>
      <c r="B26" s="81"/>
      <c r="C26" s="77">
        <f>'2015'!$P$26</f>
        <v>6422.9523809523807</v>
      </c>
      <c r="D26" s="79">
        <f t="shared" si="2"/>
        <v>-4.1512761501987239E-2</v>
      </c>
      <c r="E26" s="80">
        <f>'2015'!R26</f>
        <v>16968.797895238094</v>
      </c>
      <c r="F26" s="79">
        <f t="shared" si="3"/>
        <v>-1.0848658051601734E-2</v>
      </c>
    </row>
    <row r="27" spans="1:6" x14ac:dyDescent="0.35">
      <c r="A27" s="81">
        <v>42005</v>
      </c>
      <c r="B27" s="81"/>
      <c r="C27" s="77">
        <f>'2015'!$P$27</f>
        <v>5791.1750000000002</v>
      </c>
      <c r="D27" s="79">
        <f t="shared" si="2"/>
        <v>-9.8362457555492888E-2</v>
      </c>
      <c r="E27" s="80">
        <f>'2015'!R27</f>
        <v>15271.907592500002</v>
      </c>
      <c r="F27" s="79">
        <f t="shared" si="3"/>
        <v>-0.10000061956152395</v>
      </c>
    </row>
    <row r="28" spans="1:6" x14ac:dyDescent="0.35">
      <c r="A28" s="81">
        <v>42036</v>
      </c>
      <c r="B28" s="81"/>
      <c r="C28" s="77">
        <f>'2015'!$P$28</f>
        <v>5702.0749999999998</v>
      </c>
      <c r="D28" s="79">
        <f t="shared" si="2"/>
        <v>-1.5385478767262373E-2</v>
      </c>
      <c r="E28" s="80">
        <f>'2015'!R28</f>
        <v>16059.837216749998</v>
      </c>
      <c r="F28" s="79">
        <f t="shared" si="3"/>
        <v>5.1593399153158082E-2</v>
      </c>
    </row>
    <row r="29" spans="1:6" x14ac:dyDescent="0.35">
      <c r="A29" s="81">
        <v>42064</v>
      </c>
      <c r="B29" s="81"/>
      <c r="C29" s="77">
        <f>'2015'!$P$29</f>
        <v>5919.9047619047615</v>
      </c>
      <c r="D29" s="79">
        <f t="shared" si="2"/>
        <v>3.8201840892089667E-2</v>
      </c>
      <c r="E29" s="80">
        <f>'2015'!R29</f>
        <v>18601.524742857142</v>
      </c>
      <c r="F29" s="79">
        <f t="shared" si="3"/>
        <v>0.15826359207777196</v>
      </c>
    </row>
    <row r="30" spans="1:6" x14ac:dyDescent="0.35">
      <c r="A30" s="81">
        <v>42095</v>
      </c>
      <c r="B30" s="81"/>
      <c r="C30" s="77">
        <f>'2015'!$P$30</f>
        <v>6028.4775</v>
      </c>
      <c r="D30" s="79">
        <f t="shared" si="2"/>
        <v>1.8340284592738065E-2</v>
      </c>
      <c r="E30" s="80">
        <f>'2015'!R30</f>
        <v>18401.927568750001</v>
      </c>
      <c r="F30" s="79">
        <f t="shared" si="3"/>
        <v>-1.0730151257293263E-2</v>
      </c>
    </row>
    <row r="31" spans="1:6" x14ac:dyDescent="0.35">
      <c r="A31" s="81">
        <v>42125</v>
      </c>
      <c r="B31" s="81"/>
      <c r="C31" s="77">
        <f>'2015'!$P$31</f>
        <v>6300.605263157895</v>
      </c>
      <c r="D31" s="79">
        <f t="shared" si="2"/>
        <v>4.5140379665992825E-2</v>
      </c>
      <c r="E31" s="80">
        <f>'2015'!R31</f>
        <v>19242.048473684212</v>
      </c>
      <c r="F31" s="79">
        <f t="shared" si="3"/>
        <v>4.5653962162143014E-2</v>
      </c>
    </row>
    <row r="32" spans="1:6" x14ac:dyDescent="0.35">
      <c r="A32" s="81">
        <v>42156</v>
      </c>
      <c r="B32" s="81"/>
      <c r="C32" s="77">
        <f>'2015'!$P$32</f>
        <v>5833.613636363636</v>
      </c>
      <c r="D32" s="79">
        <f t="shared" si="2"/>
        <v>-7.4118534218441168E-2</v>
      </c>
      <c r="E32" s="80">
        <f>'2015'!R32</f>
        <v>18168.789670454546</v>
      </c>
      <c r="F32" s="79">
        <f t="shared" si="3"/>
        <v>-5.5776743557084174E-2</v>
      </c>
    </row>
    <row r="33" spans="1:10" x14ac:dyDescent="0.35">
      <c r="A33" s="81">
        <v>42186</v>
      </c>
      <c r="B33" s="81"/>
      <c r="C33" s="77">
        <f>'2015'!$P$56</f>
        <v>5456.913043478261</v>
      </c>
      <c r="D33" s="79">
        <f t="shared" si="2"/>
        <v>-6.4574141581339006E-2</v>
      </c>
      <c r="E33" s="80">
        <f>'2015'!R56</f>
        <v>17564.711704347825</v>
      </c>
      <c r="F33" s="79">
        <f t="shared" si="3"/>
        <v>-3.3248112673627928E-2</v>
      </c>
    </row>
    <row r="34" spans="1:10" x14ac:dyDescent="0.35">
      <c r="A34" s="81">
        <v>42217</v>
      </c>
      <c r="C34" s="77">
        <f>'2015'!$P$57</f>
        <v>5088.9250000000002</v>
      </c>
      <c r="D34" s="79">
        <f t="shared" si="2"/>
        <v>-6.7435203849923075E-2</v>
      </c>
      <c r="E34" s="80">
        <f>'2015'!R57</f>
        <v>17846.351082500001</v>
      </c>
      <c r="F34" s="79">
        <f t="shared" si="3"/>
        <v>1.6034386609514506E-2</v>
      </c>
    </row>
    <row r="35" spans="1:10" x14ac:dyDescent="0.35">
      <c r="A35" s="81">
        <v>42248</v>
      </c>
      <c r="C35" s="77">
        <f>'2015'!P58</f>
        <v>5208.090909090909</v>
      </c>
      <c r="D35" s="79">
        <f t="shared" si="2"/>
        <v>2.3416715532437404E-2</v>
      </c>
      <c r="E35" s="80">
        <f>'2015'!R58</f>
        <v>20289.159754545453</v>
      </c>
      <c r="F35" s="79">
        <f t="shared" ref="F35:F49" si="4">E35/E34-1</f>
        <v>0.13688000761348085</v>
      </c>
    </row>
    <row r="36" spans="1:10" x14ac:dyDescent="0.35">
      <c r="A36" s="81">
        <v>42278</v>
      </c>
      <c r="C36" s="77">
        <f>'2015'!P59</f>
        <v>5222.613636363636</v>
      </c>
      <c r="D36" s="79">
        <f t="shared" si="2"/>
        <v>2.7884934280577589E-3</v>
      </c>
      <c r="E36" s="80">
        <f>'2015'!R59</f>
        <v>20224.049045454543</v>
      </c>
      <c r="F36" s="79">
        <f t="shared" si="4"/>
        <v>-3.2091377799084997E-3</v>
      </c>
    </row>
    <row r="37" spans="1:10" x14ac:dyDescent="0.35">
      <c r="A37" s="81">
        <v>42309</v>
      </c>
      <c r="C37" s="77">
        <f>'2015'!P60</f>
        <v>4808.2380952380954</v>
      </c>
      <c r="D37" s="79">
        <f t="shared" si="2"/>
        <v>-7.9342561019707936E-2</v>
      </c>
      <c r="E37" s="80">
        <f>'2015'!R60</f>
        <v>18166.485171428572</v>
      </c>
      <c r="F37" s="79">
        <f t="shared" si="4"/>
        <v>-0.10173847330974595</v>
      </c>
      <c r="H37" s="106"/>
      <c r="I37" s="107"/>
      <c r="J37" s="106"/>
    </row>
    <row r="38" spans="1:10" x14ac:dyDescent="0.35">
      <c r="A38" s="81">
        <v>42339</v>
      </c>
      <c r="C38" s="77">
        <f>'2015'!L82</f>
        <v>4629</v>
      </c>
      <c r="D38" s="79">
        <f t="shared" si="2"/>
        <v>-3.7277291949333047E-2</v>
      </c>
      <c r="E38" s="80">
        <f>'2015'!L84</f>
        <v>17927.6541</v>
      </c>
      <c r="F38" s="79">
        <f t="shared" si="4"/>
        <v>-1.3146795826206148E-2</v>
      </c>
    </row>
    <row r="39" spans="1:10" x14ac:dyDescent="0.35">
      <c r="A39" s="81">
        <v>42370</v>
      </c>
      <c r="C39" s="77">
        <f>'2016'!B27</f>
        <v>4462.75</v>
      </c>
      <c r="D39" s="79">
        <f t="shared" si="2"/>
        <v>-3.5914884424281701E-2</v>
      </c>
      <c r="E39" s="80">
        <f>'2016'!B28</f>
        <v>18027.278625000003</v>
      </c>
      <c r="F39" s="79">
        <f t="shared" si="4"/>
        <v>5.5570307439165578E-3</v>
      </c>
    </row>
    <row r="40" spans="1:10" x14ac:dyDescent="0.35">
      <c r="A40" s="81">
        <v>42401</v>
      </c>
      <c r="C40" s="77">
        <f>'2016'!D27</f>
        <v>4595.4761904761908</v>
      </c>
      <c r="D40" s="79">
        <f t="shared" si="2"/>
        <v>2.9740897535418975E-2</v>
      </c>
      <c r="E40" s="80">
        <f>'2016'!D28</f>
        <v>18233.011333333336</v>
      </c>
      <c r="F40" s="79">
        <f t="shared" si="4"/>
        <v>1.14122998048094E-2</v>
      </c>
    </row>
    <row r="41" spans="1:10" x14ac:dyDescent="0.35">
      <c r="A41" s="81">
        <v>42430</v>
      </c>
      <c r="C41" s="77">
        <v>4947.55</v>
      </c>
      <c r="D41" s="79">
        <f t="shared" si="2"/>
        <v>7.6613128853427304E-2</v>
      </c>
      <c r="E41" s="80">
        <v>18272.78</v>
      </c>
      <c r="F41" s="79">
        <f t="shared" si="4"/>
        <v>2.181135410910251E-3</v>
      </c>
    </row>
    <row r="42" spans="1:10" x14ac:dyDescent="0.35">
      <c r="A42" s="81">
        <v>42461</v>
      </c>
      <c r="C42" s="77">
        <f>'2016'!H27</f>
        <v>4851.3571428571431</v>
      </c>
      <c r="D42" s="79">
        <f t="shared" si="2"/>
        <v>-1.944252350008735E-2</v>
      </c>
      <c r="E42" s="80">
        <f>'2016'!H28</f>
        <v>17299.454435714288</v>
      </c>
      <c r="F42" s="79">
        <f t="shared" si="4"/>
        <v>-5.3266419465768822E-2</v>
      </c>
    </row>
    <row r="43" spans="1:10" x14ac:dyDescent="0.35">
      <c r="A43" s="81">
        <v>42491</v>
      </c>
      <c r="C43" s="77">
        <f>'2016'!P66</f>
        <v>4708.3500000000004</v>
      </c>
      <c r="D43" s="79">
        <f t="shared" si="2"/>
        <v>-2.9477760273266651E-2</v>
      </c>
      <c r="E43" s="80">
        <f>'2016'!R66</f>
        <v>16669.913175000002</v>
      </c>
      <c r="F43" s="79">
        <f t="shared" si="4"/>
        <v>-3.6390815852239466E-2</v>
      </c>
    </row>
    <row r="44" spans="1:10" x14ac:dyDescent="0.35">
      <c r="A44" s="81">
        <v>42522</v>
      </c>
      <c r="C44" s="77">
        <f>'2016'!L27</f>
        <v>4635.181818181818</v>
      </c>
      <c r="D44" s="79">
        <f t="shared" si="2"/>
        <v>-1.5540089801773904E-2</v>
      </c>
      <c r="E44" s="80">
        <f>'2016'!L28</f>
        <v>15898.673636363637</v>
      </c>
      <c r="F44" s="79">
        <f t="shared" si="4"/>
        <v>-4.6265360265523081E-2</v>
      </c>
    </row>
    <row r="45" spans="1:10" x14ac:dyDescent="0.35">
      <c r="A45" s="81">
        <v>42552</v>
      </c>
      <c r="C45" s="77">
        <f>'2016'!B80</f>
        <v>4855.4761904761908</v>
      </c>
      <c r="D45" s="79">
        <f t="shared" si="2"/>
        <v>4.7526587075884086E-2</v>
      </c>
      <c r="E45" s="80">
        <f>'2016'!B82</f>
        <v>15885.175904761905</v>
      </c>
      <c r="F45" s="79">
        <f t="shared" si="4"/>
        <v>-8.4898475875749835E-4</v>
      </c>
    </row>
    <row r="46" spans="1:10" x14ac:dyDescent="0.35">
      <c r="A46" s="81">
        <v>42583</v>
      </c>
      <c r="C46" s="77">
        <f>'2016'!D80</f>
        <v>4757.965909090909</v>
      </c>
      <c r="D46" s="79">
        <f t="shared" si="2"/>
        <v>-2.0082537234256015E-2</v>
      </c>
      <c r="E46" s="80">
        <f>'2016'!D82</f>
        <v>15271.167381818181</v>
      </c>
      <c r="F46" s="79">
        <f t="shared" si="4"/>
        <v>-3.8652925634878432E-2</v>
      </c>
    </row>
    <row r="47" spans="1:10" x14ac:dyDescent="0.35">
      <c r="A47" s="81">
        <v>42614</v>
      </c>
      <c r="C47" s="77">
        <f>'2016'!F80</f>
        <v>4705.625</v>
      </c>
      <c r="D47" s="79">
        <f t="shared" si="2"/>
        <v>-1.1000690230020926E-2</v>
      </c>
      <c r="E47" s="80">
        <f>'2016'!F82</f>
        <v>15323.39725</v>
      </c>
      <c r="F47" s="79">
        <f t="shared" si="4"/>
        <v>3.4201621183200803E-3</v>
      </c>
    </row>
    <row r="48" spans="1:10" x14ac:dyDescent="0.35">
      <c r="A48" s="81">
        <v>42644</v>
      </c>
      <c r="C48" s="77">
        <v>4738.18</v>
      </c>
      <c r="D48" s="79">
        <f t="shared" si="2"/>
        <v>6.9183158453978155E-3</v>
      </c>
      <c r="E48" s="80">
        <v>15116.67</v>
      </c>
      <c r="F48" s="79">
        <f t="shared" si="4"/>
        <v>-1.3490954168143054E-2</v>
      </c>
    </row>
    <row r="49" spans="1:6" x14ac:dyDescent="0.35">
      <c r="A49" s="81">
        <v>42675</v>
      </c>
      <c r="C49" s="77">
        <f>'2016'!J80</f>
        <v>5443.25</v>
      </c>
      <c r="D49" s="79">
        <f t="shared" si="2"/>
        <v>0.14880608166004672</v>
      </c>
      <c r="E49" s="80">
        <f>'2016'!J82</f>
        <v>18126.022499999999</v>
      </c>
      <c r="F49" s="79">
        <f t="shared" si="4"/>
        <v>0.19907509391949407</v>
      </c>
    </row>
  </sheetData>
  <pageMargins left="0.51181102362204722" right="0.51181102362204722" top="0.78740157480314965" bottom="0.78740157480314965" header="0.31496062992125984" footer="0.31496062992125984"/>
  <pageSetup paperSize="9" scale="95" orientation="landscape" r:id="rId1"/>
  <headerFooter>
    <oddFooter>&amp;R&amp;D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0"/>
  <sheetViews>
    <sheetView topLeftCell="A70" workbookViewId="0">
      <selection activeCell="B90" sqref="B90"/>
    </sheetView>
  </sheetViews>
  <sheetFormatPr defaultRowHeight="14.5" x14ac:dyDescent="0.35"/>
  <cols>
    <col min="1" max="1" width="13.54296875" bestFit="1" customWidth="1"/>
    <col min="2" max="2" width="18.54296875" style="80" customWidth="1"/>
  </cols>
  <sheetData>
    <row r="1" spans="1:2" x14ac:dyDescent="0.35">
      <c r="A1" s="78" t="s">
        <v>96</v>
      </c>
      <c r="B1" s="120" t="s">
        <v>68</v>
      </c>
    </row>
    <row r="2" spans="1:2" x14ac:dyDescent="0.35">
      <c r="A2" s="119">
        <v>42583</v>
      </c>
      <c r="B2" s="121">
        <v>3.2662</v>
      </c>
    </row>
    <row r="3" spans="1:2" x14ac:dyDescent="0.35">
      <c r="A3" s="119">
        <v>42584</v>
      </c>
      <c r="B3" s="121">
        <v>3.2490000000000001</v>
      </c>
    </row>
    <row r="4" spans="1:2" x14ac:dyDescent="0.35">
      <c r="A4" s="119">
        <v>42585</v>
      </c>
      <c r="B4" s="121">
        <v>3.2732999999999999</v>
      </c>
    </row>
    <row r="5" spans="1:2" x14ac:dyDescent="0.35">
      <c r="A5" s="119">
        <v>42586</v>
      </c>
      <c r="B5" s="121">
        <v>3.2183000000000002</v>
      </c>
    </row>
    <row r="6" spans="1:2" x14ac:dyDescent="0.35">
      <c r="A6" s="119">
        <v>42587</v>
      </c>
      <c r="B6" s="121">
        <v>3.1859000000000002</v>
      </c>
    </row>
    <row r="7" spans="1:2" x14ac:dyDescent="0.35">
      <c r="A7" s="119">
        <v>42590</v>
      </c>
      <c r="B7" s="121">
        <v>3.1770999999999998</v>
      </c>
    </row>
    <row r="8" spans="1:2" x14ac:dyDescent="0.35">
      <c r="A8" s="119">
        <v>42591</v>
      </c>
      <c r="B8" s="121">
        <v>3.1503000000000001</v>
      </c>
    </row>
    <row r="9" spans="1:2" x14ac:dyDescent="0.35">
      <c r="A9" s="119">
        <v>42592</v>
      </c>
      <c r="B9" s="121">
        <v>3.1301999999999999</v>
      </c>
    </row>
    <row r="10" spans="1:2" x14ac:dyDescent="0.35">
      <c r="A10" s="119">
        <v>42593</v>
      </c>
      <c r="B10" s="121">
        <v>3.1364000000000001</v>
      </c>
    </row>
    <row r="11" spans="1:2" x14ac:dyDescent="0.35">
      <c r="A11" s="119">
        <v>42594</v>
      </c>
      <c r="B11" s="121">
        <v>3.1602000000000001</v>
      </c>
    </row>
    <row r="12" spans="1:2" x14ac:dyDescent="0.35">
      <c r="A12" s="119">
        <v>42597</v>
      </c>
      <c r="B12" s="121">
        <v>3.1671999999999998</v>
      </c>
    </row>
    <row r="13" spans="1:2" x14ac:dyDescent="0.35">
      <c r="A13" s="119">
        <v>42598</v>
      </c>
      <c r="B13" s="121">
        <v>3.1749000000000001</v>
      </c>
    </row>
    <row r="14" spans="1:2" x14ac:dyDescent="0.35">
      <c r="A14" s="119">
        <v>42599</v>
      </c>
      <c r="B14" s="121">
        <v>3.2248000000000001</v>
      </c>
    </row>
    <row r="15" spans="1:2" x14ac:dyDescent="0.35">
      <c r="A15" s="119">
        <v>42600</v>
      </c>
      <c r="B15" s="121">
        <v>3.2214999999999998</v>
      </c>
    </row>
    <row r="16" spans="1:2" x14ac:dyDescent="0.35">
      <c r="A16" s="119">
        <v>42601</v>
      </c>
      <c r="B16" s="121">
        <v>3.2267000000000001</v>
      </c>
    </row>
    <row r="17" spans="1:2" x14ac:dyDescent="0.35">
      <c r="A17" s="119">
        <v>42604</v>
      </c>
      <c r="B17" s="121">
        <v>3.2162999999999999</v>
      </c>
    </row>
    <row r="18" spans="1:2" x14ac:dyDescent="0.35">
      <c r="A18" s="119">
        <v>42605</v>
      </c>
      <c r="B18" s="121">
        <v>3.2054</v>
      </c>
    </row>
    <row r="19" spans="1:2" x14ac:dyDescent="0.35">
      <c r="A19" s="119">
        <v>42606</v>
      </c>
      <c r="B19" s="121">
        <v>3.2372000000000001</v>
      </c>
    </row>
    <row r="20" spans="1:2" x14ac:dyDescent="0.35">
      <c r="A20" s="119">
        <v>42607</v>
      </c>
      <c r="B20" s="121">
        <v>3.2319</v>
      </c>
    </row>
    <row r="21" spans="1:2" x14ac:dyDescent="0.35">
      <c r="A21" s="119">
        <v>42608</v>
      </c>
      <c r="B21" s="121">
        <v>3.2153</v>
      </c>
    </row>
    <row r="22" spans="1:2" x14ac:dyDescent="0.35">
      <c r="A22" s="119">
        <v>42611</v>
      </c>
      <c r="B22" s="121">
        <v>3.2612999999999999</v>
      </c>
    </row>
    <row r="23" spans="1:2" x14ac:dyDescent="0.35">
      <c r="A23" s="119">
        <v>42612</v>
      </c>
      <c r="B23" s="121">
        <v>3.2524999999999999</v>
      </c>
    </row>
    <row r="24" spans="1:2" x14ac:dyDescent="0.35">
      <c r="A24" s="119">
        <v>42613</v>
      </c>
      <c r="B24" s="121">
        <v>3.2403</v>
      </c>
    </row>
    <row r="25" spans="1:2" x14ac:dyDescent="0.35">
      <c r="A25" s="91" t="s">
        <v>97</v>
      </c>
      <c r="B25" s="122">
        <f>AVERAGE(B2:B24)</f>
        <v>3.209660869565218</v>
      </c>
    </row>
    <row r="27" spans="1:2" x14ac:dyDescent="0.35">
      <c r="A27" s="119">
        <v>42614</v>
      </c>
      <c r="B27" s="121">
        <v>3.2471999999999999</v>
      </c>
    </row>
    <row r="28" spans="1:2" x14ac:dyDescent="0.35">
      <c r="A28" s="119">
        <v>42615</v>
      </c>
      <c r="B28" s="121">
        <v>3.2431000000000001</v>
      </c>
    </row>
    <row r="29" spans="1:2" x14ac:dyDescent="0.35">
      <c r="A29" s="119">
        <v>42618</v>
      </c>
      <c r="B29" s="121">
        <v>3.2721</v>
      </c>
    </row>
    <row r="30" spans="1:2" x14ac:dyDescent="0.35">
      <c r="A30" s="119">
        <v>42619</v>
      </c>
      <c r="B30" s="121">
        <v>3.2452000000000001</v>
      </c>
    </row>
    <row r="31" spans="1:2" x14ac:dyDescent="0.35">
      <c r="A31" s="119">
        <v>42620</v>
      </c>
      <c r="B31" s="121">
        <v>3.2452000000000001</v>
      </c>
    </row>
    <row r="32" spans="1:2" x14ac:dyDescent="0.35">
      <c r="A32" s="119">
        <v>42621</v>
      </c>
      <c r="B32" s="121">
        <v>3.1934</v>
      </c>
    </row>
    <row r="33" spans="1:2" x14ac:dyDescent="0.35">
      <c r="A33" s="119">
        <v>42622</v>
      </c>
      <c r="B33" s="121">
        <v>3.2637999999999998</v>
      </c>
    </row>
    <row r="34" spans="1:2" x14ac:dyDescent="0.35">
      <c r="A34" s="119">
        <v>42625</v>
      </c>
      <c r="B34" s="121">
        <v>3.2854000000000001</v>
      </c>
    </row>
    <row r="35" spans="1:2" x14ac:dyDescent="0.35">
      <c r="A35" s="119">
        <v>42626</v>
      </c>
      <c r="B35" s="121">
        <v>3.2972000000000001</v>
      </c>
    </row>
    <row r="36" spans="1:2" x14ac:dyDescent="0.35">
      <c r="A36" s="119">
        <v>42627</v>
      </c>
      <c r="B36" s="121">
        <v>3.3262</v>
      </c>
    </row>
    <row r="37" spans="1:2" x14ac:dyDescent="0.35">
      <c r="A37" s="119">
        <v>42628</v>
      </c>
      <c r="B37" s="121">
        <v>3.3325999999999998</v>
      </c>
    </row>
    <row r="38" spans="1:2" x14ac:dyDescent="0.35">
      <c r="A38" s="119">
        <v>42629</v>
      </c>
      <c r="B38" s="121">
        <v>3.3003999999999998</v>
      </c>
    </row>
    <row r="39" spans="1:2" x14ac:dyDescent="0.35">
      <c r="A39" s="119">
        <v>42632</v>
      </c>
      <c r="B39" s="121">
        <v>3.2635999999999998</v>
      </c>
    </row>
    <row r="40" spans="1:2" x14ac:dyDescent="0.35">
      <c r="A40" s="119">
        <v>42633</v>
      </c>
      <c r="B40" s="121">
        <v>3.254</v>
      </c>
    </row>
    <row r="41" spans="1:2" x14ac:dyDescent="0.35">
      <c r="A41" s="119">
        <v>42634</v>
      </c>
      <c r="B41" s="121">
        <v>3.2408000000000001</v>
      </c>
    </row>
    <row r="42" spans="1:2" x14ac:dyDescent="0.35">
      <c r="A42" s="119">
        <v>42635</v>
      </c>
      <c r="B42" s="121">
        <v>3.2014999999999998</v>
      </c>
    </row>
    <row r="43" spans="1:2" x14ac:dyDescent="0.35">
      <c r="A43" s="119">
        <v>42636</v>
      </c>
      <c r="B43" s="121">
        <v>3.2242000000000002</v>
      </c>
    </row>
    <row r="44" spans="1:2" x14ac:dyDescent="0.35">
      <c r="A44" s="119">
        <v>42639</v>
      </c>
      <c r="B44" s="121">
        <v>3.24</v>
      </c>
    </row>
    <row r="45" spans="1:2" x14ac:dyDescent="0.35">
      <c r="A45" s="119">
        <v>42640</v>
      </c>
      <c r="B45" s="121">
        <v>3.2357999999999998</v>
      </c>
    </row>
    <row r="46" spans="1:2" x14ac:dyDescent="0.35">
      <c r="A46" s="119">
        <v>42641</v>
      </c>
      <c r="B46" s="121">
        <v>3.2475999999999998</v>
      </c>
    </row>
    <row r="47" spans="1:2" x14ac:dyDescent="0.35">
      <c r="A47" s="119">
        <v>42642</v>
      </c>
      <c r="B47" s="121">
        <v>3.2235</v>
      </c>
    </row>
    <row r="48" spans="1:2" x14ac:dyDescent="0.35">
      <c r="A48" s="119">
        <v>42643</v>
      </c>
      <c r="B48" s="121">
        <v>3.2462</v>
      </c>
    </row>
    <row r="49" spans="1:2" x14ac:dyDescent="0.35">
      <c r="A49" s="91" t="s">
        <v>97</v>
      </c>
      <c r="B49" s="122">
        <f>AVERAGE(B27:B48)</f>
        <v>3.2558636363636366</v>
      </c>
    </row>
    <row r="51" spans="1:2" x14ac:dyDescent="0.35">
      <c r="A51" s="119">
        <v>42646</v>
      </c>
      <c r="B51" s="121">
        <v>3.2338</v>
      </c>
    </row>
    <row r="52" spans="1:2" x14ac:dyDescent="0.35">
      <c r="A52" s="119">
        <v>42647</v>
      </c>
      <c r="B52" s="121">
        <v>3.2202999999999999</v>
      </c>
    </row>
    <row r="53" spans="1:2" x14ac:dyDescent="0.35">
      <c r="A53" s="119">
        <v>42648</v>
      </c>
      <c r="B53" s="121">
        <v>3.2359</v>
      </c>
    </row>
    <row r="54" spans="1:2" x14ac:dyDescent="0.35">
      <c r="A54" s="119">
        <v>42648</v>
      </c>
      <c r="B54" s="121">
        <v>3.2202999999999999</v>
      </c>
    </row>
    <row r="55" spans="1:2" x14ac:dyDescent="0.35">
      <c r="A55" s="119">
        <v>42649</v>
      </c>
      <c r="B55" s="121">
        <v>3.2359</v>
      </c>
    </row>
    <row r="56" spans="1:2" x14ac:dyDescent="0.35">
      <c r="A56" s="119">
        <v>42650</v>
      </c>
      <c r="B56" s="121">
        <v>3.2309999999999999</v>
      </c>
    </row>
    <row r="57" spans="1:2" x14ac:dyDescent="0.35">
      <c r="A57" s="119">
        <v>42653</v>
      </c>
      <c r="B57" s="121">
        <v>3.2134</v>
      </c>
    </row>
    <row r="58" spans="1:2" x14ac:dyDescent="0.35">
      <c r="A58" s="119">
        <v>42654</v>
      </c>
      <c r="B58" s="121">
        <v>3.2124999999999999</v>
      </c>
    </row>
    <row r="59" spans="1:2" x14ac:dyDescent="0.35">
      <c r="A59" s="119">
        <v>42655</v>
      </c>
      <c r="B59" s="121" t="s">
        <v>65</v>
      </c>
    </row>
    <row r="60" spans="1:2" x14ac:dyDescent="0.35">
      <c r="A60" s="119">
        <v>42656</v>
      </c>
      <c r="B60" s="121">
        <v>3.2136</v>
      </c>
    </row>
    <row r="61" spans="1:2" x14ac:dyDescent="0.35">
      <c r="A61" s="119">
        <v>42657</v>
      </c>
      <c r="B61" s="121">
        <v>3.2086999999999999</v>
      </c>
    </row>
    <row r="62" spans="1:2" x14ac:dyDescent="0.35">
      <c r="A62" s="119">
        <v>42660</v>
      </c>
      <c r="B62" s="121">
        <v>3.1863999999999999</v>
      </c>
    </row>
    <row r="63" spans="1:2" x14ac:dyDescent="0.35">
      <c r="A63" s="119">
        <v>42661</v>
      </c>
      <c r="B63" s="121">
        <v>3.1962999999999999</v>
      </c>
    </row>
    <row r="64" spans="1:2" x14ac:dyDescent="0.35">
      <c r="A64" s="119">
        <v>42662</v>
      </c>
      <c r="B64" s="121">
        <v>3.1873999999999998</v>
      </c>
    </row>
    <row r="65" spans="1:2" x14ac:dyDescent="0.35">
      <c r="A65" s="119">
        <v>42663</v>
      </c>
      <c r="B65" s="121">
        <v>3.18</v>
      </c>
    </row>
    <row r="66" spans="1:2" x14ac:dyDescent="0.35">
      <c r="A66" s="119">
        <v>42664</v>
      </c>
      <c r="B66" s="121">
        <v>3.1604999999999999</v>
      </c>
    </row>
    <row r="67" spans="1:2" x14ac:dyDescent="0.35">
      <c r="A67" s="119">
        <v>42667</v>
      </c>
      <c r="B67" s="121">
        <v>3.1593</v>
      </c>
    </row>
    <row r="68" spans="1:2" x14ac:dyDescent="0.35">
      <c r="A68" s="119">
        <v>42668</v>
      </c>
      <c r="B68" s="121">
        <v>3.1311</v>
      </c>
    </row>
    <row r="69" spans="1:2" x14ac:dyDescent="0.35">
      <c r="A69" s="119">
        <v>42669</v>
      </c>
      <c r="B69" s="121">
        <v>3.1193</v>
      </c>
    </row>
    <row r="70" spans="1:2" x14ac:dyDescent="0.35">
      <c r="A70" s="119">
        <v>42670</v>
      </c>
      <c r="B70" s="121">
        <v>3.1219000000000001</v>
      </c>
    </row>
    <row r="71" spans="1:2" x14ac:dyDescent="0.35">
      <c r="A71" s="119">
        <v>42671</v>
      </c>
      <c r="B71" s="121">
        <v>3.1429</v>
      </c>
    </row>
    <row r="72" spans="1:2" x14ac:dyDescent="0.35">
      <c r="A72" s="119">
        <v>42674</v>
      </c>
      <c r="B72" s="121">
        <v>3.1815000000000002</v>
      </c>
    </row>
    <row r="73" spans="1:2" x14ac:dyDescent="0.35">
      <c r="A73" s="91" t="s">
        <v>97</v>
      </c>
      <c r="B73" s="122">
        <f>AVERAGE(B51:B72)</f>
        <v>3.1900952380952381</v>
      </c>
    </row>
    <row r="75" spans="1:2" x14ac:dyDescent="0.35">
      <c r="A75" s="119">
        <v>42675</v>
      </c>
      <c r="B75" s="121">
        <v>3.1810999999999998</v>
      </c>
    </row>
    <row r="76" spans="1:2" x14ac:dyDescent="0.35">
      <c r="A76" s="119">
        <v>42676</v>
      </c>
      <c r="B76" s="121" t="s">
        <v>65</v>
      </c>
    </row>
    <row r="77" spans="1:2" x14ac:dyDescent="0.35">
      <c r="A77" s="119">
        <v>42677</v>
      </c>
      <c r="B77" s="121">
        <v>3.2052999999999998</v>
      </c>
    </row>
    <row r="78" spans="1:2" x14ac:dyDescent="0.35">
      <c r="A78" s="119">
        <v>42678</v>
      </c>
      <c r="B78" s="121">
        <v>3.2309999999999999</v>
      </c>
    </row>
    <row r="79" spans="1:2" x14ac:dyDescent="0.35">
      <c r="A79" s="119">
        <v>42681</v>
      </c>
      <c r="B79" s="121">
        <v>3.2448999999999999</v>
      </c>
    </row>
    <row r="80" spans="1:2" x14ac:dyDescent="0.35">
      <c r="A80" s="119">
        <v>42682</v>
      </c>
      <c r="B80" s="121">
        <v>3.2023999999999999</v>
      </c>
    </row>
    <row r="81" spans="1:2" x14ac:dyDescent="0.35">
      <c r="A81" s="119">
        <v>42683</v>
      </c>
      <c r="B81" s="121">
        <v>3.2023999999999999</v>
      </c>
    </row>
    <row r="82" spans="1:2" x14ac:dyDescent="0.35">
      <c r="A82" s="119">
        <v>42684</v>
      </c>
      <c r="B82" s="121">
        <v>3.2258</v>
      </c>
    </row>
    <row r="83" spans="1:2" x14ac:dyDescent="0.35">
      <c r="A83" s="119">
        <v>42685</v>
      </c>
      <c r="B83" s="121">
        <v>3.3104</v>
      </c>
    </row>
    <row r="84" spans="1:2" x14ac:dyDescent="0.35">
      <c r="A84" s="119">
        <v>42688</v>
      </c>
      <c r="B84" s="121">
        <v>3.4377</v>
      </c>
    </row>
    <row r="85" spans="1:2" x14ac:dyDescent="0.35">
      <c r="A85" s="119">
        <v>42689</v>
      </c>
      <c r="B85" s="121" t="s">
        <v>65</v>
      </c>
    </row>
    <row r="86" spans="1:2" x14ac:dyDescent="0.35">
      <c r="A86" s="119">
        <v>42690</v>
      </c>
      <c r="B86" s="121">
        <v>3.4445999999999999</v>
      </c>
    </row>
    <row r="87" spans="1:2" x14ac:dyDescent="0.35">
      <c r="A87" s="119">
        <v>42691</v>
      </c>
      <c r="B87" s="121">
        <v>3.4182999999999999</v>
      </c>
    </row>
    <row r="88" spans="1:2" x14ac:dyDescent="0.35">
      <c r="A88" s="119">
        <v>42692</v>
      </c>
      <c r="B88" s="121">
        <v>3.4051999999999998</v>
      </c>
    </row>
    <row r="89" spans="1:2" x14ac:dyDescent="0.35">
      <c r="A89" s="119">
        <v>42695</v>
      </c>
      <c r="B89" s="121">
        <v>3.3917000000000002</v>
      </c>
    </row>
    <row r="90" spans="1:2" x14ac:dyDescent="0.35">
      <c r="A90" s="91" t="s">
        <v>97</v>
      </c>
      <c r="B90" s="122">
        <f>AVERAGE(B75:B89)</f>
        <v>3.3000615384615388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73"/>
  <sheetViews>
    <sheetView topLeftCell="A54" workbookViewId="0">
      <selection activeCell="U63" sqref="U63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7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</cols>
  <sheetData>
    <row r="1" spans="1:20" ht="15" thickBot="1" x14ac:dyDescent="0.4">
      <c r="A1" s="381" t="s">
        <v>162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163</v>
      </c>
      <c r="B2" s="397"/>
      <c r="C2" s="405" t="s">
        <v>164</v>
      </c>
      <c r="D2" s="406"/>
      <c r="E2" s="405" t="s">
        <v>165</v>
      </c>
      <c r="F2" s="406"/>
      <c r="G2" s="405" t="s">
        <v>166</v>
      </c>
      <c r="H2" s="406"/>
      <c r="I2" s="401" t="s">
        <v>167</v>
      </c>
      <c r="J2" s="402"/>
      <c r="K2" s="405" t="s">
        <v>168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2</v>
      </c>
      <c r="B4" s="63">
        <v>7181</v>
      </c>
      <c r="C4" s="41">
        <v>1</v>
      </c>
      <c r="D4" s="63">
        <v>7027</v>
      </c>
      <c r="E4" s="41">
        <v>1</v>
      </c>
      <c r="F4" s="63">
        <v>6852</v>
      </c>
      <c r="G4" s="41">
        <v>3</v>
      </c>
      <c r="H4" s="63">
        <v>6756</v>
      </c>
      <c r="I4" s="49">
        <v>1</v>
      </c>
      <c r="J4" s="63">
        <v>6777.5</v>
      </c>
      <c r="K4" s="41">
        <v>1</v>
      </c>
      <c r="L4" s="63">
        <v>6814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3</v>
      </c>
      <c r="B5" s="63">
        <v>7115.5</v>
      </c>
      <c r="C5" s="41">
        <v>2</v>
      </c>
      <c r="D5" s="63">
        <v>7066</v>
      </c>
      <c r="E5" s="41">
        <v>2</v>
      </c>
      <c r="F5" s="63">
        <v>6883</v>
      </c>
      <c r="G5" s="41">
        <v>4</v>
      </c>
      <c r="H5" s="63">
        <v>6625</v>
      </c>
      <c r="I5" s="49">
        <v>2</v>
      </c>
      <c r="J5" s="63">
        <v>6785</v>
      </c>
      <c r="K5" s="41">
        <v>4</v>
      </c>
      <c r="L5" s="63">
        <v>6935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4</v>
      </c>
      <c r="B6" s="63">
        <v>7202.5</v>
      </c>
      <c r="C6" s="41">
        <v>5</v>
      </c>
      <c r="D6" s="63">
        <v>7050</v>
      </c>
      <c r="E6" s="41">
        <v>5</v>
      </c>
      <c r="F6" s="63">
        <v>6850</v>
      </c>
      <c r="G6" s="41">
        <v>5</v>
      </c>
      <c r="H6" s="63">
        <v>6767</v>
      </c>
      <c r="I6" s="49">
        <v>3</v>
      </c>
      <c r="J6" s="63">
        <v>6837</v>
      </c>
      <c r="K6" s="41">
        <v>5</v>
      </c>
      <c r="L6" s="63">
        <v>6971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5</v>
      </c>
      <c r="B7" s="63">
        <v>7097</v>
      </c>
      <c r="C7" s="41">
        <v>6</v>
      </c>
      <c r="D7" s="63">
        <v>7060</v>
      </c>
      <c r="E7" s="41">
        <v>6</v>
      </c>
      <c r="F7" s="63">
        <v>6968.5</v>
      </c>
      <c r="G7" s="41">
        <v>6</v>
      </c>
      <c r="H7" s="63">
        <v>6703</v>
      </c>
      <c r="I7" s="49">
        <v>4</v>
      </c>
      <c r="J7" s="63">
        <v>6783</v>
      </c>
      <c r="K7" s="41">
        <v>6</v>
      </c>
      <c r="L7" s="63">
        <v>7147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v>7084.5</v>
      </c>
      <c r="C8" s="41">
        <v>7</v>
      </c>
      <c r="D8" s="63">
        <v>7006</v>
      </c>
      <c r="E8" s="41">
        <v>7</v>
      </c>
      <c r="F8" s="63">
        <v>6873</v>
      </c>
      <c r="G8" s="41">
        <v>9</v>
      </c>
      <c r="H8" s="63">
        <v>6767</v>
      </c>
      <c r="I8" s="49">
        <v>8</v>
      </c>
      <c r="J8" s="63">
        <v>6722</v>
      </c>
      <c r="K8" s="41">
        <v>7</v>
      </c>
      <c r="L8" s="63">
        <v>7245.5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9</v>
      </c>
      <c r="B9" s="63">
        <v>7092</v>
      </c>
      <c r="C9" s="41">
        <v>8</v>
      </c>
      <c r="D9" s="63">
        <v>6838</v>
      </c>
      <c r="E9" s="41">
        <v>8</v>
      </c>
      <c r="F9" s="63">
        <v>6830</v>
      </c>
      <c r="G9" s="41">
        <v>10</v>
      </c>
      <c r="H9" s="63">
        <v>6888</v>
      </c>
      <c r="I9" s="49">
        <v>9</v>
      </c>
      <c r="J9" s="63">
        <v>6786</v>
      </c>
      <c r="K9" s="41">
        <v>8</v>
      </c>
      <c r="L9" s="63">
        <v>7262.5</v>
      </c>
      <c r="N9">
        <f>L8/B25</f>
        <v>1.0204210971058376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10</v>
      </c>
      <c r="B10" s="63">
        <v>7140.5</v>
      </c>
      <c r="C10" s="41">
        <v>9</v>
      </c>
      <c r="D10" s="63">
        <v>6755</v>
      </c>
      <c r="E10" s="41">
        <v>9</v>
      </c>
      <c r="F10" s="63">
        <v>6808</v>
      </c>
      <c r="G10" s="41">
        <v>11</v>
      </c>
      <c r="H10" s="63">
        <v>6930.5</v>
      </c>
      <c r="I10" s="49">
        <v>10</v>
      </c>
      <c r="J10" s="63">
        <v>6862</v>
      </c>
      <c r="K10" s="41">
        <v>11</v>
      </c>
      <c r="L10" s="63">
        <v>7223.5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11</v>
      </c>
      <c r="B11" s="63">
        <v>7123</v>
      </c>
      <c r="C11" s="41">
        <v>12</v>
      </c>
      <c r="D11" s="63">
        <v>6786.5</v>
      </c>
      <c r="E11" s="41">
        <v>12</v>
      </c>
      <c r="F11" s="63">
        <v>6857</v>
      </c>
      <c r="G11" s="41">
        <v>12</v>
      </c>
      <c r="H11" s="63">
        <v>6756</v>
      </c>
      <c r="I11" s="49">
        <v>11</v>
      </c>
      <c r="J11" s="63">
        <v>6869</v>
      </c>
      <c r="K11" s="41">
        <v>12</v>
      </c>
      <c r="L11" s="63">
        <v>7200.5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12</v>
      </c>
      <c r="B12" s="63">
        <v>7070.5</v>
      </c>
      <c r="C12" s="41">
        <v>13</v>
      </c>
      <c r="D12" s="63">
        <v>6908</v>
      </c>
      <c r="E12" s="41">
        <v>13</v>
      </c>
      <c r="F12" s="63">
        <v>6883</v>
      </c>
      <c r="G12" s="41">
        <v>13</v>
      </c>
      <c r="H12" s="63">
        <v>6830</v>
      </c>
      <c r="I12" s="49">
        <v>14</v>
      </c>
      <c r="J12" s="63">
        <v>6828</v>
      </c>
      <c r="K12" s="41">
        <v>13</v>
      </c>
      <c r="L12" s="63">
        <v>7201.5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15</v>
      </c>
      <c r="B13" s="63">
        <v>7180</v>
      </c>
      <c r="C13" s="41">
        <v>14</v>
      </c>
      <c r="D13" s="63">
        <v>6962</v>
      </c>
      <c r="E13" s="41">
        <v>14</v>
      </c>
      <c r="F13" s="63">
        <v>7015</v>
      </c>
      <c r="G13" s="41">
        <v>16</v>
      </c>
      <c r="H13" s="63">
        <v>6811.5</v>
      </c>
      <c r="I13" s="49">
        <v>15</v>
      </c>
      <c r="J13" s="63">
        <v>6822.5</v>
      </c>
      <c r="K13" s="41">
        <v>14</v>
      </c>
      <c r="L13" s="63">
        <v>7197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16</v>
      </c>
      <c r="B14" s="63">
        <v>7023</v>
      </c>
      <c r="C14" s="41">
        <v>15</v>
      </c>
      <c r="D14" s="63">
        <v>7098</v>
      </c>
      <c r="E14" s="41">
        <v>15</v>
      </c>
      <c r="F14" s="63">
        <v>6885.5</v>
      </c>
      <c r="G14" s="41">
        <v>17</v>
      </c>
      <c r="H14" s="63">
        <v>6784</v>
      </c>
      <c r="I14" s="49">
        <v>16</v>
      </c>
      <c r="J14" s="63">
        <v>6773.5</v>
      </c>
      <c r="K14" s="41">
        <v>15</v>
      </c>
      <c r="L14" s="63">
        <v>7136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17</v>
      </c>
      <c r="B15" s="63">
        <v>7047</v>
      </c>
      <c r="C15" s="41">
        <v>16</v>
      </c>
      <c r="D15" s="63">
        <v>7159</v>
      </c>
      <c r="E15" s="41">
        <v>16</v>
      </c>
      <c r="F15" s="63">
        <v>6923</v>
      </c>
      <c r="G15" s="41">
        <v>18</v>
      </c>
      <c r="H15" s="63">
        <v>6936</v>
      </c>
      <c r="I15" s="49">
        <v>17</v>
      </c>
      <c r="J15" s="63">
        <v>6838</v>
      </c>
      <c r="K15" s="41">
        <v>18</v>
      </c>
      <c r="L15" s="63">
        <v>6987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18</v>
      </c>
      <c r="B16" s="63">
        <v>7047</v>
      </c>
      <c r="C16" s="41">
        <v>19</v>
      </c>
      <c r="D16" s="63">
        <v>7093</v>
      </c>
      <c r="E16" s="41">
        <v>19</v>
      </c>
      <c r="F16" s="63">
        <v>6791.5</v>
      </c>
      <c r="G16" s="41">
        <v>19</v>
      </c>
      <c r="H16" s="63">
        <v>6942</v>
      </c>
      <c r="I16" s="49">
        <v>18</v>
      </c>
      <c r="J16" s="63">
        <v>6783.5</v>
      </c>
      <c r="K16" s="41">
        <v>19</v>
      </c>
      <c r="L16" s="63">
        <v>6820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19</v>
      </c>
      <c r="B17" s="63">
        <v>7079</v>
      </c>
      <c r="C17" s="41">
        <v>20</v>
      </c>
      <c r="D17" s="63">
        <v>7027</v>
      </c>
      <c r="E17" s="41">
        <v>20</v>
      </c>
      <c r="F17" s="63">
        <v>6784</v>
      </c>
      <c r="G17" s="41">
        <v>20</v>
      </c>
      <c r="H17" s="63">
        <v>6939</v>
      </c>
      <c r="I17" s="49">
        <v>21</v>
      </c>
      <c r="J17" s="63">
        <v>6861</v>
      </c>
      <c r="K17" s="41">
        <v>20</v>
      </c>
      <c r="L17" s="63">
        <v>6819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22</v>
      </c>
      <c r="B18" s="63">
        <v>7049</v>
      </c>
      <c r="C18" s="41">
        <v>21</v>
      </c>
      <c r="D18" s="63">
        <v>7003</v>
      </c>
      <c r="E18" s="41">
        <v>21</v>
      </c>
      <c r="F18" s="63">
        <v>6675</v>
      </c>
      <c r="G18" s="41">
        <v>23</v>
      </c>
      <c r="H18" s="63">
        <v>6923</v>
      </c>
      <c r="I18" s="49">
        <v>22</v>
      </c>
      <c r="J18" s="63">
        <v>6931.5</v>
      </c>
      <c r="K18" s="41">
        <v>21</v>
      </c>
      <c r="L18" s="63">
        <v>6801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41">
        <v>23</v>
      </c>
      <c r="B19" s="63">
        <v>6905</v>
      </c>
      <c r="C19" s="41">
        <v>22</v>
      </c>
      <c r="D19" s="63">
        <v>7032</v>
      </c>
      <c r="E19" s="41">
        <v>22</v>
      </c>
      <c r="F19" s="63">
        <v>6746.5</v>
      </c>
      <c r="G19" s="41">
        <v>24</v>
      </c>
      <c r="H19" s="63">
        <v>6987</v>
      </c>
      <c r="I19" s="49">
        <v>23</v>
      </c>
      <c r="J19" s="63">
        <v>6800</v>
      </c>
      <c r="K19" s="41">
        <v>22</v>
      </c>
      <c r="L19" s="63">
        <v>6811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41">
        <v>24</v>
      </c>
      <c r="B20" s="63">
        <v>6943</v>
      </c>
      <c r="C20" s="41">
        <v>23</v>
      </c>
      <c r="D20" s="63">
        <v>7073.5</v>
      </c>
      <c r="E20" s="41">
        <v>23</v>
      </c>
      <c r="F20" s="63">
        <v>6658</v>
      </c>
      <c r="G20" s="41">
        <v>25</v>
      </c>
      <c r="H20" s="63">
        <v>6960.5</v>
      </c>
      <c r="I20" s="49">
        <v>24</v>
      </c>
      <c r="J20" s="63">
        <v>6835</v>
      </c>
      <c r="K20" s="41">
        <v>25</v>
      </c>
      <c r="L20" s="63">
        <v>6783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25</v>
      </c>
      <c r="B21" s="63">
        <v>7112</v>
      </c>
      <c r="C21" s="41">
        <v>26</v>
      </c>
      <c r="D21" s="63">
        <v>7111</v>
      </c>
      <c r="E21" s="41">
        <v>26</v>
      </c>
      <c r="F21" s="63">
        <v>6500</v>
      </c>
      <c r="G21" s="41">
        <v>26</v>
      </c>
      <c r="H21" s="63">
        <v>6885.5</v>
      </c>
      <c r="I21" s="49">
        <v>25</v>
      </c>
      <c r="J21" s="63">
        <v>6886</v>
      </c>
      <c r="K21" s="41">
        <v>26</v>
      </c>
      <c r="L21" s="63">
        <v>6712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26</v>
      </c>
      <c r="B22" s="63">
        <v>7063.5</v>
      </c>
      <c r="C22" s="41">
        <v>27</v>
      </c>
      <c r="D22" s="63">
        <v>7028</v>
      </c>
      <c r="E22" s="41">
        <v>27</v>
      </c>
      <c r="F22" s="63">
        <v>6641.5</v>
      </c>
      <c r="G22" s="41">
        <v>27</v>
      </c>
      <c r="H22" s="63">
        <v>6797</v>
      </c>
      <c r="I22" s="49">
        <v>29</v>
      </c>
      <c r="J22" s="63">
        <v>6840.5</v>
      </c>
      <c r="K22" s="41">
        <v>27</v>
      </c>
      <c r="L22" s="63">
        <v>6688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1">
        <v>29</v>
      </c>
      <c r="B23" s="63">
        <v>7062</v>
      </c>
      <c r="C23" s="42">
        <v>28</v>
      </c>
      <c r="D23" s="64">
        <v>6953</v>
      </c>
      <c r="E23" s="41">
        <v>28</v>
      </c>
      <c r="F23" s="63">
        <v>6601.5</v>
      </c>
      <c r="G23" s="42">
        <v>30</v>
      </c>
      <c r="H23" s="64">
        <v>6783</v>
      </c>
      <c r="I23" s="49">
        <v>30</v>
      </c>
      <c r="J23" s="63">
        <v>6810</v>
      </c>
      <c r="K23" s="41">
        <v>28</v>
      </c>
      <c r="L23" s="63">
        <v>6650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41">
        <v>30</v>
      </c>
      <c r="B24" s="63">
        <v>7049</v>
      </c>
      <c r="C24" s="394"/>
      <c r="D24" s="395"/>
      <c r="E24" s="41">
        <v>29</v>
      </c>
      <c r="F24" s="63">
        <v>6685</v>
      </c>
      <c r="G24" s="394"/>
      <c r="H24" s="395"/>
      <c r="I24" s="42">
        <v>31</v>
      </c>
      <c r="J24" s="64">
        <v>6825</v>
      </c>
      <c r="K24" s="72">
        <v>29</v>
      </c>
      <c r="L24" s="64">
        <v>6646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42">
        <v>31</v>
      </c>
      <c r="B25" s="64">
        <v>7100.5</v>
      </c>
      <c r="C25" s="394"/>
      <c r="D25" s="395"/>
      <c r="E25" s="42">
        <v>30</v>
      </c>
      <c r="F25" s="64"/>
      <c r="G25" s="394"/>
      <c r="H25" s="395"/>
      <c r="I25" s="394"/>
      <c r="J25" s="395"/>
      <c r="K25" s="394"/>
      <c r="L25" s="395"/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B28/'2017'!L65-1</f>
        <v>4.1042652461373619E-2</v>
      </c>
      <c r="B27" s="385"/>
      <c r="C27" s="384">
        <f>D28/B28-1</f>
        <v>-1.1086465960267522E-2</v>
      </c>
      <c r="D27" s="385"/>
      <c r="E27" s="384">
        <f>F28/D28-1</f>
        <v>-2.9426446804835305E-2</v>
      </c>
      <c r="F27" s="385"/>
      <c r="G27" s="384">
        <f>H28/F28-1</f>
        <v>6.2962911058013216E-3</v>
      </c>
      <c r="H27" s="385"/>
      <c r="I27" s="384">
        <f>J28/H28-1</f>
        <v>-2.4618836282128687E-3</v>
      </c>
      <c r="J27" s="385"/>
      <c r="K27" s="384">
        <f>L28/J28-1</f>
        <v>1.9507036354498464E-2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AVERAGE(B4:B25)</f>
        <v>7080.295454545455</v>
      </c>
      <c r="C28" s="55" t="s">
        <v>10</v>
      </c>
      <c r="D28" s="66">
        <f>AVERAGE(D4:D23)</f>
        <v>7001.8</v>
      </c>
      <c r="E28" s="55" t="s">
        <v>10</v>
      </c>
      <c r="F28" s="66">
        <f>AVERAGE(F4:F25)</f>
        <v>6795.7619047619046</v>
      </c>
      <c r="G28" s="55" t="s">
        <v>10</v>
      </c>
      <c r="H28" s="66">
        <f>AVERAGE(H4:H24)</f>
        <v>6838.55</v>
      </c>
      <c r="I28" s="56" t="s">
        <v>10</v>
      </c>
      <c r="J28" s="66">
        <f>AVERAGE(J4:J25)</f>
        <v>6821.7142857142853</v>
      </c>
      <c r="K28" s="55" t="s">
        <v>10</v>
      </c>
      <c r="L28" s="66">
        <f>AVERAGE(L4:L24)</f>
        <v>6954.7857142857147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22736.244763636365</v>
      </c>
      <c r="C29" s="67" t="s">
        <v>11</v>
      </c>
      <c r="D29" s="67">
        <f>D28*C30</f>
        <v>22711.038479999999</v>
      </c>
      <c r="E29" s="67" t="s">
        <v>11</v>
      </c>
      <c r="F29" s="67">
        <f>F28*E30</f>
        <v>22341.746838095238</v>
      </c>
      <c r="G29" s="67" t="s">
        <v>11</v>
      </c>
      <c r="H29" s="67">
        <f>H28*G30</f>
        <v>23302.359125000003</v>
      </c>
      <c r="I29" s="67" t="s">
        <v>11</v>
      </c>
      <c r="J29" s="67">
        <f>J28*I30</f>
        <v>24721.210399999996</v>
      </c>
      <c r="K29" s="67" t="s">
        <v>11</v>
      </c>
      <c r="L29" s="67">
        <f>L28*K30</f>
        <v>26117.306792857144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v>3.2111999999999998</v>
      </c>
      <c r="B30" s="73">
        <f>B29/'2017'!L67-1</f>
        <v>1.4597154870849893E-2</v>
      </c>
      <c r="C30" s="67">
        <v>3.2435999999999998</v>
      </c>
      <c r="D30" s="73">
        <f>D29/B29-1</f>
        <v>-1.1086388230953093E-3</v>
      </c>
      <c r="E30" s="67">
        <v>3.2875999999999999</v>
      </c>
      <c r="F30" s="73">
        <f>F29/D29-1</f>
        <v>-1.6260447193111371E-2</v>
      </c>
      <c r="G30" s="67">
        <v>3.4075000000000002</v>
      </c>
      <c r="H30" s="73">
        <f>H29/F29-1</f>
        <v>4.2996292719010176E-2</v>
      </c>
      <c r="I30" s="67">
        <v>3.6238999999999999</v>
      </c>
      <c r="J30" s="73">
        <f>J29/H29-1</f>
        <v>6.0888739521560931E-2</v>
      </c>
      <c r="K30" s="67">
        <v>3.7553000000000001</v>
      </c>
      <c r="L30" s="73">
        <f>L29/J29-1</f>
        <v>5.6473626099519336E-2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thickBot="1" x14ac:dyDescent="0.4">
      <c r="A31" s="381" t="s">
        <v>162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1" x14ac:dyDescent="0.35">
      <c r="A32" s="405" t="s">
        <v>169</v>
      </c>
      <c r="B32" s="406"/>
      <c r="C32" s="405" t="s">
        <v>170</v>
      </c>
      <c r="D32" s="406"/>
      <c r="E32" s="401" t="s">
        <v>171</v>
      </c>
      <c r="F32" s="402"/>
      <c r="G32" s="405" t="s">
        <v>172</v>
      </c>
      <c r="H32" s="406"/>
      <c r="I32" s="401" t="s">
        <v>173</v>
      </c>
      <c r="J32" s="402"/>
      <c r="K32" s="405" t="s">
        <v>174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2</v>
      </c>
      <c r="B41" s="63">
        <v>6595</v>
      </c>
      <c r="C41" s="41">
        <v>1</v>
      </c>
      <c r="D41" s="63">
        <v>6137</v>
      </c>
      <c r="E41" s="41">
        <v>3</v>
      </c>
      <c r="F41" s="63">
        <v>5951</v>
      </c>
      <c r="G41" s="41">
        <v>1</v>
      </c>
      <c r="H41" s="63">
        <v>6172</v>
      </c>
      <c r="I41" s="49">
        <v>1</v>
      </c>
      <c r="J41" s="63">
        <v>6070</v>
      </c>
      <c r="K41" s="49">
        <v>3</v>
      </c>
      <c r="L41" s="63">
        <v>6307</v>
      </c>
      <c r="O41" s="81">
        <v>42186</v>
      </c>
      <c r="P41" s="77">
        <v>5456.913043478261</v>
      </c>
      <c r="Q41" s="79">
        <v>-6.4574141581339006E-2</v>
      </c>
      <c r="R41" s="98">
        <v>17564.711704347825</v>
      </c>
      <c r="S41" s="79">
        <f>R41/R33-1</f>
        <v>-3.3248112673627928E-2</v>
      </c>
      <c r="T41" s="104">
        <v>3.5118210069374545E-2</v>
      </c>
    </row>
    <row r="42" spans="1:24" x14ac:dyDescent="0.35">
      <c r="A42" s="41">
        <v>3</v>
      </c>
      <c r="B42" s="63">
        <v>6584.5</v>
      </c>
      <c r="C42" s="41">
        <v>2</v>
      </c>
      <c r="D42" s="63">
        <v>6063</v>
      </c>
      <c r="E42" s="41">
        <v>4</v>
      </c>
      <c r="F42" s="63">
        <v>5823</v>
      </c>
      <c r="G42" s="41">
        <v>2</v>
      </c>
      <c r="H42" s="63">
        <v>6274</v>
      </c>
      <c r="I42" s="177">
        <v>2</v>
      </c>
      <c r="J42" s="63">
        <v>6255</v>
      </c>
      <c r="K42" s="49">
        <v>4</v>
      </c>
      <c r="L42" s="63">
        <v>6278</v>
      </c>
      <c r="O42" s="81">
        <v>42217</v>
      </c>
      <c r="P42" s="77">
        <v>5088.9250000000002</v>
      </c>
      <c r="Q42" s="79">
        <v>-6.7435203849923075E-2</v>
      </c>
      <c r="R42" s="98">
        <v>17846.351082500001</v>
      </c>
      <c r="S42" s="79">
        <f t="shared" ref="S42:S56" si="0">R42/R41-1</f>
        <v>1.6034386609514506E-2</v>
      </c>
      <c r="T42" s="104">
        <v>5.1715695636175285E-2</v>
      </c>
    </row>
    <row r="43" spans="1:24" x14ac:dyDescent="0.35">
      <c r="A43" s="41">
        <v>4</v>
      </c>
      <c r="B43" s="63">
        <v>6459</v>
      </c>
      <c r="C43" s="41">
        <v>3</v>
      </c>
      <c r="D43" s="63">
        <v>6167</v>
      </c>
      <c r="E43" s="41">
        <v>5</v>
      </c>
      <c r="F43" s="63">
        <v>5850</v>
      </c>
      <c r="G43" s="41">
        <v>3</v>
      </c>
      <c r="H43" s="63">
        <v>6275</v>
      </c>
      <c r="I43" s="49">
        <v>5</v>
      </c>
      <c r="J43" s="63">
        <v>6239</v>
      </c>
      <c r="K43" s="49">
        <v>5</v>
      </c>
      <c r="L43" s="63">
        <v>6162</v>
      </c>
      <c r="O43" s="81">
        <v>42248</v>
      </c>
      <c r="P43" s="77">
        <v>5208.090909090909</v>
      </c>
      <c r="Q43" s="79">
        <v>2.3416715532437404E-2</v>
      </c>
      <c r="R43" s="98">
        <v>20289.159754545453</v>
      </c>
      <c r="S43" s="79">
        <f t="shared" si="0"/>
        <v>0.13688000761348085</v>
      </c>
      <c r="T43" s="104">
        <v>0.1956745480620723</v>
      </c>
    </row>
    <row r="44" spans="1:24" x14ac:dyDescent="0.35">
      <c r="A44" s="41">
        <v>5</v>
      </c>
      <c r="B44" s="63">
        <v>6399.5</v>
      </c>
      <c r="C44" s="41">
        <v>6</v>
      </c>
      <c r="D44" s="63">
        <v>6040</v>
      </c>
      <c r="E44" s="41">
        <v>6</v>
      </c>
      <c r="F44" s="63">
        <v>5940</v>
      </c>
      <c r="G44" s="41">
        <v>4</v>
      </c>
      <c r="H44" s="63">
        <v>6310</v>
      </c>
      <c r="I44" s="49">
        <v>6</v>
      </c>
      <c r="J44" s="63">
        <v>6205</v>
      </c>
      <c r="K44" s="49">
        <v>6</v>
      </c>
      <c r="L44" s="63">
        <v>6112</v>
      </c>
      <c r="O44" s="81">
        <v>42278</v>
      </c>
      <c r="P44" s="77">
        <v>5222.613636363636</v>
      </c>
      <c r="Q44" s="79">
        <v>2.7884934280577589E-3</v>
      </c>
      <c r="R44" s="98">
        <v>20224.049045454543</v>
      </c>
      <c r="S44" s="79">
        <f t="shared" si="0"/>
        <v>-3.2091377799084997E-3</v>
      </c>
      <c r="T44" s="104">
        <v>0.19183746369741139</v>
      </c>
    </row>
    <row r="45" spans="1:24" x14ac:dyDescent="0.35">
      <c r="A45" s="41">
        <v>6</v>
      </c>
      <c r="B45" s="63">
        <v>6326</v>
      </c>
      <c r="C45" s="41">
        <v>7</v>
      </c>
      <c r="D45" s="63">
        <v>6132</v>
      </c>
      <c r="E45" s="41">
        <v>7</v>
      </c>
      <c r="F45" s="63">
        <v>5883</v>
      </c>
      <c r="G45" s="41">
        <v>5</v>
      </c>
      <c r="H45" s="63">
        <v>6182.5</v>
      </c>
      <c r="I45" s="49">
        <v>7</v>
      </c>
      <c r="J45" s="63">
        <v>6210</v>
      </c>
      <c r="K45" s="49">
        <v>7</v>
      </c>
      <c r="L45" s="63">
        <v>6173</v>
      </c>
      <c r="O45" s="81">
        <v>42309</v>
      </c>
      <c r="P45" s="77">
        <v>4808.2380952380954</v>
      </c>
      <c r="Q45" s="79">
        <v>-7.9342561019707936E-2</v>
      </c>
      <c r="R45" s="98">
        <v>18166.485171428572</v>
      </c>
      <c r="S45" s="79">
        <f t="shared" si="0"/>
        <v>-0.10173847330974595</v>
      </c>
      <c r="T45" s="104">
        <v>7.0581739707477054E-2</v>
      </c>
    </row>
    <row r="46" spans="1:24" x14ac:dyDescent="0.35">
      <c r="A46" s="41">
        <v>9</v>
      </c>
      <c r="B46" s="63">
        <v>6383</v>
      </c>
      <c r="C46" s="41">
        <v>8</v>
      </c>
      <c r="D46" s="63">
        <v>6113</v>
      </c>
      <c r="E46" s="41">
        <v>10</v>
      </c>
      <c r="F46" s="63">
        <v>5840.5</v>
      </c>
      <c r="G46" s="41">
        <v>8</v>
      </c>
      <c r="H46" s="63">
        <v>6169</v>
      </c>
      <c r="I46" s="49">
        <v>8</v>
      </c>
      <c r="J46" s="63">
        <v>6137</v>
      </c>
      <c r="K46" s="49">
        <v>10</v>
      </c>
      <c r="L46" s="63">
        <v>6112</v>
      </c>
      <c r="O46" s="81">
        <v>42339</v>
      </c>
      <c r="P46" s="77">
        <v>4629</v>
      </c>
      <c r="Q46" s="79">
        <v>-3.7277291949333047E-2</v>
      </c>
      <c r="R46" s="98">
        <v>17927.6541</v>
      </c>
      <c r="S46" s="79">
        <f t="shared" si="0"/>
        <v>-1.3146795826206148E-2</v>
      </c>
      <c r="T46" s="104">
        <f>R46/R27-1</f>
        <v>5.6507020160278199E-2</v>
      </c>
    </row>
    <row r="47" spans="1:24" x14ac:dyDescent="0.35">
      <c r="A47" s="41">
        <v>10</v>
      </c>
      <c r="B47" s="63">
        <v>6308</v>
      </c>
      <c r="C47" s="41">
        <v>9</v>
      </c>
      <c r="D47" s="63">
        <v>6247</v>
      </c>
      <c r="E47" s="41">
        <v>11</v>
      </c>
      <c r="F47" s="63">
        <v>5849</v>
      </c>
      <c r="G47" s="41">
        <v>9</v>
      </c>
      <c r="H47" s="63">
        <v>6219</v>
      </c>
      <c r="I47" s="49">
        <v>9</v>
      </c>
      <c r="J47" s="63">
        <v>6088</v>
      </c>
      <c r="K47" s="49">
        <v>11</v>
      </c>
      <c r="L47" s="63">
        <v>6163</v>
      </c>
      <c r="O47" s="81">
        <v>42370</v>
      </c>
      <c r="P47" s="77">
        <f>B28</f>
        <v>7080.295454545455</v>
      </c>
      <c r="Q47" s="79">
        <f t="shared" ref="Q47:Q52" si="1">P47/P46-1</f>
        <v>0.52955183723168187</v>
      </c>
      <c r="R47" s="80">
        <f>B29</f>
        <v>22736.244763636365</v>
      </c>
      <c r="S47" s="79">
        <f t="shared" si="0"/>
        <v>0.26822196796157316</v>
      </c>
      <c r="T47" s="104">
        <f>R47/$R$46-1</f>
        <v>0.26822196796157316</v>
      </c>
      <c r="V47" s="81"/>
      <c r="W47" s="81"/>
      <c r="X47" s="81"/>
    </row>
    <row r="48" spans="1:24" x14ac:dyDescent="0.35">
      <c r="A48" s="41">
        <v>11</v>
      </c>
      <c r="B48" s="63">
        <v>6182</v>
      </c>
      <c r="C48" s="41">
        <v>10</v>
      </c>
      <c r="D48" s="63">
        <v>6120</v>
      </c>
      <c r="E48" s="41">
        <v>12</v>
      </c>
      <c r="F48" s="63">
        <v>5891</v>
      </c>
      <c r="G48" s="41">
        <v>10</v>
      </c>
      <c r="H48" s="63">
        <v>6294</v>
      </c>
      <c r="I48" s="49">
        <v>12</v>
      </c>
      <c r="J48" s="63">
        <v>6083.5</v>
      </c>
      <c r="K48" s="49">
        <v>12</v>
      </c>
      <c r="L48" s="63">
        <v>6151</v>
      </c>
      <c r="O48" s="81">
        <v>42401</v>
      </c>
      <c r="P48" s="77">
        <f>D28</f>
        <v>7001.8</v>
      </c>
      <c r="Q48" s="79">
        <f t="shared" si="1"/>
        <v>-1.1086465960267522E-2</v>
      </c>
      <c r="R48" s="80">
        <f>D29</f>
        <v>22711.038479999999</v>
      </c>
      <c r="S48" s="79">
        <f t="shared" si="0"/>
        <v>-1.1086388230953093E-3</v>
      </c>
      <c r="T48" s="104">
        <f>R48/$R$46-1</f>
        <v>0.26681596785158845</v>
      </c>
    </row>
    <row r="49" spans="1:21" x14ac:dyDescent="0.35">
      <c r="A49" s="41">
        <v>12</v>
      </c>
      <c r="B49" s="63">
        <v>6173</v>
      </c>
      <c r="C49" s="41">
        <v>13</v>
      </c>
      <c r="D49" s="63">
        <v>6081</v>
      </c>
      <c r="E49" s="41">
        <v>13</v>
      </c>
      <c r="F49" s="63">
        <v>5991</v>
      </c>
      <c r="G49" s="41">
        <v>11</v>
      </c>
      <c r="H49" s="63">
        <v>6155</v>
      </c>
      <c r="I49" s="49">
        <v>13</v>
      </c>
      <c r="J49" s="63">
        <v>6130</v>
      </c>
      <c r="K49" s="49">
        <v>13</v>
      </c>
      <c r="L49" s="63">
        <v>6196</v>
      </c>
      <c r="O49" s="81">
        <v>42430</v>
      </c>
      <c r="P49" s="77">
        <f>F28</f>
        <v>6795.7619047619046</v>
      </c>
      <c r="Q49" s="79">
        <f t="shared" si="1"/>
        <v>-2.9426446804835305E-2</v>
      </c>
      <c r="R49" s="80">
        <f>F29</f>
        <v>22341.746838095238</v>
      </c>
      <c r="S49" s="79">
        <f t="shared" si="0"/>
        <v>-1.6260447193111371E-2</v>
      </c>
      <c r="T49" s="104">
        <f>R49/$R$46-1</f>
        <v>0.24621697370294737</v>
      </c>
    </row>
    <row r="50" spans="1:21" x14ac:dyDescent="0.35">
      <c r="A50" s="41">
        <v>13</v>
      </c>
      <c r="B50" s="63">
        <v>6166</v>
      </c>
      <c r="C50" s="41">
        <v>14</v>
      </c>
      <c r="D50" s="63">
        <v>6059</v>
      </c>
      <c r="E50" s="41">
        <v>14</v>
      </c>
      <c r="F50" s="63">
        <v>5946.5</v>
      </c>
      <c r="G50" s="41">
        <v>12</v>
      </c>
      <c r="H50" s="63">
        <v>6325</v>
      </c>
      <c r="I50" s="49">
        <v>14</v>
      </c>
      <c r="J50" s="63">
        <v>6106</v>
      </c>
      <c r="K50" s="49">
        <v>14</v>
      </c>
      <c r="L50" s="63">
        <v>6104</v>
      </c>
      <c r="O50" s="81">
        <v>42461</v>
      </c>
      <c r="P50" s="77">
        <f>H28</f>
        <v>6838.55</v>
      </c>
      <c r="Q50" s="79">
        <f t="shared" si="1"/>
        <v>6.2962911058013216E-3</v>
      </c>
      <c r="R50" s="80">
        <f>H29</f>
        <v>23302.359125000003</v>
      </c>
      <c r="S50" s="79">
        <f t="shared" si="0"/>
        <v>4.2996292719010176E-2</v>
      </c>
      <c r="T50" s="104">
        <f>R50/$R$46-1</f>
        <v>0.29979968349567843</v>
      </c>
    </row>
    <row r="51" spans="1:21" x14ac:dyDescent="0.35">
      <c r="A51" s="41">
        <v>16</v>
      </c>
      <c r="B51" s="63">
        <v>6143</v>
      </c>
      <c r="C51" s="41">
        <v>15</v>
      </c>
      <c r="D51" s="63">
        <v>5843</v>
      </c>
      <c r="E51" s="41">
        <v>17</v>
      </c>
      <c r="F51" s="63">
        <v>5860</v>
      </c>
      <c r="G51" s="41">
        <v>15</v>
      </c>
      <c r="H51" s="63">
        <v>6296</v>
      </c>
      <c r="I51" s="49">
        <v>15</v>
      </c>
      <c r="J51" s="63">
        <v>6188</v>
      </c>
      <c r="K51" s="49">
        <v>17</v>
      </c>
      <c r="L51" s="63">
        <v>6095.5</v>
      </c>
      <c r="O51" s="81">
        <v>42491</v>
      </c>
      <c r="P51" s="77">
        <f>J28</f>
        <v>6821.7142857142853</v>
      </c>
      <c r="Q51" s="79">
        <f t="shared" si="1"/>
        <v>-2.4618836282128687E-3</v>
      </c>
      <c r="R51" s="80">
        <f>J29</f>
        <v>24721.210399999996</v>
      </c>
      <c r="S51" s="79">
        <f t="shared" si="0"/>
        <v>6.0888739521560931E-2</v>
      </c>
      <c r="T51" s="104">
        <f>R51/R46-1</f>
        <v>0.37894284785425425</v>
      </c>
    </row>
    <row r="52" spans="1:21" x14ac:dyDescent="0.35">
      <c r="A52" s="41">
        <v>17</v>
      </c>
      <c r="B52" s="63">
        <v>6141.5</v>
      </c>
      <c r="C52" s="41">
        <v>16</v>
      </c>
      <c r="D52" s="63">
        <v>5860</v>
      </c>
      <c r="E52" s="41">
        <v>18</v>
      </c>
      <c r="F52" s="63">
        <v>6003</v>
      </c>
      <c r="G52" s="41">
        <v>16</v>
      </c>
      <c r="H52" s="63">
        <v>6202</v>
      </c>
      <c r="I52" s="49">
        <v>16</v>
      </c>
      <c r="J52" s="63">
        <v>6181</v>
      </c>
      <c r="K52" s="49">
        <v>18</v>
      </c>
      <c r="L52" s="63">
        <v>6043</v>
      </c>
      <c r="O52" s="81">
        <v>42522</v>
      </c>
      <c r="P52" s="77">
        <f>L28</f>
        <v>6954.7857142857147</v>
      </c>
      <c r="Q52" s="79">
        <f t="shared" si="1"/>
        <v>1.9507036354498464E-2</v>
      </c>
      <c r="R52" s="80">
        <f>L29</f>
        <v>26117.306792857144</v>
      </c>
      <c r="S52" s="79">
        <f t="shared" si="0"/>
        <v>5.6473626099519336E-2</v>
      </c>
      <c r="T52" s="104">
        <f>R52/R46-1</f>
        <v>0.45681675065658167</v>
      </c>
    </row>
    <row r="53" spans="1:21" x14ac:dyDescent="0.35">
      <c r="A53" s="41">
        <v>18</v>
      </c>
      <c r="B53" s="63">
        <v>6068</v>
      </c>
      <c r="C53" s="41">
        <v>17</v>
      </c>
      <c r="D53" s="63">
        <v>5844</v>
      </c>
      <c r="E53" s="41">
        <v>19</v>
      </c>
      <c r="F53" s="63">
        <v>6057</v>
      </c>
      <c r="G53" s="41">
        <v>17</v>
      </c>
      <c r="H53" s="63">
        <v>6249</v>
      </c>
      <c r="I53" s="49">
        <v>19</v>
      </c>
      <c r="J53" s="63">
        <v>6260</v>
      </c>
      <c r="K53" s="49">
        <v>19</v>
      </c>
      <c r="L53" s="63">
        <v>5987</v>
      </c>
      <c r="O53" s="81">
        <v>42552</v>
      </c>
      <c r="P53" s="77">
        <f>B65</f>
        <v>6248.181818181818</v>
      </c>
      <c r="Q53" s="79">
        <f>P53/P52-1</f>
        <v>-0.10159966462409797</v>
      </c>
      <c r="R53" s="80">
        <f>B67</f>
        <v>23951.780181818183</v>
      </c>
      <c r="S53" s="79">
        <f t="shared" si="0"/>
        <v>-8.2915387417787367E-2</v>
      </c>
      <c r="T53" s="104">
        <f>R53/R46-1</f>
        <v>0.33602422537916898</v>
      </c>
    </row>
    <row r="54" spans="1:21" x14ac:dyDescent="0.35">
      <c r="A54" s="41">
        <v>19</v>
      </c>
      <c r="B54" s="63">
        <v>5982</v>
      </c>
      <c r="C54" s="41">
        <v>20</v>
      </c>
      <c r="D54" s="63">
        <v>5963</v>
      </c>
      <c r="E54" s="41">
        <v>20</v>
      </c>
      <c r="F54" s="63">
        <v>6057</v>
      </c>
      <c r="G54" s="41">
        <v>18</v>
      </c>
      <c r="H54" s="63">
        <v>6147</v>
      </c>
      <c r="I54" s="49">
        <v>20</v>
      </c>
      <c r="J54" s="63">
        <v>6262</v>
      </c>
      <c r="K54" s="49">
        <v>20</v>
      </c>
      <c r="L54" s="63">
        <v>6015</v>
      </c>
      <c r="M54" s="106"/>
      <c r="O54" s="81">
        <v>42583</v>
      </c>
      <c r="P54" s="77">
        <f>D65</f>
        <v>6039.75</v>
      </c>
      <c r="Q54" s="79">
        <f>P54/P53-1</f>
        <v>-3.3358795285901355E-2</v>
      </c>
      <c r="R54" s="80">
        <f>D67</f>
        <v>23734.405575000001</v>
      </c>
      <c r="S54" s="79">
        <f t="shared" si="0"/>
        <v>-9.0755094263595959E-3</v>
      </c>
      <c r="T54" s="104">
        <f>R54/R46-1</f>
        <v>0.32389912492789574</v>
      </c>
      <c r="U54" s="106"/>
    </row>
    <row r="55" spans="1:21" x14ac:dyDescent="0.35">
      <c r="A55" s="41">
        <v>20</v>
      </c>
      <c r="B55" s="63">
        <v>6073</v>
      </c>
      <c r="C55" s="41">
        <v>21</v>
      </c>
      <c r="D55" s="63">
        <v>6025.5</v>
      </c>
      <c r="E55" s="41">
        <v>21</v>
      </c>
      <c r="F55" s="63">
        <v>6203</v>
      </c>
      <c r="G55" s="41">
        <v>19</v>
      </c>
      <c r="H55" s="63">
        <v>6191.5</v>
      </c>
      <c r="I55" s="49">
        <v>21</v>
      </c>
      <c r="J55" s="63">
        <v>6242</v>
      </c>
      <c r="K55" s="49">
        <v>21</v>
      </c>
      <c r="L55" s="63">
        <v>5987</v>
      </c>
      <c r="O55" s="81">
        <v>42614</v>
      </c>
      <c r="P55" s="77">
        <f>F65</f>
        <v>6020.0249999999996</v>
      </c>
      <c r="Q55" s="79">
        <f>P55/P54-1</f>
        <v>-3.2658636532969521E-3</v>
      </c>
      <c r="R55" s="80">
        <f>F67</f>
        <v>24823.573087499997</v>
      </c>
      <c r="S55" s="79">
        <f t="shared" si="0"/>
        <v>4.5889816328378741E-2</v>
      </c>
      <c r="T55" s="104">
        <f>R55/R46-1</f>
        <v>0.38465261260813799</v>
      </c>
    </row>
    <row r="56" spans="1:21" x14ac:dyDescent="0.35">
      <c r="A56" s="41">
        <v>23</v>
      </c>
      <c r="B56" s="63">
        <v>6153</v>
      </c>
      <c r="C56" s="41">
        <v>22</v>
      </c>
      <c r="D56" s="63">
        <v>6000</v>
      </c>
      <c r="E56" s="41">
        <v>24</v>
      </c>
      <c r="F56" s="63">
        <v>6320</v>
      </c>
      <c r="G56" s="41">
        <v>22</v>
      </c>
      <c r="H56" s="63">
        <v>6284</v>
      </c>
      <c r="I56" s="49">
        <v>22</v>
      </c>
      <c r="J56" s="63">
        <v>6246</v>
      </c>
      <c r="K56" s="49">
        <v>24</v>
      </c>
      <c r="L56" s="63">
        <v>5931.5</v>
      </c>
      <c r="O56" s="81">
        <v>42644</v>
      </c>
      <c r="P56" s="77">
        <f>H65</f>
        <v>6215.891304347826</v>
      </c>
      <c r="Q56" s="79">
        <f>P56/P55-1</f>
        <v>3.2535795839357284E-2</v>
      </c>
      <c r="R56" s="80">
        <f>H67</f>
        <v>23361.805878260868</v>
      </c>
      <c r="S56" s="79">
        <f t="shared" si="0"/>
        <v>-5.8886253162934388E-2</v>
      </c>
      <c r="T56" s="104">
        <f>R56/R46-1</f>
        <v>0.30311560831937667</v>
      </c>
    </row>
    <row r="57" spans="1:21" x14ac:dyDescent="0.35">
      <c r="A57" s="41">
        <v>24</v>
      </c>
      <c r="B57" s="63">
        <v>6167</v>
      </c>
      <c r="C57" s="41">
        <v>23</v>
      </c>
      <c r="D57" s="63">
        <v>5910.5</v>
      </c>
      <c r="E57" s="41">
        <v>25</v>
      </c>
      <c r="F57" s="63">
        <v>6276</v>
      </c>
      <c r="G57" s="41">
        <v>23</v>
      </c>
      <c r="H57" s="63">
        <v>6167.5</v>
      </c>
      <c r="I57" s="49">
        <v>23</v>
      </c>
      <c r="J57" s="63">
        <v>6210</v>
      </c>
      <c r="K57" s="49">
        <v>27</v>
      </c>
      <c r="L57" s="63">
        <v>5990</v>
      </c>
      <c r="O57" s="81">
        <v>42675</v>
      </c>
      <c r="P57" s="77">
        <f>J65</f>
        <v>6193</v>
      </c>
      <c r="Q57" s="79">
        <f>P57/P56-1</f>
        <v>-3.6827066669931074E-3</v>
      </c>
      <c r="R57" s="80">
        <f>J67</f>
        <v>23446.698</v>
      </c>
      <c r="S57" s="79">
        <f>R57/R56-1</f>
        <v>3.6337996378150716E-3</v>
      </c>
      <c r="T57" s="104">
        <f>R57/R46-1</f>
        <v>0.3078508693449189</v>
      </c>
    </row>
    <row r="58" spans="1:21" x14ac:dyDescent="0.35">
      <c r="A58" s="41">
        <v>25</v>
      </c>
      <c r="B58" s="63">
        <v>6252</v>
      </c>
      <c r="C58" s="41">
        <v>24</v>
      </c>
      <c r="D58" s="63">
        <v>6001</v>
      </c>
      <c r="E58" s="41">
        <v>26</v>
      </c>
      <c r="F58" s="63">
        <v>6257.5</v>
      </c>
      <c r="G58" s="41">
        <v>24</v>
      </c>
      <c r="H58" s="63">
        <v>6215</v>
      </c>
      <c r="I58" s="49">
        <v>26</v>
      </c>
      <c r="J58" s="63">
        <v>6246</v>
      </c>
      <c r="K58" s="49">
        <v>28</v>
      </c>
      <c r="L58" s="63">
        <v>6018</v>
      </c>
      <c r="O58" s="81" t="s">
        <v>83</v>
      </c>
      <c r="P58" s="115">
        <f>P57/P46-1</f>
        <v>0.33786995031324252</v>
      </c>
      <c r="Q58" s="79" t="s">
        <v>103</v>
      </c>
      <c r="R58" s="80"/>
      <c r="S58" s="126">
        <f>R57/R46-1</f>
        <v>0.3078508693449189</v>
      </c>
      <c r="T58" t="s">
        <v>104</v>
      </c>
    </row>
    <row r="59" spans="1:21" x14ac:dyDescent="0.35">
      <c r="A59" s="41">
        <v>26</v>
      </c>
      <c r="B59" s="63">
        <v>6255</v>
      </c>
      <c r="C59" s="41">
        <v>28</v>
      </c>
      <c r="D59" s="63">
        <v>6118</v>
      </c>
      <c r="E59" s="41">
        <v>27</v>
      </c>
      <c r="F59" s="63">
        <v>6222</v>
      </c>
      <c r="G59" s="41">
        <v>25</v>
      </c>
      <c r="H59" s="63">
        <v>6210</v>
      </c>
      <c r="I59" s="49">
        <v>27</v>
      </c>
      <c r="J59" s="63">
        <v>6169.5</v>
      </c>
      <c r="K59" s="72">
        <v>31</v>
      </c>
      <c r="L59" s="64">
        <v>5965</v>
      </c>
      <c r="P59" s="79"/>
    </row>
    <row r="60" spans="1:21" x14ac:dyDescent="0.35">
      <c r="A60" s="41">
        <v>27</v>
      </c>
      <c r="B60" s="63">
        <v>6251.5</v>
      </c>
      <c r="C60" s="41">
        <v>29</v>
      </c>
      <c r="D60" s="63">
        <v>6065</v>
      </c>
      <c r="E60" s="42">
        <v>28</v>
      </c>
      <c r="F60" s="64">
        <v>6180</v>
      </c>
      <c r="G60" s="41">
        <v>26</v>
      </c>
      <c r="H60" s="63">
        <v>6159</v>
      </c>
      <c r="I60" s="49">
        <v>28</v>
      </c>
      <c r="J60" s="63">
        <v>6198</v>
      </c>
      <c r="K60" s="49"/>
      <c r="L60" s="63"/>
    </row>
    <row r="61" spans="1:21" x14ac:dyDescent="0.35">
      <c r="A61" s="41">
        <v>30</v>
      </c>
      <c r="B61" s="63">
        <v>6185</v>
      </c>
      <c r="C61" s="41">
        <v>30</v>
      </c>
      <c r="D61" s="63">
        <v>6066.5</v>
      </c>
      <c r="E61" s="41"/>
      <c r="F61" s="63"/>
      <c r="G61" s="41">
        <v>29</v>
      </c>
      <c r="H61" s="63">
        <v>6260</v>
      </c>
      <c r="I61" s="49">
        <v>29</v>
      </c>
      <c r="J61" s="63">
        <v>6282</v>
      </c>
      <c r="K61" s="49"/>
      <c r="L61" s="63"/>
    </row>
    <row r="62" spans="1:21" x14ac:dyDescent="0.35">
      <c r="A62" s="42">
        <v>31</v>
      </c>
      <c r="B62" s="64">
        <v>6213</v>
      </c>
      <c r="C62" s="42">
        <v>31</v>
      </c>
      <c r="D62" s="63">
        <v>6019</v>
      </c>
      <c r="E62" s="394"/>
      <c r="F62" s="395"/>
      <c r="G62" s="41">
        <v>30</v>
      </c>
      <c r="H62" s="63">
        <v>6136</v>
      </c>
      <c r="I62" s="42">
        <v>30</v>
      </c>
      <c r="J62" s="64">
        <v>6238</v>
      </c>
      <c r="K62" s="394"/>
      <c r="L62" s="395"/>
    </row>
    <row r="63" spans="1:21" x14ac:dyDescent="0.35">
      <c r="A63" s="117"/>
      <c r="B63" s="118"/>
      <c r="C63" s="394"/>
      <c r="D63" s="395"/>
      <c r="E63" s="394"/>
      <c r="F63" s="395"/>
      <c r="G63" s="42">
        <v>31</v>
      </c>
      <c r="H63" s="64">
        <v>6073</v>
      </c>
      <c r="I63" s="394"/>
      <c r="J63" s="395"/>
      <c r="K63" s="394"/>
      <c r="L63" s="395"/>
    </row>
    <row r="64" spans="1:21" ht="15" thickBot="1" x14ac:dyDescent="0.4">
      <c r="A64" s="384">
        <f>B65/L28-1</f>
        <v>-0.10159966462409797</v>
      </c>
      <c r="B64" s="385"/>
      <c r="C64" s="384">
        <f>D65/B65-1</f>
        <v>-3.3358795285901355E-2</v>
      </c>
      <c r="D64" s="385"/>
      <c r="E64" s="384">
        <f>F65/D65-1</f>
        <v>-3.2658636532969521E-3</v>
      </c>
      <c r="F64" s="385"/>
      <c r="G64" s="384">
        <f>H65/F65-1</f>
        <v>3.2535795839357284E-2</v>
      </c>
      <c r="H64" s="385"/>
      <c r="I64" s="384">
        <f>J65/H65-1</f>
        <v>-3.6827066669931074E-3</v>
      </c>
      <c r="J64" s="385"/>
      <c r="K64" s="384">
        <f>L65/J65-1</f>
        <v>-1.5951796170549093E-2</v>
      </c>
      <c r="L64" s="385"/>
    </row>
    <row r="65" spans="1:22" ht="15" thickBot="1" x14ac:dyDescent="0.4">
      <c r="A65" s="65" t="s">
        <v>10</v>
      </c>
      <c r="B65" s="66">
        <f>AVERAGE(B41:B62)</f>
        <v>6248.181818181818</v>
      </c>
      <c r="C65" s="55" t="s">
        <v>10</v>
      </c>
      <c r="D65" s="66">
        <f>AVERAGE(D41:D63)</f>
        <v>6039.75</v>
      </c>
      <c r="E65" s="55" t="s">
        <v>10</v>
      </c>
      <c r="F65" s="66">
        <f>AVERAGE(F41:F60)</f>
        <v>6020.0249999999996</v>
      </c>
      <c r="G65" s="55" t="s">
        <v>10</v>
      </c>
      <c r="H65" s="66">
        <f>AVERAGE(H41:H63)</f>
        <v>6215.891304347826</v>
      </c>
      <c r="I65" s="56" t="s">
        <v>10</v>
      </c>
      <c r="J65" s="66">
        <f>AVERAGE(J41:J62)</f>
        <v>6193</v>
      </c>
      <c r="K65" s="55" t="s">
        <v>10</v>
      </c>
      <c r="L65" s="66">
        <f>AVERAGE(L41:L59)</f>
        <v>6094.2105263157891</v>
      </c>
    </row>
    <row r="66" spans="1:22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22" ht="15" thickBot="1" x14ac:dyDescent="0.4">
      <c r="A67" s="67" t="s">
        <v>11</v>
      </c>
      <c r="B67" s="67">
        <f>B65*A68</f>
        <v>23951.780181818183</v>
      </c>
      <c r="C67" s="67" t="s">
        <v>11</v>
      </c>
      <c r="D67" s="99">
        <f>D65*C68</f>
        <v>23734.405575000001</v>
      </c>
      <c r="E67" s="67" t="s">
        <v>11</v>
      </c>
      <c r="F67" s="67">
        <f>F65*E68</f>
        <v>24823.573087499997</v>
      </c>
      <c r="G67" s="67" t="s">
        <v>11</v>
      </c>
      <c r="H67" s="67">
        <f>H65*G68</f>
        <v>23361.805878260868</v>
      </c>
      <c r="I67" s="67" t="s">
        <v>11</v>
      </c>
      <c r="J67" s="67">
        <f>J65*I68</f>
        <v>23446.698</v>
      </c>
      <c r="K67" s="67" t="s">
        <v>11</v>
      </c>
      <c r="L67" s="67">
        <f>L65*K68</f>
        <v>23672.960789473684</v>
      </c>
      <c r="M67" s="79"/>
    </row>
    <row r="68" spans="1:22" ht="15" thickBot="1" x14ac:dyDescent="0.4">
      <c r="A68" s="67">
        <v>3.8334000000000001</v>
      </c>
      <c r="B68" s="73">
        <f>B67/L29-1</f>
        <v>-8.2915387417787367E-2</v>
      </c>
      <c r="C68" s="67">
        <v>3.9297</v>
      </c>
      <c r="D68" s="73">
        <f>D67/B67-1</f>
        <v>-9.0755094263595959E-3</v>
      </c>
      <c r="E68" s="67">
        <v>4.1234999999999999</v>
      </c>
      <c r="F68" s="73">
        <f>F67/D67-1</f>
        <v>4.5889816328378741E-2</v>
      </c>
      <c r="G68" s="67">
        <v>3.7584</v>
      </c>
      <c r="H68" s="73">
        <f>H67/F67-1</f>
        <v>-5.8886253162934388E-2</v>
      </c>
      <c r="I68" s="67">
        <v>3.786</v>
      </c>
      <c r="J68" s="73">
        <f>J67/H67-1</f>
        <v>3.6337996378150716E-3</v>
      </c>
      <c r="K68" s="67">
        <v>3.8845000000000001</v>
      </c>
      <c r="L68" s="73">
        <f>L67/J67-1</f>
        <v>9.6500918582942408E-3</v>
      </c>
      <c r="O68" s="125"/>
      <c r="U68">
        <v>3.7584090909090904</v>
      </c>
      <c r="V68" t="s">
        <v>186</v>
      </c>
    </row>
    <row r="69" spans="1:22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22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22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22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22" x14ac:dyDescent="0.35">
      <c r="F73" s="81"/>
      <c r="G73" s="81"/>
      <c r="H73" s="95"/>
      <c r="I73" s="96"/>
      <c r="J73" s="97"/>
      <c r="K73" s="96"/>
    </row>
  </sheetData>
  <mergeCells count="63">
    <mergeCell ref="K39:L39"/>
    <mergeCell ref="I36:J36"/>
    <mergeCell ref="A69:L69"/>
    <mergeCell ref="E26:F26"/>
    <mergeCell ref="K25:L25"/>
    <mergeCell ref="A66:B66"/>
    <mergeCell ref="C66:D66"/>
    <mergeCell ref="E66:F66"/>
    <mergeCell ref="G66:H66"/>
    <mergeCell ref="I66:J66"/>
    <mergeCell ref="K66:L66"/>
    <mergeCell ref="A64:B64"/>
    <mergeCell ref="C64:D64"/>
    <mergeCell ref="E64:F64"/>
    <mergeCell ref="G64:H64"/>
    <mergeCell ref="I64:J64"/>
    <mergeCell ref="K64:L64"/>
    <mergeCell ref="K36:L36"/>
    <mergeCell ref="A39:B39"/>
    <mergeCell ref="E62:F62"/>
    <mergeCell ref="K62:L62"/>
    <mergeCell ref="E63:F63"/>
    <mergeCell ref="I63:J63"/>
    <mergeCell ref="K63:L63"/>
    <mergeCell ref="C63:D63"/>
    <mergeCell ref="C39:D39"/>
    <mergeCell ref="E39:F39"/>
    <mergeCell ref="G39:H39"/>
    <mergeCell ref="I39:J39"/>
    <mergeCell ref="A36:B36"/>
    <mergeCell ref="C36:D36"/>
    <mergeCell ref="E36:F36"/>
    <mergeCell ref="G36:H36"/>
    <mergeCell ref="A1:L1"/>
    <mergeCell ref="A2:B2"/>
    <mergeCell ref="C2:D2"/>
    <mergeCell ref="E2:F2"/>
    <mergeCell ref="G2:H2"/>
    <mergeCell ref="I2:J2"/>
    <mergeCell ref="K2:L2"/>
    <mergeCell ref="I25:J25"/>
    <mergeCell ref="C24:D24"/>
    <mergeCell ref="C25:D25"/>
    <mergeCell ref="G25:H25"/>
    <mergeCell ref="C26:D26"/>
    <mergeCell ref="G26:H26"/>
    <mergeCell ref="G24:H24"/>
    <mergeCell ref="K27:L27"/>
    <mergeCell ref="I26:J26"/>
    <mergeCell ref="A31:L31"/>
    <mergeCell ref="A32:B32"/>
    <mergeCell ref="C32:D32"/>
    <mergeCell ref="E32:F32"/>
    <mergeCell ref="G32:H32"/>
    <mergeCell ref="I32:J32"/>
    <mergeCell ref="K26:L26"/>
    <mergeCell ref="G27:H27"/>
    <mergeCell ref="I27:J27"/>
    <mergeCell ref="K32:L32"/>
    <mergeCell ref="A27:B27"/>
    <mergeCell ref="C27:D27"/>
    <mergeCell ref="E27:F27"/>
    <mergeCell ref="A26:B2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3"/>
  <sheetViews>
    <sheetView topLeftCell="H62" workbookViewId="0">
      <selection activeCell="K68" sqref="K68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7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</cols>
  <sheetData>
    <row r="1" spans="1:20" ht="15" thickBot="1" x14ac:dyDescent="0.4">
      <c r="A1" s="381" t="s">
        <v>189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190</v>
      </c>
      <c r="B2" s="397"/>
      <c r="C2" s="405" t="s">
        <v>191</v>
      </c>
      <c r="D2" s="406"/>
      <c r="E2" s="405" t="s">
        <v>192</v>
      </c>
      <c r="F2" s="406"/>
      <c r="G2" s="405" t="s">
        <v>193</v>
      </c>
      <c r="H2" s="406"/>
      <c r="I2" s="401" t="s">
        <v>194</v>
      </c>
      <c r="J2" s="402"/>
      <c r="K2" s="405" t="s">
        <v>195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2</v>
      </c>
      <c r="B4" s="63">
        <v>5839</v>
      </c>
      <c r="C4" s="41">
        <v>1</v>
      </c>
      <c r="D4" s="63">
        <v>6097.5</v>
      </c>
      <c r="E4" s="41">
        <v>1</v>
      </c>
      <c r="F4" s="63">
        <v>6572</v>
      </c>
      <c r="G4" s="41">
        <v>1</v>
      </c>
      <c r="H4" s="63">
        <v>6498</v>
      </c>
      <c r="I4" s="49">
        <v>1</v>
      </c>
      <c r="J4" s="63">
        <v>6398</v>
      </c>
      <c r="K4" s="41">
        <v>3</v>
      </c>
      <c r="L4" s="63">
        <v>5796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3</v>
      </c>
      <c r="B5" s="63">
        <v>5811</v>
      </c>
      <c r="C5" s="41">
        <v>4</v>
      </c>
      <c r="D5" s="63">
        <v>6076.5</v>
      </c>
      <c r="E5" s="41">
        <v>2</v>
      </c>
      <c r="F5" s="63">
        <v>6420</v>
      </c>
      <c r="G5" s="41">
        <v>2</v>
      </c>
      <c r="H5" s="63">
        <v>6431</v>
      </c>
      <c r="I5" s="49">
        <v>2</v>
      </c>
      <c r="J5" s="63">
        <v>6214</v>
      </c>
      <c r="K5" s="41">
        <v>4</v>
      </c>
      <c r="L5" s="63">
        <v>5804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4</v>
      </c>
      <c r="B6" s="63">
        <v>5840</v>
      </c>
      <c r="C6" s="41">
        <v>5</v>
      </c>
      <c r="D6" s="63">
        <v>6174</v>
      </c>
      <c r="E6" s="41">
        <v>5</v>
      </c>
      <c r="F6" s="63">
        <v>6553.5</v>
      </c>
      <c r="G6" s="41">
        <v>3</v>
      </c>
      <c r="H6" s="63">
        <v>6483</v>
      </c>
      <c r="I6" s="49">
        <v>3</v>
      </c>
      <c r="J6" s="63">
        <v>6180</v>
      </c>
      <c r="K6" s="41">
        <v>5</v>
      </c>
      <c r="L6" s="63">
        <v>5832.5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v>5889.5</v>
      </c>
      <c r="C7" s="41">
        <v>6</v>
      </c>
      <c r="D7" s="63">
        <v>6210</v>
      </c>
      <c r="E7" s="41">
        <v>6</v>
      </c>
      <c r="F7" s="63">
        <v>6505</v>
      </c>
      <c r="G7" s="41">
        <v>4</v>
      </c>
      <c r="H7" s="63">
        <v>6444</v>
      </c>
      <c r="I7" s="49">
        <v>7</v>
      </c>
      <c r="J7" s="63">
        <v>6174</v>
      </c>
      <c r="K7" s="41">
        <v>6</v>
      </c>
      <c r="L7" s="63">
        <v>5805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v>5904.5</v>
      </c>
      <c r="C8" s="41">
        <v>7</v>
      </c>
      <c r="D8" s="63">
        <v>6227</v>
      </c>
      <c r="E8" s="41">
        <v>7</v>
      </c>
      <c r="F8" s="63">
        <v>6458</v>
      </c>
      <c r="G8" s="41">
        <v>5</v>
      </c>
      <c r="H8" s="63">
        <v>6419</v>
      </c>
      <c r="I8" s="49">
        <v>8</v>
      </c>
      <c r="J8" s="63">
        <v>6103</v>
      </c>
      <c r="K8" s="41">
        <v>7</v>
      </c>
      <c r="L8" s="63">
        <v>5770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9</v>
      </c>
      <c r="B9" s="63">
        <v>5964</v>
      </c>
      <c r="C9" s="41">
        <v>8</v>
      </c>
      <c r="D9" s="63">
        <v>6207</v>
      </c>
      <c r="E9" s="41">
        <v>8</v>
      </c>
      <c r="F9" s="63">
        <v>6398.5</v>
      </c>
      <c r="G9" s="41">
        <v>8</v>
      </c>
      <c r="H9" s="63">
        <v>6432.5</v>
      </c>
      <c r="I9" s="49">
        <v>9</v>
      </c>
      <c r="J9" s="63">
        <v>6112</v>
      </c>
      <c r="K9" s="41">
        <v>10</v>
      </c>
      <c r="L9" s="63">
        <v>5788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10</v>
      </c>
      <c r="B10" s="63">
        <v>5908.5</v>
      </c>
      <c r="C10" s="41">
        <v>11</v>
      </c>
      <c r="D10" s="63">
        <v>6148</v>
      </c>
      <c r="E10" s="41">
        <v>11</v>
      </c>
      <c r="F10" s="63">
        <v>6435</v>
      </c>
      <c r="G10" s="41">
        <v>9</v>
      </c>
      <c r="H10" s="63">
        <v>6498</v>
      </c>
      <c r="I10" s="49">
        <v>10</v>
      </c>
      <c r="J10" s="63">
        <v>6135.5</v>
      </c>
      <c r="K10" s="41">
        <v>11</v>
      </c>
      <c r="L10" s="63">
        <v>5905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11</v>
      </c>
      <c r="B11" s="63">
        <v>5926.5</v>
      </c>
      <c r="C11" s="41">
        <v>12</v>
      </c>
      <c r="D11" s="63">
        <v>6102</v>
      </c>
      <c r="E11" s="41">
        <v>12</v>
      </c>
      <c r="F11" s="63">
        <v>6510</v>
      </c>
      <c r="G11" s="41">
        <v>10</v>
      </c>
      <c r="H11" s="63">
        <v>6447</v>
      </c>
      <c r="I11" s="49">
        <v>13</v>
      </c>
      <c r="J11" s="63">
        <v>6042.5</v>
      </c>
      <c r="K11" s="41">
        <v>12</v>
      </c>
      <c r="L11" s="63">
        <v>5828.5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v>5861</v>
      </c>
      <c r="C12" s="41">
        <v>13</v>
      </c>
      <c r="D12" s="63">
        <v>6120</v>
      </c>
      <c r="E12" s="41">
        <v>13</v>
      </c>
      <c r="F12" s="63">
        <v>6529</v>
      </c>
      <c r="G12" s="41">
        <v>11</v>
      </c>
      <c r="H12" s="63">
        <v>6432.5</v>
      </c>
      <c r="I12" s="49">
        <v>14</v>
      </c>
      <c r="J12" s="63">
        <v>6007</v>
      </c>
      <c r="K12" s="41">
        <v>13</v>
      </c>
      <c r="L12" s="63">
        <v>5797.5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15</v>
      </c>
      <c r="B13" s="63">
        <v>5882</v>
      </c>
      <c r="C13" s="41">
        <v>14</v>
      </c>
      <c r="D13" s="63">
        <v>6178.5</v>
      </c>
      <c r="E13" s="41">
        <v>14</v>
      </c>
      <c r="F13" s="63">
        <v>6409</v>
      </c>
      <c r="G13" s="41">
        <v>12</v>
      </c>
      <c r="H13" s="63">
        <v>6490</v>
      </c>
      <c r="I13" s="49">
        <v>15</v>
      </c>
      <c r="J13" s="63">
        <v>6002</v>
      </c>
      <c r="K13" s="41">
        <v>14</v>
      </c>
      <c r="L13" s="63">
        <v>5805.5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16</v>
      </c>
      <c r="B14" s="63">
        <v>5911</v>
      </c>
      <c r="C14" s="41">
        <v>15</v>
      </c>
      <c r="D14" s="63">
        <v>6190</v>
      </c>
      <c r="E14" s="41">
        <v>15</v>
      </c>
      <c r="F14" s="63">
        <v>6410</v>
      </c>
      <c r="G14" s="41">
        <v>15</v>
      </c>
      <c r="H14" s="63">
        <v>6456</v>
      </c>
      <c r="I14" s="49">
        <v>16</v>
      </c>
      <c r="J14" s="63">
        <v>6089</v>
      </c>
      <c r="K14" s="41">
        <v>17</v>
      </c>
      <c r="L14" s="63">
        <v>5756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17</v>
      </c>
      <c r="B15" s="63">
        <v>5933</v>
      </c>
      <c r="C15" s="41">
        <v>16</v>
      </c>
      <c r="D15" s="63">
        <v>6269.5</v>
      </c>
      <c r="E15" s="41">
        <v>18</v>
      </c>
      <c r="F15" s="63">
        <v>6492</v>
      </c>
      <c r="G15" s="41">
        <v>16</v>
      </c>
      <c r="H15" s="63">
        <v>6460</v>
      </c>
      <c r="I15" s="49">
        <v>17</v>
      </c>
      <c r="J15" s="63">
        <v>6025</v>
      </c>
      <c r="K15" s="41">
        <v>18</v>
      </c>
      <c r="L15" s="63">
        <v>5848.5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18</v>
      </c>
      <c r="B16" s="63">
        <v>6022</v>
      </c>
      <c r="C16" s="41">
        <v>19</v>
      </c>
      <c r="D16" s="63">
        <v>6246.5</v>
      </c>
      <c r="E16" s="41">
        <v>19</v>
      </c>
      <c r="F16" s="63">
        <v>6500</v>
      </c>
      <c r="G16" s="41">
        <v>17</v>
      </c>
      <c r="H16" s="63">
        <v>6509</v>
      </c>
      <c r="I16" s="49">
        <v>20</v>
      </c>
      <c r="J16" s="63">
        <v>5985</v>
      </c>
      <c r="K16" s="41">
        <v>19</v>
      </c>
      <c r="L16" s="63">
        <v>5895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21</v>
      </c>
      <c r="B17" s="63">
        <v>5951.5</v>
      </c>
      <c r="C17" s="41">
        <v>20</v>
      </c>
      <c r="D17" s="63">
        <v>6351.5</v>
      </c>
      <c r="E17" s="41">
        <v>20</v>
      </c>
      <c r="F17" s="63">
        <v>6487</v>
      </c>
      <c r="G17" s="179">
        <v>18</v>
      </c>
      <c r="H17" s="180">
        <v>6448</v>
      </c>
      <c r="I17" s="49">
        <v>21</v>
      </c>
      <c r="J17" s="63">
        <v>6004</v>
      </c>
      <c r="K17" s="41">
        <v>20</v>
      </c>
      <c r="L17" s="63">
        <v>5962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22</v>
      </c>
      <c r="B18" s="63">
        <v>5926.5</v>
      </c>
      <c r="C18" s="41">
        <v>21</v>
      </c>
      <c r="D18" s="63">
        <v>6391</v>
      </c>
      <c r="E18" s="41">
        <v>21</v>
      </c>
      <c r="F18" s="63">
        <v>6520</v>
      </c>
      <c r="G18" s="41">
        <v>23</v>
      </c>
      <c r="H18" s="63">
        <v>6430</v>
      </c>
      <c r="I18" s="49">
        <v>22</v>
      </c>
      <c r="J18" s="63">
        <v>5920</v>
      </c>
      <c r="K18" s="41">
        <v>21</v>
      </c>
      <c r="L18" s="63">
        <v>5941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41">
        <v>23</v>
      </c>
      <c r="B19" s="63">
        <v>5920.5</v>
      </c>
      <c r="C19" s="41">
        <v>22</v>
      </c>
      <c r="D19" s="63">
        <v>6449</v>
      </c>
      <c r="E19" s="41">
        <v>22</v>
      </c>
      <c r="F19" s="63">
        <v>6375</v>
      </c>
      <c r="G19" s="41">
        <v>24</v>
      </c>
      <c r="H19" s="63">
        <v>6437.5</v>
      </c>
      <c r="I19" s="49">
        <v>23</v>
      </c>
      <c r="J19" s="63">
        <v>5860</v>
      </c>
      <c r="K19" s="41">
        <v>24</v>
      </c>
      <c r="L19" s="63">
        <v>5917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41">
        <v>24</v>
      </c>
      <c r="B20" s="63">
        <v>5885</v>
      </c>
      <c r="C20" s="41">
        <v>25</v>
      </c>
      <c r="D20" s="63">
        <v>6546</v>
      </c>
      <c r="E20" s="41">
        <v>25</v>
      </c>
      <c r="F20" s="63">
        <v>6328</v>
      </c>
      <c r="G20" s="41">
        <v>25</v>
      </c>
      <c r="H20" s="63">
        <v>6375.5</v>
      </c>
      <c r="I20" s="49">
        <v>24</v>
      </c>
      <c r="J20" s="63">
        <v>5919</v>
      </c>
      <c r="K20" s="41">
        <v>25</v>
      </c>
      <c r="L20" s="63">
        <v>5985.5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25</v>
      </c>
      <c r="B21" s="63">
        <v>5901</v>
      </c>
      <c r="C21" s="41">
        <v>26</v>
      </c>
      <c r="D21" s="63">
        <v>6471</v>
      </c>
      <c r="E21" s="41">
        <v>26</v>
      </c>
      <c r="F21" s="63">
        <v>6361</v>
      </c>
      <c r="G21" s="41">
        <v>26</v>
      </c>
      <c r="H21" s="63">
        <v>6393</v>
      </c>
      <c r="I21" s="49">
        <v>28</v>
      </c>
      <c r="J21" s="63">
        <v>5956.5</v>
      </c>
      <c r="K21" s="41">
        <v>26</v>
      </c>
      <c r="L21" s="63">
        <v>6006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28</v>
      </c>
      <c r="B22" s="63">
        <v>5996</v>
      </c>
      <c r="C22" s="41">
        <v>27</v>
      </c>
      <c r="D22" s="63">
        <v>6533</v>
      </c>
      <c r="E22" s="41">
        <v>27</v>
      </c>
      <c r="F22" s="63">
        <v>6338.5</v>
      </c>
      <c r="G22" s="41">
        <v>27</v>
      </c>
      <c r="H22" s="63">
        <v>6376</v>
      </c>
      <c r="I22" s="49">
        <v>29</v>
      </c>
      <c r="J22" s="63">
        <v>5864.5</v>
      </c>
      <c r="K22" s="41">
        <v>27</v>
      </c>
      <c r="L22" s="63">
        <v>5953.5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1">
        <v>29</v>
      </c>
      <c r="B23" s="63">
        <v>6007</v>
      </c>
      <c r="C23" s="42">
        <v>28</v>
      </c>
      <c r="D23" s="64">
        <v>6572</v>
      </c>
      <c r="E23" s="41">
        <v>28</v>
      </c>
      <c r="F23" s="63">
        <v>6385</v>
      </c>
      <c r="G23" s="42">
        <v>30</v>
      </c>
      <c r="H23" s="64">
        <v>6442</v>
      </c>
      <c r="I23" s="49">
        <v>30</v>
      </c>
      <c r="J23" s="63">
        <v>5780.5</v>
      </c>
      <c r="K23" s="72">
        <v>28</v>
      </c>
      <c r="L23" s="64">
        <v>5972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41">
        <v>30</v>
      </c>
      <c r="B24" s="63">
        <v>6077</v>
      </c>
      <c r="C24" s="394"/>
      <c r="D24" s="395"/>
      <c r="E24" s="41">
        <v>29</v>
      </c>
      <c r="F24" s="63">
        <v>6485</v>
      </c>
      <c r="G24" s="394"/>
      <c r="H24" s="395"/>
      <c r="I24" s="42">
        <v>31</v>
      </c>
      <c r="J24" s="64"/>
      <c r="K24" s="394"/>
      <c r="L24" s="395"/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42">
        <v>31</v>
      </c>
      <c r="B25" s="64">
        <v>6148</v>
      </c>
      <c r="C25" s="394"/>
      <c r="D25" s="395"/>
      <c r="E25" s="42">
        <v>30</v>
      </c>
      <c r="F25" s="64"/>
      <c r="G25" s="394"/>
      <c r="H25" s="395"/>
      <c r="I25" s="394"/>
      <c r="J25" s="395"/>
      <c r="K25" s="394"/>
      <c r="L25" s="395"/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B28/'2018'!L65-1</f>
        <v>-2.661342241832787E-2</v>
      </c>
      <c r="B27" s="385"/>
      <c r="C27" s="384">
        <f>D28/B28-1</f>
        <v>5.8323659337417455E-2</v>
      </c>
      <c r="D27" s="385"/>
      <c r="E27" s="384">
        <f>F28/D28-1</f>
        <v>2.7560339204174777E-2</v>
      </c>
      <c r="F27" s="385"/>
      <c r="G27" s="384">
        <f>H28/F28-1</f>
        <v>-9.1827432338154047E-4</v>
      </c>
      <c r="H27" s="385"/>
      <c r="I27" s="384">
        <f>J28/H28-1</f>
        <v>-6.3075049262230287E-2</v>
      </c>
      <c r="J27" s="385"/>
      <c r="K27" s="384">
        <f>L28/J28-1</f>
        <v>-2.8177177562587086E-2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AVERAGE(B4:B25)</f>
        <v>5932.022727272727</v>
      </c>
      <c r="C28" s="55" t="s">
        <v>10</v>
      </c>
      <c r="D28" s="66">
        <f>AVERAGE(D4:D23)</f>
        <v>6278</v>
      </c>
      <c r="E28" s="55" t="s">
        <v>10</v>
      </c>
      <c r="F28" s="66">
        <f>AVERAGE(F4:F25)</f>
        <v>6451.0238095238092</v>
      </c>
      <c r="G28" s="55" t="s">
        <v>10</v>
      </c>
      <c r="H28" s="66">
        <f>AVERAGE(H4:H24)</f>
        <v>6445.1</v>
      </c>
      <c r="I28" s="56" t="s">
        <v>10</v>
      </c>
      <c r="J28" s="66">
        <f>AVERAGE(J4:J25)</f>
        <v>6038.5749999999998</v>
      </c>
      <c r="K28" s="55" t="s">
        <v>10</v>
      </c>
      <c r="L28" s="66">
        <f>AVERAGE(L4:L24)</f>
        <v>5868.4250000000002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22195.256236363635</v>
      </c>
      <c r="C29" s="67" t="s">
        <v>11</v>
      </c>
      <c r="D29" s="67">
        <f>D28*C30</f>
        <v>23376.7608</v>
      </c>
      <c r="E29" s="67" t="s">
        <v>11</v>
      </c>
      <c r="F29" s="67">
        <f>F28*E30</f>
        <v>24760.319585714285</v>
      </c>
      <c r="G29" s="67" t="s">
        <v>11</v>
      </c>
      <c r="H29" s="67">
        <f>H28*G30</f>
        <v>25095.930380000002</v>
      </c>
      <c r="I29" s="67" t="s">
        <v>11</v>
      </c>
      <c r="J29" s="67">
        <f>J28*I30</f>
        <v>24164.565577499998</v>
      </c>
      <c r="K29" s="67" t="s">
        <v>11</v>
      </c>
      <c r="L29" s="67">
        <f>L28*K30</f>
        <v>22678.5284125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v>3.7416</v>
      </c>
      <c r="B30" s="73">
        <f>A30/'2018'!K68-1</f>
        <v>-3.6787231303900159E-2</v>
      </c>
      <c r="C30" s="67">
        <v>3.7235999999999998</v>
      </c>
      <c r="D30" s="73">
        <f>D29/B29-1</f>
        <v>5.3232301130213822E-2</v>
      </c>
      <c r="E30" s="67">
        <v>3.8382000000000001</v>
      </c>
      <c r="F30" s="73">
        <f>F29/D29-1</f>
        <v>5.9185222347583943E-2</v>
      </c>
      <c r="G30" s="67">
        <v>3.8938000000000001</v>
      </c>
      <c r="H30" s="73">
        <f>H29/F29-1</f>
        <v>1.3554380553284506E-2</v>
      </c>
      <c r="I30" s="67">
        <v>4.0016999999999996</v>
      </c>
      <c r="J30" s="73">
        <f>J29/H29-1</f>
        <v>-3.7112184660914038E-2</v>
      </c>
      <c r="K30" s="67">
        <v>3.8645</v>
      </c>
      <c r="L30" s="73">
        <f>L29/J29-1</f>
        <v>-6.1496539643306036E-2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thickBot="1" x14ac:dyDescent="0.4">
      <c r="A31" s="381" t="s">
        <v>189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1" x14ac:dyDescent="0.35">
      <c r="A32" s="405" t="s">
        <v>196</v>
      </c>
      <c r="B32" s="406"/>
      <c r="C32" s="405" t="s">
        <v>197</v>
      </c>
      <c r="D32" s="406"/>
      <c r="E32" s="401" t="s">
        <v>198</v>
      </c>
      <c r="F32" s="402"/>
      <c r="G32" s="405" t="s">
        <v>199</v>
      </c>
      <c r="H32" s="406"/>
      <c r="I32" s="401" t="s">
        <v>200</v>
      </c>
      <c r="J32" s="402"/>
      <c r="K32" s="405" t="s">
        <v>201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2</v>
      </c>
      <c r="B41" s="63">
        <v>5999</v>
      </c>
      <c r="C41" s="41">
        <v>1</v>
      </c>
      <c r="D41" s="63">
        <v>5876</v>
      </c>
      <c r="E41" s="41">
        <v>3</v>
      </c>
      <c r="F41" s="63">
        <v>5610.5</v>
      </c>
      <c r="G41" s="41">
        <v>1</v>
      </c>
      <c r="H41" s="63">
        <v>5610</v>
      </c>
      <c r="I41" s="49">
        <v>1</v>
      </c>
      <c r="J41" s="63">
        <v>5797</v>
      </c>
      <c r="K41" s="49">
        <v>2</v>
      </c>
      <c r="L41" s="63">
        <v>5855.5</v>
      </c>
      <c r="O41" s="81">
        <v>42186</v>
      </c>
      <c r="P41" s="77">
        <v>5456.913043478261</v>
      </c>
      <c r="Q41" s="79">
        <v>-6.4574141581339006E-2</v>
      </c>
      <c r="R41" s="98">
        <v>17564.711704347825</v>
      </c>
      <c r="S41" s="79">
        <f>R41/R33-1</f>
        <v>-3.3248112673627928E-2</v>
      </c>
      <c r="T41" s="104">
        <v>3.5118210069374545E-2</v>
      </c>
    </row>
    <row r="42" spans="1:24" x14ac:dyDescent="0.35">
      <c r="A42" s="41">
        <v>3</v>
      </c>
      <c r="B42" s="63">
        <v>5910</v>
      </c>
      <c r="C42" s="41">
        <v>2</v>
      </c>
      <c r="D42" s="63">
        <v>5769</v>
      </c>
      <c r="E42" s="41">
        <v>4</v>
      </c>
      <c r="F42" s="63">
        <v>5537</v>
      </c>
      <c r="G42" s="41">
        <v>2</v>
      </c>
      <c r="H42" s="63">
        <v>5629</v>
      </c>
      <c r="I42" s="177">
        <v>4</v>
      </c>
      <c r="J42" s="63">
        <v>5846.5</v>
      </c>
      <c r="K42" s="49">
        <v>3</v>
      </c>
      <c r="L42" s="63">
        <v>5812</v>
      </c>
      <c r="O42" s="81">
        <v>42217</v>
      </c>
      <c r="P42" s="77">
        <v>5088.9250000000002</v>
      </c>
      <c r="Q42" s="79">
        <v>-6.7435203849923075E-2</v>
      </c>
      <c r="R42" s="98">
        <v>17846.351082500001</v>
      </c>
      <c r="S42" s="79">
        <f t="shared" ref="S42:S56" si="0">R42/R41-1</f>
        <v>1.6034386609514506E-2</v>
      </c>
      <c r="T42" s="104">
        <v>5.1715695636175285E-2</v>
      </c>
    </row>
    <row r="43" spans="1:24" x14ac:dyDescent="0.35">
      <c r="A43" s="41">
        <v>4</v>
      </c>
      <c r="B43" s="63">
        <v>5900</v>
      </c>
      <c r="C43" s="41">
        <v>5</v>
      </c>
      <c r="D43" s="63">
        <v>5647</v>
      </c>
      <c r="E43" s="41">
        <v>5</v>
      </c>
      <c r="F43" s="63">
        <v>5777</v>
      </c>
      <c r="G43" s="41">
        <v>3</v>
      </c>
      <c r="H43" s="63">
        <v>5626</v>
      </c>
      <c r="I43" s="49">
        <v>5</v>
      </c>
      <c r="J43" s="63">
        <v>5880</v>
      </c>
      <c r="K43" s="49">
        <v>4</v>
      </c>
      <c r="L43" s="63">
        <v>5823</v>
      </c>
      <c r="O43" s="81">
        <v>42248</v>
      </c>
      <c r="P43" s="77">
        <v>5208.090909090909</v>
      </c>
      <c r="Q43" s="79">
        <v>2.3416715532437404E-2</v>
      </c>
      <c r="R43" s="98">
        <v>20289.159754545453</v>
      </c>
      <c r="S43" s="79">
        <f t="shared" si="0"/>
        <v>0.13688000761348085</v>
      </c>
      <c r="T43" s="104">
        <v>0.1956745480620723</v>
      </c>
    </row>
    <row r="44" spans="1:24" x14ac:dyDescent="0.35">
      <c r="A44" s="41">
        <v>5</v>
      </c>
      <c r="B44" s="63">
        <v>5857</v>
      </c>
      <c r="C44" s="41">
        <v>6</v>
      </c>
      <c r="D44" s="63">
        <v>5667</v>
      </c>
      <c r="E44" s="41">
        <v>6</v>
      </c>
      <c r="F44" s="63">
        <v>5787.5</v>
      </c>
      <c r="G44" s="41">
        <v>4</v>
      </c>
      <c r="H44" s="63">
        <v>5599</v>
      </c>
      <c r="I44" s="49">
        <v>6</v>
      </c>
      <c r="J44" s="63">
        <v>5913.5</v>
      </c>
      <c r="K44" s="49">
        <v>5</v>
      </c>
      <c r="L44" s="63">
        <v>5855</v>
      </c>
      <c r="O44" s="81">
        <v>42278</v>
      </c>
      <c r="P44" s="77">
        <v>5222.613636363636</v>
      </c>
      <c r="Q44" s="79">
        <v>2.7884934280577589E-3</v>
      </c>
      <c r="R44" s="98">
        <v>20224.049045454543</v>
      </c>
      <c r="S44" s="79">
        <f t="shared" si="0"/>
        <v>-3.2091377799084997E-3</v>
      </c>
      <c r="T44" s="104">
        <v>0.19183746369741139</v>
      </c>
    </row>
    <row r="45" spans="1:24" x14ac:dyDescent="0.35">
      <c r="A45" s="41">
        <v>8</v>
      </c>
      <c r="B45" s="63">
        <v>5912</v>
      </c>
      <c r="C45" s="41">
        <v>7</v>
      </c>
      <c r="D45" s="63">
        <v>5673.5</v>
      </c>
      <c r="E45" s="41">
        <v>9</v>
      </c>
      <c r="F45" s="63">
        <v>5771</v>
      </c>
      <c r="G45" s="41">
        <v>7</v>
      </c>
      <c r="H45" s="63">
        <v>5626</v>
      </c>
      <c r="I45" s="49">
        <v>7</v>
      </c>
      <c r="J45" s="63">
        <v>5941</v>
      </c>
      <c r="K45" s="49">
        <v>6</v>
      </c>
      <c r="L45" s="63">
        <v>5867.5</v>
      </c>
      <c r="O45" s="81">
        <v>42309</v>
      </c>
      <c r="P45" s="77">
        <v>4808.2380952380954</v>
      </c>
      <c r="Q45" s="79">
        <v>-7.9342561019707936E-2</v>
      </c>
      <c r="R45" s="98">
        <v>18166.485171428572</v>
      </c>
      <c r="S45" s="79">
        <f t="shared" si="0"/>
        <v>-0.10173847330974595</v>
      </c>
      <c r="T45" s="104">
        <v>7.0581739707477054E-2</v>
      </c>
    </row>
    <row r="46" spans="1:24" x14ac:dyDescent="0.35">
      <c r="A46" s="41">
        <v>9</v>
      </c>
      <c r="B46" s="63">
        <v>5805</v>
      </c>
      <c r="C46" s="41">
        <v>8</v>
      </c>
      <c r="D46" s="63">
        <v>5723</v>
      </c>
      <c r="E46" s="41">
        <v>10</v>
      </c>
      <c r="F46" s="63">
        <v>5738</v>
      </c>
      <c r="G46" s="41">
        <v>8</v>
      </c>
      <c r="H46" s="63">
        <v>5650.5</v>
      </c>
      <c r="I46" s="49">
        <v>8</v>
      </c>
      <c r="J46" s="63">
        <v>5951.5</v>
      </c>
      <c r="K46" s="49">
        <v>9</v>
      </c>
      <c r="L46" s="63">
        <v>5985</v>
      </c>
      <c r="O46" s="81">
        <v>42339</v>
      </c>
      <c r="P46" s="77">
        <v>4629</v>
      </c>
      <c r="Q46" s="79">
        <v>-3.7277291949333047E-2</v>
      </c>
      <c r="R46" s="98">
        <v>17927.6541</v>
      </c>
      <c r="S46" s="79">
        <f t="shared" si="0"/>
        <v>-1.3146795826206148E-2</v>
      </c>
      <c r="T46" s="104">
        <f>R46/R27-1</f>
        <v>5.6507020160278199E-2</v>
      </c>
    </row>
    <row r="47" spans="1:24" x14ac:dyDescent="0.35">
      <c r="A47" s="41">
        <v>10</v>
      </c>
      <c r="B47" s="63">
        <v>5862.5</v>
      </c>
      <c r="C47" s="41">
        <v>9</v>
      </c>
      <c r="D47" s="63">
        <v>5744</v>
      </c>
      <c r="E47" s="41">
        <v>11</v>
      </c>
      <c r="F47" s="63">
        <v>5765</v>
      </c>
      <c r="G47" s="41">
        <v>9</v>
      </c>
      <c r="H47" s="63">
        <v>5660</v>
      </c>
      <c r="I47" s="49">
        <v>11</v>
      </c>
      <c r="J47" s="63">
        <v>5857</v>
      </c>
      <c r="K47" s="49">
        <v>10</v>
      </c>
      <c r="L47" s="63">
        <v>6055</v>
      </c>
      <c r="O47" s="81">
        <v>42370</v>
      </c>
      <c r="P47" s="77">
        <f>B28</f>
        <v>5932.022727272727</v>
      </c>
      <c r="Q47" s="79">
        <f t="shared" ref="Q47:Q52" si="1">P47/P46-1</f>
        <v>0.28149119189300653</v>
      </c>
      <c r="R47" s="80">
        <f>B29</f>
        <v>22195.256236363635</v>
      </c>
      <c r="S47" s="79">
        <f t="shared" si="0"/>
        <v>0.23804576508220543</v>
      </c>
      <c r="T47" s="104">
        <f>R47/$R$46-1</f>
        <v>0.23804576508220543</v>
      </c>
      <c r="V47" s="81"/>
      <c r="W47" s="81"/>
      <c r="X47" s="81"/>
    </row>
    <row r="48" spans="1:24" x14ac:dyDescent="0.35">
      <c r="A48" s="41">
        <v>11</v>
      </c>
      <c r="B48" s="63">
        <v>5925</v>
      </c>
      <c r="C48" s="41">
        <v>12</v>
      </c>
      <c r="D48" s="63">
        <v>5724.5</v>
      </c>
      <c r="E48" s="41">
        <v>12</v>
      </c>
      <c r="F48" s="63">
        <v>5842.5</v>
      </c>
      <c r="G48" s="41">
        <v>10</v>
      </c>
      <c r="H48" s="63">
        <v>5698.5</v>
      </c>
      <c r="I48" s="49">
        <v>12</v>
      </c>
      <c r="J48" s="63">
        <v>5838</v>
      </c>
      <c r="K48" s="49">
        <v>11</v>
      </c>
      <c r="L48" s="63">
        <v>6083</v>
      </c>
      <c r="O48" s="81">
        <v>42401</v>
      </c>
      <c r="P48" s="77">
        <f>D28</f>
        <v>6278</v>
      </c>
      <c r="Q48" s="79">
        <f t="shared" si="1"/>
        <v>5.8323659337417455E-2</v>
      </c>
      <c r="R48" s="80">
        <f>D29</f>
        <v>23376.7608</v>
      </c>
      <c r="S48" s="79">
        <f t="shared" si="0"/>
        <v>5.3232301130213822E-2</v>
      </c>
      <c r="T48" s="104">
        <f>R48/$R$46-1</f>
        <v>0.30394979006204714</v>
      </c>
    </row>
    <row r="49" spans="1:21" x14ac:dyDescent="0.35">
      <c r="A49" s="41">
        <v>12</v>
      </c>
      <c r="B49" s="63">
        <v>5950</v>
      </c>
      <c r="C49" s="41">
        <v>13</v>
      </c>
      <c r="D49" s="63">
        <v>5697</v>
      </c>
      <c r="E49" s="41">
        <v>13</v>
      </c>
      <c r="F49" s="63">
        <v>5870</v>
      </c>
      <c r="G49" s="41">
        <v>11</v>
      </c>
      <c r="H49" s="63">
        <v>5763</v>
      </c>
      <c r="I49" s="49">
        <v>13</v>
      </c>
      <c r="J49" s="63">
        <v>5823</v>
      </c>
      <c r="K49" s="49">
        <v>12</v>
      </c>
      <c r="L49" s="63">
        <v>6097</v>
      </c>
      <c r="O49" s="81">
        <v>42430</v>
      </c>
      <c r="P49" s="77">
        <f>F28</f>
        <v>6451.0238095238092</v>
      </c>
      <c r="Q49" s="79">
        <f t="shared" si="1"/>
        <v>2.7560339204174777E-2</v>
      </c>
      <c r="R49" s="80">
        <f>F29</f>
        <v>24760.319585714285</v>
      </c>
      <c r="S49" s="79">
        <f t="shared" si="0"/>
        <v>5.9185222347583943E-2</v>
      </c>
      <c r="T49" s="104">
        <f>R49/$R$46-1</f>
        <v>0.38112434831695507</v>
      </c>
    </row>
    <row r="50" spans="1:21" x14ac:dyDescent="0.35">
      <c r="A50" s="41">
        <v>15</v>
      </c>
      <c r="B50" s="63">
        <v>5997.5</v>
      </c>
      <c r="C50" s="41">
        <v>14</v>
      </c>
      <c r="D50" s="63">
        <v>5732</v>
      </c>
      <c r="E50" s="41">
        <v>14</v>
      </c>
      <c r="F50" s="63">
        <v>5877</v>
      </c>
      <c r="G50" s="41">
        <v>14</v>
      </c>
      <c r="H50" s="63">
        <v>5718.5</v>
      </c>
      <c r="I50" s="49">
        <v>14</v>
      </c>
      <c r="J50" s="63">
        <v>5835</v>
      </c>
      <c r="K50" s="49">
        <v>13</v>
      </c>
      <c r="L50" s="63">
        <v>6154</v>
      </c>
      <c r="O50" s="81">
        <v>42461</v>
      </c>
      <c r="P50" s="77">
        <f>H28</f>
        <v>6445.1</v>
      </c>
      <c r="Q50" s="79">
        <f t="shared" si="1"/>
        <v>-9.1827432338154047E-4</v>
      </c>
      <c r="R50" s="80">
        <f>H29</f>
        <v>25095.930380000002</v>
      </c>
      <c r="S50" s="79">
        <f t="shared" si="0"/>
        <v>1.3554380553284506E-2</v>
      </c>
      <c r="T50" s="104">
        <f>R50/$R$46-1</f>
        <v>0.39984463332545017</v>
      </c>
    </row>
    <row r="51" spans="1:21" x14ac:dyDescent="0.35">
      <c r="A51" s="41">
        <v>16</v>
      </c>
      <c r="B51" s="63">
        <v>5959</v>
      </c>
      <c r="C51" s="41">
        <v>15</v>
      </c>
      <c r="D51" s="63">
        <v>5696.5</v>
      </c>
      <c r="E51" s="41">
        <v>17</v>
      </c>
      <c r="F51" s="63">
        <v>5762</v>
      </c>
      <c r="G51" s="41">
        <v>15</v>
      </c>
      <c r="H51" s="63">
        <v>5745</v>
      </c>
      <c r="I51" s="49">
        <v>15</v>
      </c>
      <c r="J51" s="63">
        <v>5812</v>
      </c>
      <c r="K51" s="49">
        <v>16</v>
      </c>
      <c r="L51" s="63">
        <v>6155.5</v>
      </c>
      <c r="O51" s="81">
        <v>42491</v>
      </c>
      <c r="P51" s="77">
        <f>J28</f>
        <v>6038.5749999999998</v>
      </c>
      <c r="Q51" s="79">
        <f t="shared" si="1"/>
        <v>-6.3075049262230287E-2</v>
      </c>
      <c r="R51" s="80">
        <f>J29</f>
        <v>24164.565577499998</v>
      </c>
      <c r="S51" s="79">
        <f t="shared" si="0"/>
        <v>-3.7112184660914038E-2</v>
      </c>
      <c r="T51" s="104">
        <f>R51/R46-1</f>
        <v>0.3478933407968865</v>
      </c>
    </row>
    <row r="52" spans="1:21" x14ac:dyDescent="0.35">
      <c r="A52" s="41">
        <v>17</v>
      </c>
      <c r="B52" s="63">
        <v>5922</v>
      </c>
      <c r="C52" s="41">
        <v>16</v>
      </c>
      <c r="D52" s="63">
        <v>5710</v>
      </c>
      <c r="E52" s="41">
        <v>18</v>
      </c>
      <c r="F52" s="63">
        <v>5745</v>
      </c>
      <c r="G52" s="41">
        <v>16</v>
      </c>
      <c r="H52" s="63">
        <v>5684</v>
      </c>
      <c r="I52" s="49">
        <v>18</v>
      </c>
      <c r="J52" s="63">
        <v>5828</v>
      </c>
      <c r="K52" s="49">
        <v>17</v>
      </c>
      <c r="L52" s="63">
        <v>6175</v>
      </c>
      <c r="O52" s="81">
        <v>42522</v>
      </c>
      <c r="P52" s="77">
        <f>L28</f>
        <v>5868.4250000000002</v>
      </c>
      <c r="Q52" s="79">
        <f t="shared" si="1"/>
        <v>-2.8177177562587086E-2</v>
      </c>
      <c r="R52" s="80">
        <f>L29</f>
        <v>22678.5284125</v>
      </c>
      <c r="S52" s="79">
        <f t="shared" si="0"/>
        <v>-6.1496539643306036E-2</v>
      </c>
      <c r="T52" s="104">
        <f>R52/R46-1</f>
        <v>0.26500256452962234</v>
      </c>
    </row>
    <row r="53" spans="1:21" x14ac:dyDescent="0.35">
      <c r="A53" s="41">
        <v>18</v>
      </c>
      <c r="B53" s="63">
        <v>5948</v>
      </c>
      <c r="C53" s="41">
        <v>19</v>
      </c>
      <c r="D53" s="63">
        <v>5755.5</v>
      </c>
      <c r="E53" s="41">
        <v>19</v>
      </c>
      <c r="F53" s="63">
        <v>5758.5</v>
      </c>
      <c r="G53" s="41">
        <v>17</v>
      </c>
      <c r="H53" s="63">
        <v>5726.5</v>
      </c>
      <c r="I53" s="49">
        <v>19</v>
      </c>
      <c r="J53" s="63">
        <v>5821.5</v>
      </c>
      <c r="K53" s="49">
        <v>18</v>
      </c>
      <c r="L53" s="63">
        <v>6126.5</v>
      </c>
      <c r="O53" s="81">
        <v>42552</v>
      </c>
      <c r="P53" s="77">
        <f>B65</f>
        <v>5943.6428571428569</v>
      </c>
      <c r="Q53" s="79">
        <f>P53/P52-1</f>
        <v>1.2817384075430205E-2</v>
      </c>
      <c r="R53" s="80">
        <f>B67</f>
        <v>22478.26292142857</v>
      </c>
      <c r="S53" s="79">
        <f t="shared" si="0"/>
        <v>-8.830621080380463E-3</v>
      </c>
      <c r="T53" s="104">
        <f>R53/R46-1</f>
        <v>0.25383180621655188</v>
      </c>
    </row>
    <row r="54" spans="1:21" x14ac:dyDescent="0.35">
      <c r="A54" s="41">
        <v>19</v>
      </c>
      <c r="B54" s="63">
        <v>6066</v>
      </c>
      <c r="C54" s="41">
        <v>20</v>
      </c>
      <c r="D54" s="63">
        <v>5698</v>
      </c>
      <c r="E54" s="41">
        <v>20</v>
      </c>
      <c r="F54" s="63">
        <v>5777.5</v>
      </c>
      <c r="G54" s="41">
        <v>18</v>
      </c>
      <c r="H54" s="63">
        <v>5751</v>
      </c>
      <c r="I54" s="49">
        <v>20</v>
      </c>
      <c r="J54" s="63">
        <v>5873</v>
      </c>
      <c r="K54" s="49">
        <v>19</v>
      </c>
      <c r="L54" s="63">
        <v>6161</v>
      </c>
      <c r="M54" s="106"/>
      <c r="O54" s="81">
        <v>42583</v>
      </c>
      <c r="P54" s="77">
        <f>D65</f>
        <v>5707.9761904761908</v>
      </c>
      <c r="Q54" s="79">
        <f>P54/P53-1</f>
        <v>-3.9650206503146546E-2</v>
      </c>
      <c r="R54" s="80">
        <f>D67</f>
        <v>22946.064285714285</v>
      </c>
      <c r="S54" s="79">
        <f t="shared" si="0"/>
        <v>2.0811277362529523E-2</v>
      </c>
      <c r="T54" s="104">
        <f>R54/R46-1</f>
        <v>0.27992564770168582</v>
      </c>
      <c r="U54" s="106"/>
    </row>
    <row r="55" spans="1:21" x14ac:dyDescent="0.35">
      <c r="A55" s="41">
        <v>22</v>
      </c>
      <c r="B55" s="63">
        <v>6007.5</v>
      </c>
      <c r="C55" s="41">
        <v>21</v>
      </c>
      <c r="D55" s="63">
        <v>5696.5</v>
      </c>
      <c r="E55" s="41">
        <v>23</v>
      </c>
      <c r="F55" s="63">
        <v>5695</v>
      </c>
      <c r="G55" s="41">
        <v>21</v>
      </c>
      <c r="H55" s="63">
        <v>5820</v>
      </c>
      <c r="I55" s="49">
        <v>21</v>
      </c>
      <c r="J55" s="63">
        <v>5813</v>
      </c>
      <c r="K55" s="49">
        <v>20</v>
      </c>
      <c r="L55" s="63">
        <v>6155.5</v>
      </c>
      <c r="O55" s="81">
        <v>42614</v>
      </c>
      <c r="P55" s="77">
        <f>F65</f>
        <v>5749.6</v>
      </c>
      <c r="Q55" s="79">
        <f>P55/P54-1</f>
        <v>7.2922184912507237E-3</v>
      </c>
      <c r="R55" s="80">
        <f>F67</f>
        <v>23690.076880000004</v>
      </c>
      <c r="S55" s="79">
        <f t="shared" si="0"/>
        <v>3.2424409912811258E-2</v>
      </c>
      <c r="T55" s="104">
        <f>R55/R46-1</f>
        <v>0.32142648156068598</v>
      </c>
    </row>
    <row r="56" spans="1:21" x14ac:dyDescent="0.35">
      <c r="A56" s="41">
        <v>23</v>
      </c>
      <c r="B56" s="63">
        <v>5968.5</v>
      </c>
      <c r="C56" s="41">
        <v>22</v>
      </c>
      <c r="D56" s="63">
        <v>5668</v>
      </c>
      <c r="E56" s="41">
        <v>24</v>
      </c>
      <c r="F56" s="63">
        <v>5761</v>
      </c>
      <c r="G56" s="41">
        <v>22</v>
      </c>
      <c r="H56" s="63">
        <v>5794</v>
      </c>
      <c r="I56" s="49">
        <v>22</v>
      </c>
      <c r="J56" s="63">
        <v>5834</v>
      </c>
      <c r="K56" s="49">
        <v>23</v>
      </c>
      <c r="L56" s="63">
        <v>6153</v>
      </c>
      <c r="O56" s="81">
        <v>42644</v>
      </c>
      <c r="P56" s="77">
        <f>H65</f>
        <v>5742.891304347826</v>
      </c>
      <c r="Q56" s="79">
        <f>P56/P55-1</f>
        <v>-1.1668108480893391E-3</v>
      </c>
      <c r="R56" s="80">
        <f>H67</f>
        <v>23511.397000000001</v>
      </c>
      <c r="S56" s="79">
        <f t="shared" si="0"/>
        <v>-7.5423934208863619E-3</v>
      </c>
      <c r="T56" s="104">
        <f>R56/R46-1</f>
        <v>0.31145976315997759</v>
      </c>
    </row>
    <row r="57" spans="1:21" x14ac:dyDescent="0.35">
      <c r="A57" s="41">
        <v>24</v>
      </c>
      <c r="B57" s="63">
        <v>5980</v>
      </c>
      <c r="C57" s="41">
        <v>23</v>
      </c>
      <c r="D57" s="63">
        <v>5675</v>
      </c>
      <c r="E57" s="41">
        <v>25</v>
      </c>
      <c r="F57" s="63">
        <v>5718.5</v>
      </c>
      <c r="G57" s="41">
        <v>23</v>
      </c>
      <c r="H57" s="63">
        <v>5773</v>
      </c>
      <c r="I57" s="49">
        <v>25</v>
      </c>
      <c r="J57" s="63">
        <v>5872.5</v>
      </c>
      <c r="K57" s="49">
        <v>24</v>
      </c>
      <c r="L57" s="63">
        <v>6184.5</v>
      </c>
      <c r="O57" s="81">
        <v>42675</v>
      </c>
      <c r="P57" s="77">
        <f>J65</f>
        <v>5859.6904761904761</v>
      </c>
      <c r="Q57" s="79">
        <f>P57/P56-1</f>
        <v>2.0338043269985562E-2</v>
      </c>
      <c r="R57" s="80">
        <f>J67</f>
        <v>24345.402513690475</v>
      </c>
      <c r="S57" s="79">
        <f>R57/R56-1</f>
        <v>3.5472392971394928E-2</v>
      </c>
      <c r="T57" s="104">
        <f>R57/R46-1</f>
        <v>0.35798037924496073</v>
      </c>
    </row>
    <row r="58" spans="1:21" x14ac:dyDescent="0.35">
      <c r="A58" s="41">
        <v>25</v>
      </c>
      <c r="B58" s="63">
        <v>6010</v>
      </c>
      <c r="C58" s="41">
        <v>27</v>
      </c>
      <c r="D58" s="63">
        <v>5662</v>
      </c>
      <c r="E58" s="41">
        <v>26</v>
      </c>
      <c r="F58" s="63">
        <v>5757</v>
      </c>
      <c r="G58" s="41">
        <v>24</v>
      </c>
      <c r="H58" s="63">
        <v>5869</v>
      </c>
      <c r="I58" s="49">
        <v>26</v>
      </c>
      <c r="J58" s="63">
        <v>5856</v>
      </c>
      <c r="K58" s="49">
        <v>27</v>
      </c>
      <c r="L58" s="63">
        <v>6211</v>
      </c>
      <c r="O58" s="81" t="s">
        <v>83</v>
      </c>
      <c r="P58" s="115">
        <f>P57/P46-1</f>
        <v>0.26586530053801605</v>
      </c>
      <c r="Q58" s="79" t="s">
        <v>103</v>
      </c>
      <c r="R58" s="80"/>
      <c r="S58" s="126">
        <f>R57/R46-1</f>
        <v>0.35798037924496073</v>
      </c>
      <c r="T58" t="s">
        <v>104</v>
      </c>
    </row>
    <row r="59" spans="1:21" x14ac:dyDescent="0.35">
      <c r="A59" s="41">
        <v>26</v>
      </c>
      <c r="B59" s="63">
        <v>5945</v>
      </c>
      <c r="C59" s="41">
        <v>28</v>
      </c>
      <c r="D59" s="63">
        <v>5653</v>
      </c>
      <c r="E59" s="41">
        <v>27</v>
      </c>
      <c r="F59" s="63">
        <v>5714</v>
      </c>
      <c r="G59" s="41">
        <v>25</v>
      </c>
      <c r="H59" s="63">
        <v>5867.5</v>
      </c>
      <c r="I59" s="49">
        <v>27</v>
      </c>
      <c r="J59" s="63">
        <v>5925.5</v>
      </c>
      <c r="K59" s="71">
        <v>30</v>
      </c>
      <c r="L59" s="213">
        <v>6183.5</v>
      </c>
      <c r="P59" s="79"/>
    </row>
    <row r="60" spans="1:21" x14ac:dyDescent="0.35">
      <c r="A60" s="41">
        <v>27</v>
      </c>
      <c r="B60" s="63">
        <v>5949.5</v>
      </c>
      <c r="C60" s="41">
        <v>29</v>
      </c>
      <c r="D60" s="63">
        <v>5722</v>
      </c>
      <c r="E60" s="42">
        <v>30</v>
      </c>
      <c r="F60" s="64">
        <v>5728</v>
      </c>
      <c r="G60" s="41">
        <v>28</v>
      </c>
      <c r="H60" s="63">
        <v>5888.5</v>
      </c>
      <c r="I60" s="49">
        <v>28</v>
      </c>
      <c r="J60" s="63">
        <v>5881.5</v>
      </c>
      <c r="K60" s="212">
        <v>31</v>
      </c>
      <c r="L60" s="64">
        <v>6156</v>
      </c>
    </row>
    <row r="61" spans="1:21" x14ac:dyDescent="0.35">
      <c r="A61" s="41">
        <v>30</v>
      </c>
      <c r="B61" s="63">
        <v>5943</v>
      </c>
      <c r="C61" s="42">
        <v>30</v>
      </c>
      <c r="D61" s="63">
        <v>5678</v>
      </c>
      <c r="E61" s="41"/>
      <c r="F61" s="63"/>
      <c r="G61" s="41">
        <v>29</v>
      </c>
      <c r="H61" s="63">
        <v>5879.5</v>
      </c>
      <c r="I61" s="42">
        <v>29</v>
      </c>
      <c r="J61" s="64">
        <v>5854</v>
      </c>
      <c r="K61" s="49"/>
      <c r="L61" s="63"/>
    </row>
    <row r="62" spans="1:21" x14ac:dyDescent="0.35">
      <c r="A62" s="42">
        <v>31</v>
      </c>
      <c r="B62" s="64"/>
      <c r="C62" s="394"/>
      <c r="D62" s="395"/>
      <c r="E62" s="394"/>
      <c r="F62" s="395"/>
      <c r="G62" s="41">
        <v>30</v>
      </c>
      <c r="H62" s="63">
        <v>5883</v>
      </c>
      <c r="I62" s="394"/>
      <c r="J62" s="395"/>
      <c r="K62" s="394"/>
      <c r="L62" s="395"/>
    </row>
    <row r="63" spans="1:21" x14ac:dyDescent="0.35">
      <c r="A63" s="117"/>
      <c r="B63" s="118"/>
      <c r="C63" s="394"/>
      <c r="D63" s="395"/>
      <c r="E63" s="394"/>
      <c r="F63" s="395"/>
      <c r="G63" s="42">
        <v>31</v>
      </c>
      <c r="H63" s="64">
        <v>5825</v>
      </c>
      <c r="I63" s="394"/>
      <c r="J63" s="395"/>
      <c r="K63" s="394"/>
      <c r="L63" s="395"/>
    </row>
    <row r="64" spans="1:21" ht="15" thickBot="1" x14ac:dyDescent="0.4">
      <c r="A64" s="384">
        <f>B65/L28-1</f>
        <v>1.2817384075430205E-2</v>
      </c>
      <c r="B64" s="385"/>
      <c r="C64" s="384">
        <f>D65/B65-1</f>
        <v>-3.9650206503146546E-2</v>
      </c>
      <c r="D64" s="385"/>
      <c r="E64" s="384">
        <f>F65/D65-1</f>
        <v>7.2922184912507237E-3</v>
      </c>
      <c r="F64" s="385"/>
      <c r="G64" s="384">
        <f>H65/F65-1</f>
        <v>-1.1668108480893391E-3</v>
      </c>
      <c r="H64" s="385"/>
      <c r="I64" s="384">
        <f>J65/H65-1</f>
        <v>2.0338043269985562E-2</v>
      </c>
      <c r="J64" s="385"/>
      <c r="K64" s="384">
        <f>L65/J65-1</f>
        <v>3.459816258781756E-2</v>
      </c>
      <c r="L64" s="385"/>
    </row>
    <row r="65" spans="1:16" ht="15" thickBot="1" x14ac:dyDescent="0.4">
      <c r="A65" s="65" t="s">
        <v>10</v>
      </c>
      <c r="B65" s="66">
        <f>AVERAGE(B41:B62)</f>
        <v>5943.6428571428569</v>
      </c>
      <c r="C65" s="55" t="s">
        <v>10</v>
      </c>
      <c r="D65" s="66">
        <f>AVERAGE(D41:D63)</f>
        <v>5707.9761904761908</v>
      </c>
      <c r="E65" s="55" t="s">
        <v>10</v>
      </c>
      <c r="F65" s="66">
        <f>AVERAGE(F41:F60)</f>
        <v>5749.6</v>
      </c>
      <c r="G65" s="55" t="s">
        <v>10</v>
      </c>
      <c r="H65" s="66">
        <f>AVERAGE(H41:H63)</f>
        <v>5742.891304347826</v>
      </c>
      <c r="I65" s="56" t="s">
        <v>10</v>
      </c>
      <c r="J65" s="66">
        <f>AVERAGE(J41:J62)</f>
        <v>5859.6904761904761</v>
      </c>
      <c r="K65" s="55" t="s">
        <v>10</v>
      </c>
      <c r="L65" s="66">
        <f>AVERAGE(L41:L60)</f>
        <v>6062.4250000000002</v>
      </c>
    </row>
    <row r="66" spans="1:16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16" ht="15" thickBot="1" x14ac:dyDescent="0.4">
      <c r="A67" s="67" t="s">
        <v>11</v>
      </c>
      <c r="B67" s="67">
        <f>B65*A68</f>
        <v>22478.26292142857</v>
      </c>
      <c r="C67" s="67" t="s">
        <v>11</v>
      </c>
      <c r="D67" s="99">
        <f>D65*C68</f>
        <v>22946.064285714285</v>
      </c>
      <c r="E67" s="67" t="s">
        <v>11</v>
      </c>
      <c r="F67" s="67">
        <f>F65*E68</f>
        <v>23690.076880000004</v>
      </c>
      <c r="G67" s="67" t="s">
        <v>11</v>
      </c>
      <c r="H67" s="67">
        <f>H65*G68</f>
        <v>23511.397000000001</v>
      </c>
      <c r="I67" s="67" t="s">
        <v>11</v>
      </c>
      <c r="J67" s="67">
        <f>J65*I68</f>
        <v>24345.402513690475</v>
      </c>
      <c r="K67" s="67" t="s">
        <v>11</v>
      </c>
      <c r="L67" s="67">
        <f>L65*K68</f>
        <v>24910.042425952386</v>
      </c>
      <c r="M67" s="79"/>
    </row>
    <row r="68" spans="1:16" ht="15" thickBot="1" x14ac:dyDescent="0.4">
      <c r="A68" s="67">
        <v>3.7818999999999998</v>
      </c>
      <c r="B68" s="73">
        <f>B67/L29-1</f>
        <v>-8.830621080380463E-3</v>
      </c>
      <c r="C68" s="67">
        <v>4.0199999999999996</v>
      </c>
      <c r="D68" s="73">
        <f>D67/B67-1</f>
        <v>2.0811277362529523E-2</v>
      </c>
      <c r="E68" s="67">
        <v>4.1203000000000003</v>
      </c>
      <c r="F68" s="73">
        <f>F67/D67-1</f>
        <v>3.2424409912811258E-2</v>
      </c>
      <c r="G68" s="67">
        <v>4.0940000000000003</v>
      </c>
      <c r="H68" s="73">
        <f>H67/F67-1</f>
        <v>-7.5423934208863619E-3</v>
      </c>
      <c r="I68" s="67">
        <v>4.154725</v>
      </c>
      <c r="J68" s="73">
        <f>J67/H67-1</f>
        <v>3.5472392971394928E-2</v>
      </c>
      <c r="K68" s="67">
        <v>4.1089238095238105</v>
      </c>
      <c r="L68" s="73">
        <f>L67/J67-1</f>
        <v>2.3192876435063736E-2</v>
      </c>
      <c r="O68" s="125"/>
    </row>
    <row r="69" spans="1:16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16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16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16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16" x14ac:dyDescent="0.35">
      <c r="F73" s="81"/>
      <c r="G73" s="81"/>
      <c r="H73" s="95"/>
      <c r="I73" s="96"/>
      <c r="J73" s="97"/>
      <c r="K73" s="96"/>
    </row>
  </sheetData>
  <mergeCells count="66">
    <mergeCell ref="K25:L25"/>
    <mergeCell ref="A1:L1"/>
    <mergeCell ref="A2:B2"/>
    <mergeCell ref="C2:D2"/>
    <mergeCell ref="E2:F2"/>
    <mergeCell ref="G2:H2"/>
    <mergeCell ref="I2:J2"/>
    <mergeCell ref="K2:L2"/>
    <mergeCell ref="C24:D24"/>
    <mergeCell ref="G24:H24"/>
    <mergeCell ref="C25:D25"/>
    <mergeCell ref="G25:H25"/>
    <mergeCell ref="I25:J25"/>
    <mergeCell ref="K24:L24"/>
    <mergeCell ref="K27:L27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A31:L31"/>
    <mergeCell ref="A32:B32"/>
    <mergeCell ref="C32:D32"/>
    <mergeCell ref="E32:F32"/>
    <mergeCell ref="G32:H32"/>
    <mergeCell ref="I32:J32"/>
    <mergeCell ref="K32:L3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K64:L64"/>
    <mergeCell ref="E62:F62"/>
    <mergeCell ref="K62:L62"/>
    <mergeCell ref="C63:D63"/>
    <mergeCell ref="E63:F63"/>
    <mergeCell ref="I63:J63"/>
    <mergeCell ref="K63:L63"/>
    <mergeCell ref="C62:D62"/>
    <mergeCell ref="I62:J62"/>
    <mergeCell ref="A64:B64"/>
    <mergeCell ref="C64:D64"/>
    <mergeCell ref="E64:F64"/>
    <mergeCell ref="G64:H64"/>
    <mergeCell ref="I64:J64"/>
    <mergeCell ref="A69:L69"/>
    <mergeCell ref="A66:B66"/>
    <mergeCell ref="C66:D66"/>
    <mergeCell ref="E66:F66"/>
    <mergeCell ref="G66:H66"/>
    <mergeCell ref="I66:J66"/>
    <mergeCell ref="K66:L6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>
      <selection activeCell="D22" sqref="D22"/>
    </sheetView>
  </sheetViews>
  <sheetFormatPr defaultRowHeight="14.5" x14ac:dyDescent="0.35"/>
  <sheetData>
    <row r="1" spans="1:4" x14ac:dyDescent="0.35">
      <c r="A1" s="214">
        <v>4.2260999999999997</v>
      </c>
    </row>
    <row r="2" spans="1:4" x14ac:dyDescent="0.35">
      <c r="A2" s="215">
        <v>43802</v>
      </c>
      <c r="B2" s="216" t="s">
        <v>229</v>
      </c>
      <c r="C2" s="216">
        <v>4.2001999999999997</v>
      </c>
      <c r="D2" s="216">
        <v>4.2008000000000001</v>
      </c>
    </row>
    <row r="3" spans="1:4" x14ac:dyDescent="0.35">
      <c r="A3" s="217">
        <v>43803</v>
      </c>
      <c r="B3" s="214" t="s">
        <v>229</v>
      </c>
      <c r="C3" s="214">
        <v>4.1920000000000002</v>
      </c>
      <c r="D3" s="214">
        <v>4.1925999999999997</v>
      </c>
    </row>
    <row r="4" spans="1:4" x14ac:dyDescent="0.35">
      <c r="A4" s="215">
        <v>43804</v>
      </c>
      <c r="B4" s="216" t="s">
        <v>229</v>
      </c>
      <c r="C4" s="216">
        <v>4.2130000000000001</v>
      </c>
      <c r="D4" s="216">
        <v>4.2135999999999996</v>
      </c>
    </row>
    <row r="5" spans="1:4" x14ac:dyDescent="0.35">
      <c r="A5" s="217">
        <v>43805</v>
      </c>
      <c r="B5" s="214" t="s">
        <v>229</v>
      </c>
      <c r="C5" s="214">
        <v>4.1776999999999997</v>
      </c>
      <c r="D5" s="214">
        <v>4.1783000000000001</v>
      </c>
    </row>
    <row r="6" spans="1:4" x14ac:dyDescent="0.35">
      <c r="A6" s="215">
        <v>43808</v>
      </c>
      <c r="B6" s="216" t="s">
        <v>229</v>
      </c>
      <c r="C6" s="216">
        <v>4.1497000000000002</v>
      </c>
      <c r="D6" s="216">
        <v>4.1502999999999997</v>
      </c>
    </row>
    <row r="7" spans="1:4" x14ac:dyDescent="0.35">
      <c r="A7" s="217">
        <v>43809</v>
      </c>
      <c r="B7" s="214" t="s">
        <v>229</v>
      </c>
      <c r="C7" s="214">
        <v>4.1421000000000001</v>
      </c>
      <c r="D7" s="214">
        <v>4.1426999999999996</v>
      </c>
    </row>
    <row r="8" spans="1:4" x14ac:dyDescent="0.35">
      <c r="A8" s="215">
        <v>43810</v>
      </c>
      <c r="B8" s="216" t="s">
        <v>229</v>
      </c>
      <c r="C8" s="216">
        <v>4.1147</v>
      </c>
      <c r="D8" s="216">
        <v>4.1153000000000004</v>
      </c>
    </row>
    <row r="9" spans="1:4" x14ac:dyDescent="0.35">
      <c r="A9" s="217">
        <v>43811</v>
      </c>
      <c r="B9" s="214" t="s">
        <v>229</v>
      </c>
      <c r="C9" s="214">
        <v>4.1086</v>
      </c>
      <c r="D9" s="214">
        <v>4.1092000000000004</v>
      </c>
    </row>
    <row r="10" spans="1:4" x14ac:dyDescent="0.35">
      <c r="A10" s="215">
        <v>43812</v>
      </c>
      <c r="B10" s="216" t="s">
        <v>229</v>
      </c>
      <c r="C10" s="216">
        <v>4.0942999999999996</v>
      </c>
      <c r="D10" s="216">
        <v>4.0949</v>
      </c>
    </row>
    <row r="11" spans="1:4" x14ac:dyDescent="0.35">
      <c r="A11" s="217">
        <v>43815</v>
      </c>
      <c r="B11" s="214" t="s">
        <v>229</v>
      </c>
      <c r="C11" s="214">
        <v>4.0795000000000003</v>
      </c>
      <c r="D11" s="214">
        <v>4.0800999999999998</v>
      </c>
    </row>
    <row r="12" spans="1:4" x14ac:dyDescent="0.35">
      <c r="A12" s="215">
        <v>43816</v>
      </c>
      <c r="B12" s="216" t="s">
        <v>229</v>
      </c>
      <c r="C12" s="216">
        <v>4.0681000000000003</v>
      </c>
      <c r="D12" s="216">
        <v>4.0686999999999998</v>
      </c>
    </row>
    <row r="13" spans="1:4" x14ac:dyDescent="0.35">
      <c r="A13" s="217">
        <v>43817</v>
      </c>
      <c r="B13" s="214" t="s">
        <v>229</v>
      </c>
      <c r="C13" s="214">
        <v>4.0541999999999998</v>
      </c>
      <c r="D13" s="214">
        <v>4.0548000000000002</v>
      </c>
    </row>
    <row r="14" spans="1:4" x14ac:dyDescent="0.35">
      <c r="A14" s="215">
        <v>43818</v>
      </c>
      <c r="B14" s="216" t="s">
        <v>229</v>
      </c>
      <c r="C14" s="216">
        <v>4.0627000000000004</v>
      </c>
      <c r="D14" s="216">
        <v>4.0632999999999999</v>
      </c>
    </row>
    <row r="15" spans="1:4" x14ac:dyDescent="0.35">
      <c r="A15" s="217">
        <v>43819</v>
      </c>
      <c r="B15" s="214" t="s">
        <v>229</v>
      </c>
      <c r="C15" s="214">
        <v>4.0770999999999997</v>
      </c>
      <c r="D15" s="214">
        <v>4.0777000000000001</v>
      </c>
    </row>
    <row r="16" spans="1:4" x14ac:dyDescent="0.35">
      <c r="A16" s="215">
        <v>43822</v>
      </c>
      <c r="B16" s="216" t="s">
        <v>229</v>
      </c>
      <c r="C16" s="216">
        <v>4.0750999999999999</v>
      </c>
      <c r="D16" s="216">
        <v>4.0757000000000003</v>
      </c>
    </row>
    <row r="17" spans="1:4" x14ac:dyDescent="0.35">
      <c r="A17" s="217">
        <v>43823</v>
      </c>
      <c r="B17" s="214" t="s">
        <v>229</v>
      </c>
      <c r="C17" s="214">
        <v>4.0792999999999999</v>
      </c>
      <c r="D17" s="214">
        <v>4.0812999999999997</v>
      </c>
    </row>
    <row r="18" spans="1:4" x14ac:dyDescent="0.35">
      <c r="A18" s="215">
        <v>43825</v>
      </c>
      <c r="B18" s="216" t="s">
        <v>229</v>
      </c>
      <c r="C18" s="216">
        <v>4.0594999999999999</v>
      </c>
      <c r="D18" s="216">
        <v>4.0601000000000003</v>
      </c>
    </row>
    <row r="19" spans="1:4" x14ac:dyDescent="0.35">
      <c r="A19" s="217">
        <v>43826</v>
      </c>
      <c r="B19" s="214" t="s">
        <v>229</v>
      </c>
      <c r="C19" s="214">
        <v>4.0538999999999996</v>
      </c>
      <c r="D19" s="214">
        <v>4.0545</v>
      </c>
    </row>
    <row r="20" spans="1:4" x14ac:dyDescent="0.35">
      <c r="A20" s="215">
        <v>43829</v>
      </c>
      <c r="B20" s="216" t="s">
        <v>229</v>
      </c>
      <c r="C20" s="216">
        <v>4.0301</v>
      </c>
      <c r="D20" s="216">
        <v>4.0307000000000004</v>
      </c>
    </row>
    <row r="21" spans="1:4" x14ac:dyDescent="0.35">
      <c r="A21" s="217">
        <v>43830</v>
      </c>
      <c r="B21" s="214" t="s">
        <v>229</v>
      </c>
      <c r="C21" s="214">
        <v>4.0301</v>
      </c>
      <c r="D21" s="214">
        <v>4.0307000000000004</v>
      </c>
    </row>
    <row r="22" spans="1:4" x14ac:dyDescent="0.35">
      <c r="D22">
        <f>AVERAGE(D2:D21)</f>
        <v>4.1037650000000001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73"/>
  <sheetViews>
    <sheetView topLeftCell="A25" workbookViewId="0">
      <selection activeCell="E68" sqref="E68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7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</cols>
  <sheetData>
    <row r="1" spans="1:20" ht="15" thickBot="1" x14ac:dyDescent="0.4">
      <c r="A1" s="381" t="s">
        <v>189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230</v>
      </c>
      <c r="B2" s="397"/>
      <c r="C2" s="405" t="s">
        <v>231</v>
      </c>
      <c r="D2" s="406"/>
      <c r="E2" s="405" t="s">
        <v>232</v>
      </c>
      <c r="F2" s="406"/>
      <c r="G2" s="405" t="s">
        <v>233</v>
      </c>
      <c r="H2" s="406"/>
      <c r="I2" s="401" t="s">
        <v>234</v>
      </c>
      <c r="J2" s="402"/>
      <c r="K2" s="405" t="s">
        <v>235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2</v>
      </c>
      <c r="B4" s="63">
        <v>6165.5</v>
      </c>
      <c r="C4" s="41">
        <v>3</v>
      </c>
      <c r="D4" s="63">
        <v>5595</v>
      </c>
      <c r="E4" s="41">
        <v>2</v>
      </c>
      <c r="F4" s="63">
        <v>5640</v>
      </c>
      <c r="G4" s="41">
        <v>1</v>
      </c>
      <c r="H4" s="63">
        <v>4772</v>
      </c>
      <c r="I4" s="49">
        <v>1</v>
      </c>
      <c r="J4" s="63">
        <v>5061</v>
      </c>
      <c r="K4" s="41">
        <v>1</v>
      </c>
      <c r="L4" s="63">
        <v>5376.5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3</v>
      </c>
      <c r="B5" s="63">
        <v>6077</v>
      </c>
      <c r="C5" s="41">
        <v>4</v>
      </c>
      <c r="D5" s="63">
        <v>5652</v>
      </c>
      <c r="E5" s="41">
        <v>3</v>
      </c>
      <c r="F5" s="63">
        <v>5668</v>
      </c>
      <c r="G5" s="41">
        <v>2</v>
      </c>
      <c r="H5" s="63">
        <v>4821.5</v>
      </c>
      <c r="I5" s="49">
        <v>4</v>
      </c>
      <c r="J5" s="63">
        <v>5058</v>
      </c>
      <c r="K5" s="41">
        <v>2</v>
      </c>
      <c r="L5" s="63">
        <v>5463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6</v>
      </c>
      <c r="B6" s="63">
        <v>6097.5</v>
      </c>
      <c r="C6" s="41">
        <v>5</v>
      </c>
      <c r="D6" s="63">
        <v>5714</v>
      </c>
      <c r="E6" s="41">
        <v>4</v>
      </c>
      <c r="F6" s="63">
        <v>5694.5</v>
      </c>
      <c r="G6" s="41">
        <v>3</v>
      </c>
      <c r="H6" s="63">
        <v>4863.5</v>
      </c>
      <c r="I6" s="49">
        <v>5</v>
      </c>
      <c r="J6" s="63">
        <v>5111.5</v>
      </c>
      <c r="K6" s="41">
        <v>3</v>
      </c>
      <c r="L6" s="63">
        <v>5499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v>6134.5</v>
      </c>
      <c r="C7" s="41">
        <v>6</v>
      </c>
      <c r="D7" s="63">
        <v>5726</v>
      </c>
      <c r="E7" s="41">
        <v>5</v>
      </c>
      <c r="F7" s="63">
        <v>5667.5</v>
      </c>
      <c r="G7" s="41">
        <v>6</v>
      </c>
      <c r="H7" s="63">
        <v>4867</v>
      </c>
      <c r="I7" s="49">
        <v>6</v>
      </c>
      <c r="J7" s="63">
        <v>5199.5</v>
      </c>
      <c r="K7" s="41">
        <v>4</v>
      </c>
      <c r="L7" s="63">
        <v>5452.5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v>6154</v>
      </c>
      <c r="C8" s="41">
        <v>7</v>
      </c>
      <c r="D8" s="63">
        <v>5653</v>
      </c>
      <c r="E8" s="41">
        <v>6</v>
      </c>
      <c r="F8" s="63">
        <v>5624</v>
      </c>
      <c r="G8" s="41">
        <v>7</v>
      </c>
      <c r="H8" s="63">
        <v>5067.5</v>
      </c>
      <c r="I8" s="49">
        <v>7</v>
      </c>
      <c r="J8" s="63">
        <v>5227.5</v>
      </c>
      <c r="K8" s="41">
        <v>5</v>
      </c>
      <c r="L8" s="63">
        <v>5588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9</v>
      </c>
      <c r="B9" s="63">
        <v>6156</v>
      </c>
      <c r="C9" s="41">
        <v>10</v>
      </c>
      <c r="D9" s="63">
        <v>5659.5</v>
      </c>
      <c r="E9" s="41">
        <v>9</v>
      </c>
      <c r="F9" s="63">
        <v>5483</v>
      </c>
      <c r="G9" s="41">
        <v>8</v>
      </c>
      <c r="H9" s="63">
        <v>4976</v>
      </c>
      <c r="I9" s="49">
        <v>11</v>
      </c>
      <c r="J9" s="63">
        <v>5231</v>
      </c>
      <c r="K9" s="41">
        <v>8</v>
      </c>
      <c r="L9" s="63">
        <v>5659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10</v>
      </c>
      <c r="B10" s="63">
        <v>6157</v>
      </c>
      <c r="C10" s="41">
        <v>11</v>
      </c>
      <c r="D10" s="63">
        <v>5696</v>
      </c>
      <c r="E10" s="41">
        <v>10</v>
      </c>
      <c r="F10" s="63">
        <v>5598</v>
      </c>
      <c r="G10" s="41">
        <v>9</v>
      </c>
      <c r="H10" s="63">
        <v>4963.5</v>
      </c>
      <c r="I10" s="49">
        <v>12</v>
      </c>
      <c r="J10" s="63">
        <v>5234</v>
      </c>
      <c r="K10" s="41">
        <v>9</v>
      </c>
      <c r="L10" s="63">
        <v>5680.5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13</v>
      </c>
      <c r="B11" s="63">
        <v>6177</v>
      </c>
      <c r="C11" s="41">
        <v>12</v>
      </c>
      <c r="D11" s="63">
        <v>5747</v>
      </c>
      <c r="E11" s="41">
        <v>11</v>
      </c>
      <c r="F11" s="63">
        <v>5552</v>
      </c>
      <c r="G11" s="41">
        <v>14</v>
      </c>
      <c r="H11" s="63">
        <v>5119</v>
      </c>
      <c r="I11" s="49">
        <v>13</v>
      </c>
      <c r="J11" s="63">
        <v>5212.5</v>
      </c>
      <c r="K11" s="41">
        <v>10</v>
      </c>
      <c r="L11" s="63">
        <v>5801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v>6247</v>
      </c>
      <c r="C12" s="41">
        <v>13</v>
      </c>
      <c r="D12" s="63">
        <v>5716</v>
      </c>
      <c r="E12" s="41">
        <v>12</v>
      </c>
      <c r="F12" s="63">
        <v>5386.5</v>
      </c>
      <c r="G12" s="41">
        <v>15</v>
      </c>
      <c r="H12" s="63">
        <v>5054.5</v>
      </c>
      <c r="I12" s="49">
        <v>14</v>
      </c>
      <c r="J12" s="63">
        <v>5155.5</v>
      </c>
      <c r="K12" s="41">
        <v>11</v>
      </c>
      <c r="L12" s="63">
        <v>5801.5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15</v>
      </c>
      <c r="B13" s="63">
        <v>6232</v>
      </c>
      <c r="C13" s="41">
        <v>14</v>
      </c>
      <c r="D13" s="63">
        <v>5737</v>
      </c>
      <c r="E13" s="41">
        <v>13</v>
      </c>
      <c r="F13" s="63">
        <v>5530.5</v>
      </c>
      <c r="G13" s="41">
        <v>16</v>
      </c>
      <c r="H13" s="63">
        <v>5098.5</v>
      </c>
      <c r="I13" s="49">
        <v>15</v>
      </c>
      <c r="J13" s="63">
        <v>5165</v>
      </c>
      <c r="K13" s="41">
        <v>12</v>
      </c>
      <c r="L13" s="63">
        <v>5785.5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16</v>
      </c>
      <c r="B14" s="63">
        <v>6300.5</v>
      </c>
      <c r="C14" s="41">
        <v>17</v>
      </c>
      <c r="D14" s="63">
        <v>5802</v>
      </c>
      <c r="E14" s="41">
        <v>16</v>
      </c>
      <c r="F14" s="63">
        <v>5211</v>
      </c>
      <c r="G14" s="41">
        <v>17</v>
      </c>
      <c r="H14" s="63">
        <v>5175.5</v>
      </c>
      <c r="I14" s="49">
        <v>18</v>
      </c>
      <c r="J14" s="63">
        <v>5249.5</v>
      </c>
      <c r="K14" s="41">
        <v>15</v>
      </c>
      <c r="L14" s="63">
        <v>5646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17</v>
      </c>
      <c r="B15" s="63">
        <v>6276.5</v>
      </c>
      <c r="C15" s="41">
        <v>18</v>
      </c>
      <c r="D15" s="63">
        <v>5728</v>
      </c>
      <c r="E15" s="41">
        <v>17</v>
      </c>
      <c r="F15" s="63">
        <v>5205</v>
      </c>
      <c r="G15" s="41">
        <v>20</v>
      </c>
      <c r="H15" s="63">
        <v>5169.5</v>
      </c>
      <c r="I15" s="49">
        <v>19</v>
      </c>
      <c r="J15" s="63">
        <v>5314</v>
      </c>
      <c r="K15" s="41">
        <v>16</v>
      </c>
      <c r="L15" s="63">
        <v>5759.5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20</v>
      </c>
      <c r="B16" s="63">
        <v>6245</v>
      </c>
      <c r="C16" s="41">
        <v>19</v>
      </c>
      <c r="D16" s="63">
        <v>5745.5</v>
      </c>
      <c r="E16" s="41">
        <v>18</v>
      </c>
      <c r="F16" s="63">
        <v>4860.5</v>
      </c>
      <c r="G16" s="41">
        <v>21</v>
      </c>
      <c r="H16" s="63">
        <v>4994.5</v>
      </c>
      <c r="I16" s="49">
        <v>20</v>
      </c>
      <c r="J16" s="63">
        <v>5330</v>
      </c>
      <c r="K16" s="41">
        <v>17</v>
      </c>
      <c r="L16" s="63">
        <v>5734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21</v>
      </c>
      <c r="B17" s="63">
        <v>6158.5</v>
      </c>
      <c r="C17" s="41">
        <v>20</v>
      </c>
      <c r="D17" s="63">
        <v>5730</v>
      </c>
      <c r="E17" s="41">
        <v>19</v>
      </c>
      <c r="F17" s="63">
        <v>4685</v>
      </c>
      <c r="G17" s="179">
        <v>22</v>
      </c>
      <c r="H17" s="180">
        <v>5034</v>
      </c>
      <c r="I17" s="49">
        <v>21</v>
      </c>
      <c r="J17" s="63">
        <v>5387</v>
      </c>
      <c r="K17" s="41">
        <v>18</v>
      </c>
      <c r="L17" s="63">
        <v>5799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22</v>
      </c>
      <c r="B18" s="63">
        <v>6103.5</v>
      </c>
      <c r="C18" s="41">
        <v>21</v>
      </c>
      <c r="D18" s="63">
        <v>5702</v>
      </c>
      <c r="E18" s="41">
        <v>20</v>
      </c>
      <c r="F18" s="63">
        <v>4855</v>
      </c>
      <c r="G18" s="41">
        <v>23</v>
      </c>
      <c r="H18" s="63">
        <v>5120.5</v>
      </c>
      <c r="I18" s="49">
        <v>22</v>
      </c>
      <c r="J18" s="63">
        <v>5242.5</v>
      </c>
      <c r="K18" s="41">
        <v>19</v>
      </c>
      <c r="L18" s="63">
        <v>5835.5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41">
        <v>23</v>
      </c>
      <c r="B19" s="63">
        <v>6050</v>
      </c>
      <c r="C19" s="41">
        <v>24</v>
      </c>
      <c r="D19" s="63">
        <v>5657.5</v>
      </c>
      <c r="E19" s="41">
        <v>23</v>
      </c>
      <c r="F19" s="63">
        <v>4617.5</v>
      </c>
      <c r="G19" s="41">
        <v>24</v>
      </c>
      <c r="H19" s="63">
        <v>5118</v>
      </c>
      <c r="I19" s="49">
        <v>26</v>
      </c>
      <c r="J19" s="63">
        <v>5341.5</v>
      </c>
      <c r="K19" s="41">
        <v>22</v>
      </c>
      <c r="L19" s="63">
        <v>5825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41">
        <v>24</v>
      </c>
      <c r="B20" s="63">
        <v>5968</v>
      </c>
      <c r="C20" s="41">
        <v>25</v>
      </c>
      <c r="D20" s="63">
        <v>5663.5</v>
      </c>
      <c r="E20" s="41">
        <v>24</v>
      </c>
      <c r="F20" s="63">
        <v>4789.5</v>
      </c>
      <c r="G20" s="41">
        <v>27</v>
      </c>
      <c r="H20" s="63">
        <v>5165.5</v>
      </c>
      <c r="I20" s="49">
        <v>27</v>
      </c>
      <c r="J20" s="63">
        <v>5308.5</v>
      </c>
      <c r="K20" s="41">
        <v>23</v>
      </c>
      <c r="L20" s="63">
        <v>5895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27</v>
      </c>
      <c r="B21" s="63">
        <v>5779</v>
      </c>
      <c r="C21" s="41">
        <v>26</v>
      </c>
      <c r="D21" s="63">
        <v>5614</v>
      </c>
      <c r="E21" s="41">
        <v>25</v>
      </c>
      <c r="F21" s="63">
        <v>4754</v>
      </c>
      <c r="G21" s="41">
        <v>28</v>
      </c>
      <c r="H21" s="63">
        <v>5169.5</v>
      </c>
      <c r="I21" s="49">
        <v>28</v>
      </c>
      <c r="J21" s="63">
        <v>5278.5</v>
      </c>
      <c r="K21" s="41">
        <v>24</v>
      </c>
      <c r="L21" s="63">
        <v>5871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28</v>
      </c>
      <c r="B22" s="63">
        <v>5715</v>
      </c>
      <c r="C22" s="41">
        <v>27</v>
      </c>
      <c r="D22" s="63">
        <v>5618</v>
      </c>
      <c r="E22" s="41">
        <v>26</v>
      </c>
      <c r="F22" s="63">
        <v>4775.5</v>
      </c>
      <c r="G22" s="41">
        <v>29</v>
      </c>
      <c r="H22" s="63">
        <v>5184</v>
      </c>
      <c r="I22" s="42">
        <v>29</v>
      </c>
      <c r="J22" s="64">
        <v>5332.5</v>
      </c>
      <c r="K22" s="41">
        <v>25</v>
      </c>
      <c r="L22" s="63">
        <v>5880.5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1">
        <v>29</v>
      </c>
      <c r="B23" s="63">
        <v>5698</v>
      </c>
      <c r="C23" s="42">
        <v>28</v>
      </c>
      <c r="D23" s="64">
        <v>5573</v>
      </c>
      <c r="E23" s="41">
        <v>27</v>
      </c>
      <c r="F23" s="63">
        <v>4774</v>
      </c>
      <c r="G23" s="42">
        <v>30</v>
      </c>
      <c r="H23" s="64">
        <v>5231</v>
      </c>
      <c r="I23" s="394"/>
      <c r="J23" s="395"/>
      <c r="K23" s="41">
        <v>26</v>
      </c>
      <c r="L23" s="63">
        <v>5985.5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41">
        <v>30</v>
      </c>
      <c r="B24" s="63">
        <v>5621</v>
      </c>
      <c r="C24" s="394"/>
      <c r="D24" s="395"/>
      <c r="E24" s="41">
        <v>30</v>
      </c>
      <c r="F24" s="63">
        <v>4763</v>
      </c>
      <c r="G24" s="394"/>
      <c r="H24" s="395"/>
      <c r="I24" s="394"/>
      <c r="J24" s="395"/>
      <c r="K24" s="41">
        <v>29</v>
      </c>
      <c r="L24" s="63">
        <v>5957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42">
        <v>31</v>
      </c>
      <c r="B25" s="64">
        <v>5570</v>
      </c>
      <c r="C25" s="394"/>
      <c r="D25" s="395"/>
      <c r="E25" s="42">
        <v>31</v>
      </c>
      <c r="F25" s="64">
        <v>4797</v>
      </c>
      <c r="G25" s="394"/>
      <c r="H25" s="395"/>
      <c r="I25" s="394"/>
      <c r="J25" s="395"/>
      <c r="K25" s="72">
        <v>30</v>
      </c>
      <c r="L25" s="64">
        <v>6038</v>
      </c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B28/'2018'!L65-1</f>
        <v>-7.38503874569163E-3</v>
      </c>
      <c r="B27" s="385"/>
      <c r="C27" s="384">
        <f>D28/B28-1</f>
        <v>-5.9967313508537901E-2</v>
      </c>
      <c r="D27" s="385"/>
      <c r="E27" s="384">
        <f>F28/D28-1</f>
        <v>-8.9294407199251191E-2</v>
      </c>
      <c r="F27" s="385"/>
      <c r="G27" s="384">
        <f>H28/F28-1</f>
        <v>-2.5186296969218147E-2</v>
      </c>
      <c r="H27" s="385"/>
      <c r="I27" s="384">
        <f>J28/H28-1</f>
        <v>3.6727161835654387E-2</v>
      </c>
      <c r="J27" s="385"/>
      <c r="K27" s="384">
        <f>L28/J28-1</f>
        <v>9.7203233213068341E-2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AVERAGE(B4:B25)</f>
        <v>6049.204545454545</v>
      </c>
      <c r="C28" s="55" t="s">
        <v>10</v>
      </c>
      <c r="D28" s="66">
        <f>AVERAGE(D4:D23)</f>
        <v>5686.45</v>
      </c>
      <c r="E28" s="55" t="s">
        <v>10</v>
      </c>
      <c r="F28" s="66">
        <f>AVERAGE(F4:F25)</f>
        <v>5178.681818181818</v>
      </c>
      <c r="G28" s="55" t="s">
        <v>10</v>
      </c>
      <c r="H28" s="66">
        <f>AVERAGE(H4:H24)</f>
        <v>5048.25</v>
      </c>
      <c r="I28" s="56" t="s">
        <v>10</v>
      </c>
      <c r="J28" s="66">
        <f>AVERAGE(J4:J22)</f>
        <v>5233.6578947368425</v>
      </c>
      <c r="K28" s="55" t="s">
        <v>10</v>
      </c>
      <c r="L28" s="66">
        <f>AVERAGE(L4:L25)</f>
        <v>5742.386363636364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25097.544738636363</v>
      </c>
      <c r="C29" s="67" t="s">
        <v>11</v>
      </c>
      <c r="D29" s="67">
        <f>D28*C30</f>
        <v>24681.467579999997</v>
      </c>
      <c r="E29" s="67" t="s">
        <v>11</v>
      </c>
      <c r="F29" s="67">
        <f>F28*E30</f>
        <v>25126.964181818184</v>
      </c>
      <c r="G29" s="67" t="s">
        <v>11</v>
      </c>
      <c r="H29" s="67">
        <f>H28*G30</f>
        <v>26881.426425000001</v>
      </c>
      <c r="I29" s="67" t="s">
        <v>11</v>
      </c>
      <c r="J29" s="67">
        <f>J28*I30</f>
        <v>29517.830526315789</v>
      </c>
      <c r="K29" s="67" t="s">
        <v>11</v>
      </c>
      <c r="L29" s="67">
        <f>L28*K30</f>
        <v>29837.412200757575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v>4.1489000000000003</v>
      </c>
      <c r="B30" s="73">
        <f>A30/'2019'!K68-1</f>
        <v>9.7291145636557719E-3</v>
      </c>
      <c r="C30" s="67">
        <v>4.3403999999999998</v>
      </c>
      <c r="D30" s="73">
        <f>D29/B29-1</f>
        <v>-1.6578400914087688E-2</v>
      </c>
      <c r="E30" s="67">
        <v>4.8520000000000003</v>
      </c>
      <c r="F30" s="73">
        <f>F29/D29-1</f>
        <v>1.804984247286745E-2</v>
      </c>
      <c r="G30" s="67">
        <v>5.3249000000000004</v>
      </c>
      <c r="H30" s="73">
        <f>H29/F29-1</f>
        <v>6.9823884432936856E-2</v>
      </c>
      <c r="I30" s="67">
        <v>5.64</v>
      </c>
      <c r="J30" s="73">
        <f>J29/H29-1</f>
        <v>9.8075305217579789E-2</v>
      </c>
      <c r="K30" s="67">
        <v>5.1959952380952377</v>
      </c>
      <c r="L30" s="73">
        <f>L29/J29-1</f>
        <v>1.0826733155638646E-2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thickBot="1" x14ac:dyDescent="0.4">
      <c r="A31" s="381">
        <v>3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1" x14ac:dyDescent="0.35">
      <c r="A32" s="405" t="s">
        <v>236</v>
      </c>
      <c r="B32" s="406"/>
      <c r="C32" s="405" t="s">
        <v>237</v>
      </c>
      <c r="D32" s="406"/>
      <c r="E32" s="401" t="s">
        <v>238</v>
      </c>
      <c r="F32" s="402"/>
      <c r="G32" s="405" t="s">
        <v>239</v>
      </c>
      <c r="H32" s="406"/>
      <c r="I32" s="401" t="s">
        <v>240</v>
      </c>
      <c r="J32" s="402"/>
      <c r="K32" s="405" t="s">
        <v>241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1</v>
      </c>
      <c r="B41" s="63">
        <v>6016.5</v>
      </c>
      <c r="C41" s="41">
        <v>3</v>
      </c>
      <c r="D41" s="63">
        <v>6441</v>
      </c>
      <c r="E41" s="250">
        <v>1</v>
      </c>
      <c r="F41" s="63">
        <v>6788.5</v>
      </c>
      <c r="G41" s="41">
        <v>1</v>
      </c>
      <c r="H41" s="63">
        <v>6614</v>
      </c>
      <c r="I41" s="49">
        <v>2</v>
      </c>
      <c r="J41" s="63">
        <v>6712.5</v>
      </c>
      <c r="K41" s="49">
        <v>1</v>
      </c>
      <c r="L41" s="63">
        <v>7644</v>
      </c>
      <c r="O41" s="81" t="e">
        <f>#REF!</f>
        <v>#REF!</v>
      </c>
      <c r="P41" s="77" t="e">
        <f>#REF!</f>
        <v>#REF!</v>
      </c>
      <c r="Q41" s="79" t="e">
        <f>#REF!</f>
        <v>#REF!</v>
      </c>
      <c r="R41" s="98" t="e">
        <f>#REF!</f>
        <v>#REF!</v>
      </c>
      <c r="S41" s="79" t="e">
        <f>#REF!</f>
        <v>#REF!</v>
      </c>
      <c r="T41" s="104" t="e">
        <f>#REF!</f>
        <v>#REF!</v>
      </c>
    </row>
    <row r="42" spans="1:24" x14ac:dyDescent="0.35">
      <c r="A42" s="41">
        <v>2</v>
      </c>
      <c r="B42" s="63">
        <v>6080</v>
      </c>
      <c r="C42" s="41">
        <v>4</v>
      </c>
      <c r="D42" s="63">
        <v>6440</v>
      </c>
      <c r="E42" s="41">
        <v>2</v>
      </c>
      <c r="F42" s="63">
        <v>6719</v>
      </c>
      <c r="G42" s="41">
        <v>2</v>
      </c>
      <c r="H42" s="63">
        <v>6409.5</v>
      </c>
      <c r="I42" s="177">
        <v>3</v>
      </c>
      <c r="J42" s="63">
        <v>6791.5</v>
      </c>
      <c r="K42" s="49">
        <v>2</v>
      </c>
      <c r="L42" s="63">
        <v>7616.5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</row>
    <row r="43" spans="1:24" x14ac:dyDescent="0.35">
      <c r="A43" s="41">
        <v>3</v>
      </c>
      <c r="B43" s="63">
        <v>6022.5</v>
      </c>
      <c r="C43" s="41">
        <v>5</v>
      </c>
      <c r="D43" s="63">
        <v>6525.5</v>
      </c>
      <c r="E43" s="41">
        <v>3</v>
      </c>
      <c r="F43" s="63">
        <v>6613</v>
      </c>
      <c r="G43" s="41">
        <v>5</v>
      </c>
      <c r="H43" s="63">
        <v>6507.5</v>
      </c>
      <c r="I43" s="49">
        <v>4</v>
      </c>
      <c r="J43" s="63">
        <v>6748</v>
      </c>
      <c r="K43" s="49">
        <v>3</v>
      </c>
      <c r="L43" s="63">
        <v>7679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</row>
    <row r="44" spans="1:24" x14ac:dyDescent="0.35">
      <c r="A44" s="41">
        <v>6</v>
      </c>
      <c r="B44" s="63">
        <v>6112</v>
      </c>
      <c r="C44" s="41">
        <v>6</v>
      </c>
      <c r="D44" s="63">
        <v>6453.5</v>
      </c>
      <c r="E44" s="41">
        <v>4</v>
      </c>
      <c r="F44" s="63">
        <v>6678</v>
      </c>
      <c r="G44" s="41">
        <v>6</v>
      </c>
      <c r="H44" s="63">
        <v>6509</v>
      </c>
      <c r="I44" s="49">
        <v>5</v>
      </c>
      <c r="J44" s="63">
        <v>6798</v>
      </c>
      <c r="K44" s="49">
        <v>4</v>
      </c>
      <c r="L44" s="63">
        <v>7741.5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7</v>
      </c>
      <c r="B45" s="63">
        <v>6086</v>
      </c>
      <c r="C45" s="41">
        <v>7</v>
      </c>
      <c r="D45" s="63">
        <v>6437</v>
      </c>
      <c r="E45" s="41">
        <v>7</v>
      </c>
      <c r="F45" s="63">
        <v>6790.5</v>
      </c>
      <c r="G45" s="41">
        <v>7</v>
      </c>
      <c r="H45" s="63">
        <v>6525</v>
      </c>
      <c r="I45" s="49">
        <v>6</v>
      </c>
      <c r="J45" s="63">
        <v>6938.5</v>
      </c>
      <c r="K45" s="49">
        <v>7</v>
      </c>
      <c r="L45" s="63">
        <v>7656.5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8</v>
      </c>
      <c r="B46" s="63">
        <v>6194</v>
      </c>
      <c r="C46" s="41">
        <v>10</v>
      </c>
      <c r="D46" s="63">
        <v>6363</v>
      </c>
      <c r="E46" s="41">
        <v>8</v>
      </c>
      <c r="F46" s="63">
        <v>6767.5</v>
      </c>
      <c r="G46" s="41">
        <v>8</v>
      </c>
      <c r="H46" s="63">
        <v>6611.5</v>
      </c>
      <c r="I46" s="49">
        <v>9</v>
      </c>
      <c r="J46" s="63">
        <v>7034</v>
      </c>
      <c r="K46" s="49">
        <v>8</v>
      </c>
      <c r="L46" s="63">
        <v>7635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9</v>
      </c>
      <c r="B47" s="63">
        <v>6339.5</v>
      </c>
      <c r="C47" s="41">
        <v>11</v>
      </c>
      <c r="D47" s="63">
        <v>6356.5</v>
      </c>
      <c r="E47" s="41">
        <v>9</v>
      </c>
      <c r="F47" s="63">
        <v>6709</v>
      </c>
      <c r="G47" s="41">
        <v>9</v>
      </c>
      <c r="H47" s="63">
        <v>6740.5</v>
      </c>
      <c r="I47" s="49">
        <v>10</v>
      </c>
      <c r="J47" s="63">
        <v>6865.5</v>
      </c>
      <c r="K47" s="49">
        <v>9</v>
      </c>
      <c r="L47" s="63">
        <v>7704.5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80" t="e">
        <f>#REF!</f>
        <v>#REF!</v>
      </c>
      <c r="S47" s="79" t="e">
        <f>#REF!</f>
        <v>#REF!</v>
      </c>
      <c r="T47" s="104" t="e">
        <f>#REF!</f>
        <v>#REF!</v>
      </c>
      <c r="V47" s="81"/>
      <c r="W47" s="81"/>
      <c r="X47" s="81"/>
    </row>
    <row r="48" spans="1:24" x14ac:dyDescent="0.35">
      <c r="A48" s="41">
        <v>10</v>
      </c>
      <c r="B48" s="63">
        <v>6322.5</v>
      </c>
      <c r="C48" s="41">
        <v>12</v>
      </c>
      <c r="D48" s="63">
        <v>6379</v>
      </c>
      <c r="E48" s="41">
        <v>10</v>
      </c>
      <c r="F48" s="63">
        <v>6710.5</v>
      </c>
      <c r="G48" s="41">
        <v>12</v>
      </c>
      <c r="H48" s="63">
        <v>6769</v>
      </c>
      <c r="I48" s="49">
        <v>11</v>
      </c>
      <c r="J48" s="63">
        <v>6912.5</v>
      </c>
      <c r="K48" s="49">
        <v>10</v>
      </c>
      <c r="L48" s="63">
        <v>7712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</row>
    <row r="49" spans="1:21" x14ac:dyDescent="0.35">
      <c r="A49" s="41">
        <v>13</v>
      </c>
      <c r="B49" s="63">
        <v>6545</v>
      </c>
      <c r="C49" s="41">
        <v>13</v>
      </c>
      <c r="D49" s="63">
        <v>6380</v>
      </c>
      <c r="E49" s="41">
        <v>11</v>
      </c>
      <c r="F49" s="63">
        <v>6757.5</v>
      </c>
      <c r="G49" s="41">
        <v>13</v>
      </c>
      <c r="H49" s="63">
        <v>6699.5</v>
      </c>
      <c r="I49" s="49">
        <v>12</v>
      </c>
      <c r="J49" s="63">
        <v>6904</v>
      </c>
      <c r="K49" s="49">
        <v>11</v>
      </c>
      <c r="L49" s="63">
        <v>7741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14</v>
      </c>
      <c r="B50" s="63">
        <v>6489.5</v>
      </c>
      <c r="C50" s="41">
        <v>14</v>
      </c>
      <c r="D50" s="63">
        <v>6342.5</v>
      </c>
      <c r="E50" s="41">
        <v>14</v>
      </c>
      <c r="F50" s="63">
        <v>6788</v>
      </c>
      <c r="G50" s="41">
        <v>14</v>
      </c>
      <c r="H50" s="63">
        <v>6702</v>
      </c>
      <c r="I50" s="49">
        <v>13</v>
      </c>
      <c r="J50" s="63">
        <v>6926</v>
      </c>
      <c r="K50" s="49">
        <v>14</v>
      </c>
      <c r="L50" s="63">
        <v>7763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15</v>
      </c>
      <c r="B51" s="63">
        <v>6507</v>
      </c>
      <c r="C51" s="41">
        <v>17</v>
      </c>
      <c r="D51" s="63">
        <v>6439.5</v>
      </c>
      <c r="E51" s="41">
        <v>15</v>
      </c>
      <c r="F51" s="63">
        <v>6813.5</v>
      </c>
      <c r="G51" s="41">
        <v>15</v>
      </c>
      <c r="H51" s="63">
        <v>6683.5</v>
      </c>
      <c r="I51" s="49">
        <v>16</v>
      </c>
      <c r="J51" s="63">
        <v>7113</v>
      </c>
      <c r="K51" s="49">
        <v>15</v>
      </c>
      <c r="L51" s="63">
        <v>7753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16</v>
      </c>
      <c r="B52" s="63">
        <v>6385</v>
      </c>
      <c r="C52" s="41">
        <v>18</v>
      </c>
      <c r="D52" s="63">
        <v>6492.5</v>
      </c>
      <c r="E52" s="41">
        <v>16</v>
      </c>
      <c r="F52" s="63">
        <v>6776</v>
      </c>
      <c r="G52" s="41">
        <v>16</v>
      </c>
      <c r="H52" s="63">
        <v>6728</v>
      </c>
      <c r="I52" s="49">
        <v>17</v>
      </c>
      <c r="J52" s="63">
        <v>7050</v>
      </c>
      <c r="K52" s="49">
        <v>16</v>
      </c>
      <c r="L52" s="63">
        <v>7823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17</v>
      </c>
      <c r="B53" s="63">
        <v>6454.5</v>
      </c>
      <c r="C53" s="41">
        <v>19</v>
      </c>
      <c r="D53" s="63">
        <v>6667</v>
      </c>
      <c r="E53" s="41">
        <v>17</v>
      </c>
      <c r="F53" s="63">
        <v>6761</v>
      </c>
      <c r="G53" s="41">
        <v>19</v>
      </c>
      <c r="H53" s="63">
        <v>6755</v>
      </c>
      <c r="I53" s="49">
        <v>18</v>
      </c>
      <c r="J53" s="63">
        <v>7083</v>
      </c>
      <c r="K53" s="49">
        <v>17</v>
      </c>
      <c r="L53" s="63">
        <v>7893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20</v>
      </c>
      <c r="B54" s="63">
        <v>6416.5</v>
      </c>
      <c r="C54" s="41">
        <v>20</v>
      </c>
      <c r="D54" s="63">
        <v>6594.5</v>
      </c>
      <c r="E54" s="41">
        <v>18</v>
      </c>
      <c r="F54" s="63">
        <v>6833.5</v>
      </c>
      <c r="G54" s="41">
        <v>20</v>
      </c>
      <c r="H54" s="63">
        <v>6814</v>
      </c>
      <c r="I54" s="49">
        <v>19</v>
      </c>
      <c r="J54" s="63">
        <v>7028</v>
      </c>
      <c r="K54" s="49">
        <v>18</v>
      </c>
      <c r="L54" s="63">
        <v>7964</v>
      </c>
      <c r="M54" s="106"/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  <c r="U54" s="106"/>
    </row>
    <row r="55" spans="1:21" x14ac:dyDescent="0.35">
      <c r="A55" s="41">
        <v>21</v>
      </c>
      <c r="B55" s="63">
        <v>6513</v>
      </c>
      <c r="C55" s="41">
        <v>21</v>
      </c>
      <c r="D55" s="63">
        <v>6564.5</v>
      </c>
      <c r="E55" s="41">
        <v>21</v>
      </c>
      <c r="F55" s="63">
        <v>6833.5</v>
      </c>
      <c r="G55" s="41">
        <v>21</v>
      </c>
      <c r="H55" s="63">
        <v>6953</v>
      </c>
      <c r="I55" s="49">
        <v>20</v>
      </c>
      <c r="J55" s="63">
        <v>7178.5</v>
      </c>
      <c r="K55" s="49">
        <v>21</v>
      </c>
      <c r="L55" s="63">
        <v>7838.5</v>
      </c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</row>
    <row r="56" spans="1:21" x14ac:dyDescent="0.35">
      <c r="A56" s="41">
        <v>22</v>
      </c>
      <c r="B56" s="63">
        <v>6527</v>
      </c>
      <c r="C56" s="41">
        <v>24</v>
      </c>
      <c r="D56" s="63">
        <v>6579.5</v>
      </c>
      <c r="E56" s="41">
        <v>22</v>
      </c>
      <c r="F56" s="63">
        <v>6810</v>
      </c>
      <c r="G56" s="41">
        <v>22</v>
      </c>
      <c r="H56" s="63">
        <v>6886</v>
      </c>
      <c r="I56" s="49">
        <v>23</v>
      </c>
      <c r="J56" s="63">
        <v>7215.5</v>
      </c>
      <c r="K56" s="49">
        <v>22</v>
      </c>
      <c r="L56" s="63">
        <v>7753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23</v>
      </c>
      <c r="B57" s="63">
        <v>6533.5</v>
      </c>
      <c r="C57" s="41">
        <v>25</v>
      </c>
      <c r="D57" s="63">
        <v>6544.5</v>
      </c>
      <c r="E57" s="41">
        <v>23</v>
      </c>
      <c r="F57" s="63">
        <v>6725.5</v>
      </c>
      <c r="G57" s="41">
        <v>23</v>
      </c>
      <c r="H57" s="63">
        <v>6879.5</v>
      </c>
      <c r="I57" s="49">
        <v>24</v>
      </c>
      <c r="J57" s="63">
        <v>7302</v>
      </c>
      <c r="K57" s="49">
        <v>23</v>
      </c>
      <c r="L57" s="63">
        <v>7764.5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24</v>
      </c>
      <c r="B58" s="63">
        <v>6412.5</v>
      </c>
      <c r="C58" s="41">
        <v>26</v>
      </c>
      <c r="D58" s="63">
        <v>6603.5</v>
      </c>
      <c r="E58" s="41">
        <v>24</v>
      </c>
      <c r="F58" s="63">
        <v>6538.5</v>
      </c>
      <c r="G58" s="41">
        <v>26</v>
      </c>
      <c r="H58" s="63">
        <v>6806</v>
      </c>
      <c r="I58" s="49">
        <v>25</v>
      </c>
      <c r="J58" s="63">
        <v>7238.5</v>
      </c>
      <c r="K58" s="49">
        <v>24</v>
      </c>
      <c r="L58" s="63">
        <v>7793</v>
      </c>
      <c r="O58" s="81" t="e">
        <f>#REF!</f>
        <v>#REF!</v>
      </c>
      <c r="P58" s="115" t="e">
        <f>#REF!</f>
        <v>#REF!</v>
      </c>
      <c r="Q58" s="79" t="e">
        <f>#REF!</f>
        <v>#REF!</v>
      </c>
      <c r="R58" s="80" t="e">
        <f>#REF!</f>
        <v>#REF!</v>
      </c>
      <c r="S58" s="126" t="e">
        <f>#REF!</f>
        <v>#REF!</v>
      </c>
      <c r="T58" t="e">
        <f>#REF!</f>
        <v>#REF!</v>
      </c>
    </row>
    <row r="59" spans="1:21" x14ac:dyDescent="0.35">
      <c r="A59" s="41">
        <v>27</v>
      </c>
      <c r="B59" s="63">
        <v>6425.5</v>
      </c>
      <c r="C59" s="41">
        <v>27</v>
      </c>
      <c r="D59" s="63">
        <v>6602.5</v>
      </c>
      <c r="E59" s="41">
        <v>25</v>
      </c>
      <c r="F59" s="63">
        <v>6529</v>
      </c>
      <c r="G59" s="41">
        <v>27</v>
      </c>
      <c r="H59" s="63">
        <v>6787.5</v>
      </c>
      <c r="I59" s="49">
        <v>26</v>
      </c>
      <c r="J59" s="63">
        <v>7356.5</v>
      </c>
      <c r="K59" s="71">
        <v>29</v>
      </c>
      <c r="L59" s="63">
        <v>7840</v>
      </c>
      <c r="O59" t="e">
        <f>#REF!</f>
        <v>#REF!</v>
      </c>
      <c r="P59" s="79" t="e">
        <f>#REF!</f>
        <v>#REF!</v>
      </c>
      <c r="Q59" t="e">
        <f>#REF!</f>
        <v>#REF!</v>
      </c>
      <c r="R59" t="e">
        <f>#REF!</f>
        <v>#REF!</v>
      </c>
      <c r="S59" t="e">
        <f>#REF!</f>
        <v>#REF!</v>
      </c>
      <c r="T59" t="e">
        <f>#REF!</f>
        <v>#REF!</v>
      </c>
    </row>
    <row r="60" spans="1:21" x14ac:dyDescent="0.35">
      <c r="A60" s="41">
        <v>28</v>
      </c>
      <c r="B60" s="63">
        <v>6399.5</v>
      </c>
      <c r="C60" s="41">
        <v>28</v>
      </c>
      <c r="D60" s="63">
        <v>6728</v>
      </c>
      <c r="E60" s="41">
        <v>28</v>
      </c>
      <c r="F60" s="63">
        <v>6571.5</v>
      </c>
      <c r="G60" s="41">
        <v>28</v>
      </c>
      <c r="H60" s="63">
        <v>6694.5</v>
      </c>
      <c r="I60" s="49">
        <v>27</v>
      </c>
      <c r="J60" s="63">
        <v>7462</v>
      </c>
      <c r="K60" s="71">
        <v>30</v>
      </c>
      <c r="L60" s="63">
        <v>7803.5</v>
      </c>
      <c r="O60" t="e">
        <f>#REF!</f>
        <v>#REF!</v>
      </c>
      <c r="P60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1">
        <v>29</v>
      </c>
      <c r="B61" s="63">
        <v>6475</v>
      </c>
      <c r="C61" s="42">
        <v>31</v>
      </c>
      <c r="D61" s="63"/>
      <c r="E61" s="41">
        <v>29</v>
      </c>
      <c r="F61" s="63">
        <v>6546</v>
      </c>
      <c r="G61" s="41">
        <v>29</v>
      </c>
      <c r="H61" s="63">
        <v>6692</v>
      </c>
      <c r="I61" s="42">
        <v>30</v>
      </c>
      <c r="J61" s="64">
        <v>7674.5</v>
      </c>
      <c r="K61" s="212">
        <v>31</v>
      </c>
      <c r="L61" s="64">
        <v>7741.5</v>
      </c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41">
        <v>30</v>
      </c>
      <c r="B62" s="63">
        <v>6433.5</v>
      </c>
      <c r="C62" s="394"/>
      <c r="D62" s="395"/>
      <c r="E62" s="42">
        <v>30</v>
      </c>
      <c r="F62" s="64">
        <v>6610</v>
      </c>
      <c r="G62" s="42">
        <v>30</v>
      </c>
      <c r="H62" s="64">
        <v>6694.5</v>
      </c>
      <c r="I62" s="394"/>
      <c r="J62" s="395"/>
      <c r="K62" s="394"/>
      <c r="L62" s="395"/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42">
        <v>31</v>
      </c>
      <c r="B63" s="64">
        <v>6446.5</v>
      </c>
      <c r="C63" s="394"/>
      <c r="D63" s="395"/>
      <c r="E63" s="394"/>
      <c r="F63" s="395"/>
      <c r="G63" s="394"/>
      <c r="H63" s="395"/>
      <c r="I63" s="394"/>
      <c r="J63" s="395"/>
      <c r="K63" s="394"/>
      <c r="L63" s="395"/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ht="15" thickBot="1" x14ac:dyDescent="0.4">
      <c r="A64" s="384">
        <f>B65/L28-1</f>
        <v>0.10646697508902903</v>
      </c>
      <c r="B64" s="385"/>
      <c r="C64" s="384">
        <f>D65/B65-1</f>
        <v>2.2496775275170799E-2</v>
      </c>
      <c r="D64" s="385"/>
      <c r="E64" s="384">
        <f>F65/D65-1</f>
        <v>3.3178382871303924E-2</v>
      </c>
      <c r="F64" s="385"/>
      <c r="G64" s="384">
        <f>H65/F65-1</f>
        <v>-1.4119367912805991E-3</v>
      </c>
      <c r="H64" s="385"/>
      <c r="I64" s="384">
        <f>J65/H65-1</f>
        <v>5.3806963003292907E-2</v>
      </c>
      <c r="J64" s="385"/>
      <c r="K64" s="384">
        <f>L65/J65-1</f>
        <v>9.7942453415311492E-2</v>
      </c>
      <c r="L64" s="385"/>
      <c r="O64" t="e">
        <f>#REF!</f>
        <v>#REF!</v>
      </c>
      <c r="P64" t="e">
        <f>#REF!</f>
        <v>#REF!</v>
      </c>
      <c r="Q64" t="e">
        <f>#REF!</f>
        <v>#REF!</v>
      </c>
      <c r="R64" t="e">
        <f>#REF!</f>
        <v>#REF!</v>
      </c>
      <c r="S64" t="e">
        <f>#REF!</f>
        <v>#REF!</v>
      </c>
      <c r="T64" t="e">
        <f>#REF!</f>
        <v>#REF!</v>
      </c>
    </row>
    <row r="65" spans="1:20" ht="15" thickBot="1" x14ac:dyDescent="0.4">
      <c r="A65" s="65" t="s">
        <v>10</v>
      </c>
      <c r="B65" s="66">
        <f>AVERAGE(B41:B63)</f>
        <v>6353.760869565217</v>
      </c>
      <c r="C65" s="55" t="s">
        <v>10</v>
      </c>
      <c r="D65" s="66">
        <f>AVERAGE(D41:D63)</f>
        <v>6496.7</v>
      </c>
      <c r="E65" s="55" t="s">
        <v>10</v>
      </c>
      <c r="F65" s="66">
        <f>AVERAGE(F41:F62)</f>
        <v>6712.25</v>
      </c>
      <c r="G65" s="55" t="s">
        <v>10</v>
      </c>
      <c r="H65" s="66">
        <f>AVERAGE(H41:H63)</f>
        <v>6702.772727272727</v>
      </c>
      <c r="I65" s="56" t="s">
        <v>10</v>
      </c>
      <c r="J65" s="66">
        <f>AVERAGE(J41:J62)</f>
        <v>7063.4285714285716</v>
      </c>
      <c r="K65" s="55" t="s">
        <v>10</v>
      </c>
      <c r="L65" s="66">
        <f>AVERAGE(L41:L61)</f>
        <v>7755.2380952380954</v>
      </c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20" ht="15" thickBot="1" x14ac:dyDescent="0.4">
      <c r="A67" s="67" t="s">
        <v>11</v>
      </c>
      <c r="B67" s="67">
        <f>B65*A68</f>
        <v>33545.288261909256</v>
      </c>
      <c r="C67" s="67" t="s">
        <v>11</v>
      </c>
      <c r="D67" s="99">
        <f>D65*C68</f>
        <v>35476.096576666663</v>
      </c>
      <c r="E67" s="67" t="s">
        <v>11</v>
      </c>
      <c r="F67" s="67">
        <f>F65*E68</f>
        <v>36027.330649999996</v>
      </c>
      <c r="G67" s="67" t="s">
        <v>11</v>
      </c>
      <c r="H67" s="67">
        <f>H65*G68</f>
        <v>37706.384141341994</v>
      </c>
      <c r="I67" s="67" t="s">
        <v>11</v>
      </c>
      <c r="J67" s="67">
        <f>J65*I68</f>
        <v>38457.5432</v>
      </c>
      <c r="K67" s="67" t="s">
        <v>11</v>
      </c>
      <c r="L67" s="67">
        <f>L65*K68</f>
        <v>39900.276987012985</v>
      </c>
      <c r="M67" s="79"/>
    </row>
    <row r="68" spans="1:20" ht="15" thickBot="1" x14ac:dyDescent="0.4">
      <c r="A68" s="67">
        <v>5.2795956521739118</v>
      </c>
      <c r="B68" s="73">
        <f>B67/L29-1</f>
        <v>0.12426935808654127</v>
      </c>
      <c r="C68" s="67">
        <v>5.460633333333333</v>
      </c>
      <c r="D68" s="73">
        <f>D67/B67-1</f>
        <v>5.7558256756727433E-2</v>
      </c>
      <c r="E68" s="67">
        <v>5.3673999999999999</v>
      </c>
      <c r="F68" s="73">
        <f>F67/D67-1</f>
        <v>1.5538182791392297E-2</v>
      </c>
      <c r="G68" s="67">
        <v>5.6254904761904765</v>
      </c>
      <c r="H68" s="73">
        <f>H67/F67-1</f>
        <v>4.6604992960864733E-2</v>
      </c>
      <c r="I68" s="67">
        <v>5.4446000000000003</v>
      </c>
      <c r="J68" s="73">
        <f>J67/H67-1</f>
        <v>1.9921269985536005E-2</v>
      </c>
      <c r="K68" s="67">
        <v>5.1449454545454545</v>
      </c>
      <c r="L68" s="73">
        <f>L67/J67-1</f>
        <v>3.7514975397934025E-2</v>
      </c>
      <c r="O68" s="125"/>
    </row>
    <row r="69" spans="1:20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20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20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20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20" x14ac:dyDescent="0.35">
      <c r="F73" s="81"/>
      <c r="G73" s="81"/>
      <c r="H73" s="95"/>
      <c r="I73" s="96"/>
      <c r="J73" s="97"/>
      <c r="K73" s="96"/>
    </row>
  </sheetData>
  <mergeCells count="66">
    <mergeCell ref="A1:L1"/>
    <mergeCell ref="A2:B2"/>
    <mergeCell ref="C2:D2"/>
    <mergeCell ref="E2:F2"/>
    <mergeCell ref="G2:H2"/>
    <mergeCell ref="I2:J2"/>
    <mergeCell ref="K2:L2"/>
    <mergeCell ref="C24:D24"/>
    <mergeCell ref="G24:H24"/>
    <mergeCell ref="C25:D25"/>
    <mergeCell ref="G25:H25"/>
    <mergeCell ref="I25:J25"/>
    <mergeCell ref="K27:L27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A31:L31"/>
    <mergeCell ref="A32:B32"/>
    <mergeCell ref="C32:D32"/>
    <mergeCell ref="E32:F32"/>
    <mergeCell ref="G32:H32"/>
    <mergeCell ref="I32:J32"/>
    <mergeCell ref="K32:L3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I62:J62"/>
    <mergeCell ref="K62:L62"/>
    <mergeCell ref="C63:D63"/>
    <mergeCell ref="E63:F63"/>
    <mergeCell ref="I63:J63"/>
    <mergeCell ref="K63:L63"/>
    <mergeCell ref="G63:H63"/>
    <mergeCell ref="I23:J23"/>
    <mergeCell ref="I24:J24"/>
    <mergeCell ref="A69:L69"/>
    <mergeCell ref="A66:B66"/>
    <mergeCell ref="C66:D66"/>
    <mergeCell ref="E66:F66"/>
    <mergeCell ref="G66:H66"/>
    <mergeCell ref="I66:J66"/>
    <mergeCell ref="K66:L66"/>
    <mergeCell ref="A64:B64"/>
    <mergeCell ref="C64:D64"/>
    <mergeCell ref="E64:F64"/>
    <mergeCell ref="G64:H64"/>
    <mergeCell ref="I64:J64"/>
    <mergeCell ref="K64:L64"/>
    <mergeCell ref="C62:D6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selection activeCell="G7" sqref="G7"/>
    </sheetView>
  </sheetViews>
  <sheetFormatPr defaultRowHeight="14.5" x14ac:dyDescent="0.35"/>
  <cols>
    <col min="8" max="8" width="13.26953125" bestFit="1" customWidth="1"/>
    <col min="9" max="9" width="9.54296875" bestFit="1" customWidth="1"/>
  </cols>
  <sheetData>
    <row r="1" spans="1:9" x14ac:dyDescent="0.35">
      <c r="A1">
        <v>6137.7</v>
      </c>
      <c r="B1">
        <v>3.7675000000000001</v>
      </c>
      <c r="C1">
        <f>B1*A1</f>
        <v>23123.784749999999</v>
      </c>
      <c r="D1" s="104">
        <v>0.80500000000000005</v>
      </c>
      <c r="E1">
        <f>C1*D1</f>
        <v>18614.64672375</v>
      </c>
      <c r="F1" s="104">
        <v>4.5999999999999999E-2</v>
      </c>
      <c r="G1">
        <f>E1*(1+F1)</f>
        <v>19470.920473042501</v>
      </c>
      <c r="H1" s="173">
        <f>G1/0.7875</f>
        <v>24724.978378466669</v>
      </c>
    </row>
    <row r="2" spans="1:9" x14ac:dyDescent="0.35">
      <c r="A2">
        <v>6244</v>
      </c>
      <c r="B2">
        <v>3.7728999999999999</v>
      </c>
      <c r="C2">
        <f>B2*A2</f>
        <v>23557.9876</v>
      </c>
      <c r="D2" s="104">
        <v>0.80500000000000005</v>
      </c>
      <c r="E2">
        <f>C2*D2</f>
        <v>18964.180018000003</v>
      </c>
      <c r="F2" s="104">
        <v>4.5999999999999999E-2</v>
      </c>
      <c r="G2">
        <f>E2*(1+F2)</f>
        <v>19836.532298828002</v>
      </c>
      <c r="H2" s="173">
        <f>G2/0.7875</f>
        <v>25189.247363591116</v>
      </c>
      <c r="I2" s="174">
        <f>H2/1000</f>
        <v>25.189247363591114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B0F7-FE0D-4A08-B565-6E9D7229ADC1}">
  <dimension ref="A1:X73"/>
  <sheetViews>
    <sheetView topLeftCell="A21" workbookViewId="0">
      <selection activeCell="B30" sqref="B30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7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  <col min="21" max="21" width="9.7265625" bestFit="1" customWidth="1"/>
  </cols>
  <sheetData>
    <row r="1" spans="1:20" ht="15" thickBot="1" x14ac:dyDescent="0.4">
      <c r="A1" s="381" t="s">
        <v>280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268</v>
      </c>
      <c r="B2" s="397"/>
      <c r="C2" s="405" t="s">
        <v>269</v>
      </c>
      <c r="D2" s="406"/>
      <c r="E2" s="405" t="s">
        <v>270</v>
      </c>
      <c r="F2" s="406"/>
      <c r="G2" s="405" t="s">
        <v>271</v>
      </c>
      <c r="H2" s="406"/>
      <c r="I2" s="401" t="s">
        <v>272</v>
      </c>
      <c r="J2" s="402"/>
      <c r="K2" s="405" t="s">
        <v>273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4</v>
      </c>
      <c r="B4" s="63" t="str">
        <f>'[1]2021_Base RPA'!$F$67</f>
        <v>FERIADO</v>
      </c>
      <c r="C4" s="41">
        <v>1</v>
      </c>
      <c r="D4" s="63">
        <f>IF('[1]2021_Base RPA'!$F87="","",'[1]2021_Base RPA'!$F87)</f>
        <v>9700</v>
      </c>
      <c r="E4" s="41">
        <v>1</v>
      </c>
      <c r="F4" s="63">
        <f>IF('[1]2021_Base RPA'!$F107="","",'[1]2021_Base RPA'!$F107)</f>
        <v>9974</v>
      </c>
      <c r="G4" s="41">
        <v>1</v>
      </c>
      <c r="H4" s="63">
        <f>IF('[1]2021_Base RPA'!$F130="","",'[1]2021_Base RPA'!$F130)</f>
        <v>10246</v>
      </c>
      <c r="I4" s="49">
        <v>2</v>
      </c>
      <c r="J4" s="63" t="str">
        <f>IF('[1]2021_Base RPA'!$F151="","",'[1]2021_Base RPA'!$F151)</f>
        <v>FERIADO</v>
      </c>
      <c r="K4" s="41">
        <v>1</v>
      </c>
      <c r="L4" s="63">
        <f>IF('[1]2021_Base RPA'!$F173="","",'[1]2021_Base RPA'!$F173)</f>
        <v>9450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5</v>
      </c>
      <c r="B5" s="63">
        <f>'[1]2021_Base RPA'!$F68</f>
        <v>9773</v>
      </c>
      <c r="C5" s="41">
        <v>2</v>
      </c>
      <c r="D5" s="63">
        <f>IF('[1]2021_Base RPA'!$F88="","",'[1]2021_Base RPA'!$F88)</f>
        <v>9875</v>
      </c>
      <c r="E5" s="41">
        <v>2</v>
      </c>
      <c r="F5" s="63">
        <f>IF('[1]2021_Base RPA'!$F108="","",'[1]2021_Base RPA'!$F108)</f>
        <v>10257</v>
      </c>
      <c r="G5" s="41">
        <v>4</v>
      </c>
      <c r="H5" s="63">
        <f>IF('[1]2021_Base RPA'!$F131="","",'[1]2021_Base RPA'!$F131)</f>
        <v>10300.5</v>
      </c>
      <c r="I5" s="49">
        <v>3</v>
      </c>
      <c r="J5" s="63">
        <f>IF('[1]2021_Base RPA'!$F152="","",'[1]2021_Base RPA'!$F152)</f>
        <v>9510</v>
      </c>
      <c r="K5" s="41">
        <v>2</v>
      </c>
      <c r="L5" s="63" t="str">
        <f>IF('[1]2021_Base RPA'!$F174="","",'[1]2021_Base RPA'!$F174)</f>
        <v>FERIADO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6</v>
      </c>
      <c r="B6" s="63">
        <f>'[1]2021_Base RPA'!$F69</f>
        <v>9563</v>
      </c>
      <c r="C6" s="41">
        <v>3</v>
      </c>
      <c r="D6" s="63">
        <f>IF('[1]2021_Base RPA'!$F89="","",'[1]2021_Base RPA'!$F89)</f>
        <v>9780</v>
      </c>
      <c r="E6" s="41">
        <v>3</v>
      </c>
      <c r="F6" s="63">
        <f>IF('[1]2021_Base RPA'!$F109="","",'[1]2021_Base RPA'!$F109)</f>
        <v>10465</v>
      </c>
      <c r="G6" s="41">
        <v>5</v>
      </c>
      <c r="H6" s="63">
        <f>IF('[1]2021_Base RPA'!$F132="","",'[1]2021_Base RPA'!$F132)</f>
        <v>10425</v>
      </c>
      <c r="I6" s="49">
        <v>4</v>
      </c>
      <c r="J6" s="63">
        <f>IF('[1]2021_Base RPA'!$F153="","",'[1]2021_Base RPA'!$F153)</f>
        <v>9473</v>
      </c>
      <c r="K6" s="41">
        <v>3</v>
      </c>
      <c r="L6" s="63" t="str">
        <f>IF('[1]2021_Base RPA'!$F175="","",'[1]2021_Base RPA'!$F175)</f>
        <v>FERIADO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f>IF('[1]2021_Base RPA'!$F70="","",'[1]2021_Base RPA'!$F70)</f>
        <v>9610</v>
      </c>
      <c r="C7" s="41">
        <v>4</v>
      </c>
      <c r="D7" s="63">
        <f>IF('[1]2021_Base RPA'!$F90="","",'[1]2021_Base RPA'!$F90)</f>
        <v>9870</v>
      </c>
      <c r="E7" s="41">
        <v>4</v>
      </c>
      <c r="F7" s="63">
        <f>IF('[1]2021_Base RPA'!$F110="","",'[1]2021_Base RPA'!$F110)</f>
        <v>10465</v>
      </c>
      <c r="G7" s="41">
        <v>6</v>
      </c>
      <c r="H7" s="63">
        <f>IF('[1]2021_Base RPA'!$F133="","",'[1]2021_Base RPA'!$F133)</f>
        <v>10349.5</v>
      </c>
      <c r="I7" s="49">
        <v>5</v>
      </c>
      <c r="J7" s="63">
        <f>IF('[1]2021_Base RPA'!$F154="","",'[1]2021_Base RPA'!$F154)</f>
        <v>9540</v>
      </c>
      <c r="K7" s="41">
        <v>6</v>
      </c>
      <c r="L7" s="63">
        <f>IF('[1]2021_Base RPA'!$F176="","",'[1]2021_Base RPA'!$F176)</f>
        <v>9711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10</v>
      </c>
      <c r="B8" s="63">
        <f>IF('[1]2021_Base RPA'!$F71="","",'[1]2021_Base RPA'!$F71)</f>
        <v>9664.5</v>
      </c>
      <c r="C8" s="41">
        <v>7</v>
      </c>
      <c r="D8" s="63">
        <f>IF('[1]2021_Base RPA'!$F91="","",'[1]2021_Base RPA'!$F91)</f>
        <v>9849</v>
      </c>
      <c r="E8" s="41">
        <v>7</v>
      </c>
      <c r="F8" s="63">
        <f>IF('[1]2021_Base RPA'!$F111="","",'[1]2021_Base RPA'!$F111)</f>
        <v>10729</v>
      </c>
      <c r="G8" s="41">
        <v>7</v>
      </c>
      <c r="H8" s="63">
        <f>IF('[1]2021_Base RPA'!$F134="","",'[1]2021_Base RPA'!$F134)</f>
        <v>10291</v>
      </c>
      <c r="I8" s="49">
        <v>6</v>
      </c>
      <c r="J8" s="63">
        <f>IF('[1]2021_Base RPA'!$F155="","",'[1]2021_Base RPA'!$F155)</f>
        <v>9427.5</v>
      </c>
      <c r="K8" s="41">
        <v>7</v>
      </c>
      <c r="L8" s="63">
        <f>IF('[1]2021_Base RPA'!$F177="","",'[1]2021_Base RPA'!$F177)</f>
        <v>9610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11</v>
      </c>
      <c r="B9" s="63">
        <f>IF('[1]2021_Base RPA'!$F72="","",'[1]2021_Base RPA'!$F72)</f>
        <v>9660</v>
      </c>
      <c r="C9" s="41">
        <v>8</v>
      </c>
      <c r="D9" s="63">
        <f>IF('[1]2021_Base RPA'!$F92="","",'[1]2021_Base RPA'!$F92)</f>
        <v>9755</v>
      </c>
      <c r="E9" s="41">
        <v>8</v>
      </c>
      <c r="F9" s="63">
        <f>IF('[1]2021_Base RPA'!$F112="","",'[1]2021_Base RPA'!$F112)</f>
        <v>10170</v>
      </c>
      <c r="G9" s="41">
        <v>8</v>
      </c>
      <c r="H9" s="63">
        <f>IF('[1]2021_Base RPA'!$F135="","",'[1]2021_Base RPA'!$F135)</f>
        <v>10385</v>
      </c>
      <c r="I9" s="49">
        <v>9</v>
      </c>
      <c r="J9" s="63">
        <f>IF('[1]2021_Base RPA'!$F156="","",'[1]2021_Base RPA'!$F156)</f>
        <v>9159</v>
      </c>
      <c r="K9" s="41">
        <v>8</v>
      </c>
      <c r="L9" s="63">
        <f>IF('[1]2021_Base RPA'!$F178="","",'[1]2021_Base RPA'!$F178)</f>
        <v>9690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12</v>
      </c>
      <c r="B10" s="63">
        <f>IF('[1]2021_Base RPA'!$F73="","",'[1]2021_Base RPA'!$F73)</f>
        <v>9943</v>
      </c>
      <c r="C10" s="41">
        <v>9</v>
      </c>
      <c r="D10" s="63">
        <f>IF('[1]2021_Base RPA'!$F93="","",'[1]2021_Base RPA'!$F93)</f>
        <v>9880</v>
      </c>
      <c r="E10" s="41">
        <v>9</v>
      </c>
      <c r="F10" s="63">
        <f>IF('[1]2021_Base RPA'!$F113="","",'[1]2021_Base RPA'!$F113)</f>
        <v>10050</v>
      </c>
      <c r="G10" s="41">
        <v>11</v>
      </c>
      <c r="H10" s="63">
        <f>IF('[1]2021_Base RPA'!$F136="","",'[1]2021_Base RPA'!$F136)</f>
        <v>10235</v>
      </c>
      <c r="I10" s="49">
        <v>10</v>
      </c>
      <c r="J10" s="63">
        <f>IF('[1]2021_Base RPA'!$F157="","",'[1]2021_Base RPA'!$F157)</f>
        <v>9345</v>
      </c>
      <c r="K10" s="41">
        <v>9</v>
      </c>
      <c r="L10" s="63">
        <f>IF('[1]2021_Base RPA'!$F179="","",'[1]2021_Base RPA'!$F179)</f>
        <v>9628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13</v>
      </c>
      <c r="B11" s="63">
        <f>IF('[1]2021_Base RPA'!$F74="","",'[1]2021_Base RPA'!$F74)</f>
        <v>9971</v>
      </c>
      <c r="C11" s="41">
        <v>10</v>
      </c>
      <c r="D11" s="63">
        <f>IF('[1]2021_Base RPA'!$F94="","",'[1]2021_Base RPA'!$F94)</f>
        <v>10219.5</v>
      </c>
      <c r="E11" s="41">
        <v>10</v>
      </c>
      <c r="F11" s="63">
        <f>IF('[1]2021_Base RPA'!$F114="","",'[1]2021_Base RPA'!$F114)</f>
        <v>10143</v>
      </c>
      <c r="G11" s="41">
        <v>12</v>
      </c>
      <c r="H11" s="63">
        <f>IF('[1]2021_Base RPA'!$F137="","",'[1]2021_Base RPA'!$F137)</f>
        <v>10200</v>
      </c>
      <c r="I11" s="49">
        <v>11</v>
      </c>
      <c r="J11" s="63">
        <f>IF('[1]2021_Base RPA'!$F158="","",'[1]2021_Base RPA'!$F158)</f>
        <v>9365</v>
      </c>
      <c r="K11" s="41">
        <v>10</v>
      </c>
      <c r="L11" s="63">
        <f>IF('[1]2021_Base RPA'!$F180="","",'[1]2021_Base RPA'!$F180)</f>
        <v>9536.5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f>IF('[1]2021_Base RPA'!$F75="","",'[1]2021_Base RPA'!$F75)</f>
        <v>9895</v>
      </c>
      <c r="C12" s="41">
        <v>11</v>
      </c>
      <c r="D12" s="63">
        <f>IF('[1]2021_Base RPA'!$F95="","",'[1]2021_Base RPA'!$F95)</f>
        <v>10039</v>
      </c>
      <c r="E12" s="41">
        <v>11</v>
      </c>
      <c r="F12" s="63">
        <f>IF('[1]2021_Base RPA'!$F115="","",'[1]2021_Base RPA'!$F115)</f>
        <v>10140</v>
      </c>
      <c r="G12" s="41">
        <v>13</v>
      </c>
      <c r="H12" s="63">
        <f>IF('[1]2021_Base RPA'!$F138="","",'[1]2021_Base RPA'!$F138)</f>
        <v>10290</v>
      </c>
      <c r="I12" s="49">
        <v>12</v>
      </c>
      <c r="J12" s="63">
        <f>IF('[1]2021_Base RPA'!$F159="","",'[1]2021_Base RPA'!$F159)</f>
        <v>9018</v>
      </c>
      <c r="K12" s="41">
        <v>13</v>
      </c>
      <c r="L12" s="63">
        <f>IF('[1]2021_Base RPA'!$F181="","",'[1]2021_Base RPA'!$F181)</f>
        <v>9289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17</v>
      </c>
      <c r="B13" s="63">
        <f>IF('[1]2021_Base RPA'!$F76="","",'[1]2021_Base RPA'!$F76)</f>
        <v>9674</v>
      </c>
      <c r="C13" s="41">
        <v>14</v>
      </c>
      <c r="D13" s="63">
        <f>IF('[1]2021_Base RPA'!$F96="","",'[1]2021_Base RPA'!$F96)</f>
        <v>9877</v>
      </c>
      <c r="E13" s="41">
        <v>14</v>
      </c>
      <c r="F13" s="63">
        <f>IF('[1]2021_Base RPA'!$F116="","",'[1]2021_Base RPA'!$F116)</f>
        <v>9875</v>
      </c>
      <c r="G13" s="41">
        <v>14</v>
      </c>
      <c r="H13" s="63">
        <f>IF('[1]2021_Base RPA'!$F139="","",'[1]2021_Base RPA'!$F139)</f>
        <v>10276</v>
      </c>
      <c r="I13" s="49">
        <v>13</v>
      </c>
      <c r="J13" s="63">
        <f>IF('[1]2021_Base RPA'!$F160="","",'[1]2021_Base RPA'!$F160)</f>
        <v>9063</v>
      </c>
      <c r="K13" s="41">
        <v>14</v>
      </c>
      <c r="L13" s="63">
        <f>IF('[1]2021_Base RPA'!$F182="","",'[1]2021_Base RPA'!$F182)</f>
        <v>9262.5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18</v>
      </c>
      <c r="B14" s="63">
        <f>IF('[1]2021_Base RPA'!$F77="","",'[1]2021_Base RPA'!$F77)</f>
        <v>9705</v>
      </c>
      <c r="C14" s="41">
        <v>15</v>
      </c>
      <c r="D14" s="63">
        <f>IF('[1]2021_Base RPA'!$F97="","",'[1]2021_Base RPA'!$F97)</f>
        <v>10015</v>
      </c>
      <c r="E14" s="41">
        <v>15</v>
      </c>
      <c r="F14" s="63">
        <f>IF('[1]2021_Base RPA'!$F117="","",'[1]2021_Base RPA'!$F117)</f>
        <v>9824</v>
      </c>
      <c r="G14" s="41">
        <v>15</v>
      </c>
      <c r="H14" s="63" t="str">
        <f>IF('[1]2021_Base RPA'!$F140="","",'[1]2021_Base RPA'!$F140)</f>
        <v>FERIADO</v>
      </c>
      <c r="I14" s="49">
        <v>16</v>
      </c>
      <c r="J14" s="63">
        <f>IF('[1]2021_Base RPA'!$F161="","",'[1]2021_Base RPA'!$F161)</f>
        <v>9265</v>
      </c>
      <c r="K14" s="41">
        <v>15</v>
      </c>
      <c r="L14" s="63">
        <f>IF('[1]2021_Base RPA'!$F183="","",'[1]2021_Base RPA'!$F183)</f>
        <v>9256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19</v>
      </c>
      <c r="B15" s="63">
        <f>IF('[1]2021_Base RPA'!$F78="","",'[1]2021_Base RPA'!$F78)</f>
        <v>9799</v>
      </c>
      <c r="C15" s="41">
        <v>16</v>
      </c>
      <c r="D15" s="63">
        <f>IF('[1]2021_Base RPA'!$F98="","",'[1]2021_Base RPA'!$F98)</f>
        <v>10045</v>
      </c>
      <c r="E15" s="41">
        <v>16</v>
      </c>
      <c r="F15" s="63">
        <f>IF('[1]2021_Base RPA'!$F118="","",'[1]2021_Base RPA'!$F118)</f>
        <v>10100</v>
      </c>
      <c r="G15" s="41">
        <v>18</v>
      </c>
      <c r="H15" s="63" t="str">
        <f>IF('[1]2021_Base RPA'!$F141="","",'[1]2021_Base RPA'!$F141)</f>
        <v>FERIADO</v>
      </c>
      <c r="I15" s="49">
        <v>17</v>
      </c>
      <c r="J15" s="63">
        <f>IF('[1]2021_Base RPA'!$F162="","",'[1]2021_Base RPA'!$F162)</f>
        <v>9394</v>
      </c>
      <c r="K15" s="41">
        <v>16</v>
      </c>
      <c r="L15" s="63">
        <f>IF('[1]2021_Base RPA'!$F184="","",'[1]2021_Base RPA'!$F184)</f>
        <v>9100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20</v>
      </c>
      <c r="B16" s="63">
        <f>IF('[1]2021_Base RPA'!$F79="","",'[1]2021_Base RPA'!$F79)</f>
        <v>9920</v>
      </c>
      <c r="C16" s="41">
        <v>17</v>
      </c>
      <c r="D16" s="63">
        <f>IF('[1]2021_Base RPA'!$F99="","",'[1]2021_Base RPA'!$F99)</f>
        <v>10005</v>
      </c>
      <c r="E16" s="41">
        <v>17</v>
      </c>
      <c r="F16" s="63" t="str">
        <f>IF('[1]2021_Base RPA'!$F119="","",'[1]2021_Base RPA'!$F119)</f>
        <v>FERIADO</v>
      </c>
      <c r="G16" s="41">
        <v>19</v>
      </c>
      <c r="H16" s="63">
        <f>IF('[1]2021_Base RPA'!$F142="","",'[1]2021_Base RPA'!$F142)</f>
        <v>10380.5</v>
      </c>
      <c r="I16" s="49">
        <v>18</v>
      </c>
      <c r="J16" s="63">
        <f>IF('[1]2021_Base RPA'!$F163="","",'[1]2021_Base RPA'!$F163)</f>
        <v>9264</v>
      </c>
      <c r="K16" s="41">
        <v>17</v>
      </c>
      <c r="L16" s="63">
        <f>IF('[1]2021_Base RPA'!$F185="","",'[1]2021_Base RPA'!$F185)</f>
        <v>9100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21</v>
      </c>
      <c r="B17" s="63">
        <f>IF('[1]2021_Base RPA'!$F80="","",'[1]2021_Base RPA'!$F80)</f>
        <v>9965</v>
      </c>
      <c r="C17" s="41">
        <v>18</v>
      </c>
      <c r="D17" s="63">
        <f>IF('[1]2021_Base RPA'!$F100="","",'[1]2021_Base RPA'!$F100)</f>
        <v>10010</v>
      </c>
      <c r="E17" s="41">
        <v>18</v>
      </c>
      <c r="F17" s="63">
        <f>IF('[1]2021_Base RPA'!$F120="","",'[1]2021_Base RPA'!$F120)</f>
        <v>10247</v>
      </c>
      <c r="G17" s="179">
        <v>20</v>
      </c>
      <c r="H17" s="63">
        <f>IF('[1]2021_Base RPA'!$F143="","",'[1]2021_Base RPA'!$F143)</f>
        <v>10210</v>
      </c>
      <c r="I17" s="49">
        <v>19</v>
      </c>
      <c r="J17" s="63">
        <f>IF('[1]2021_Base RPA'!$F164="","",'[1]2021_Base RPA'!$F164)</f>
        <v>9286</v>
      </c>
      <c r="K17" s="41">
        <v>20</v>
      </c>
      <c r="L17" s="63">
        <f>IF('[1]2021_Base RPA'!$F186="","",'[1]2021_Base RPA'!$F186)</f>
        <v>8870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24</v>
      </c>
      <c r="B18" s="63">
        <f>IF('[1]2021_Base RPA'!$F81="","",'[1]2021_Base RPA'!$F81)</f>
        <v>9799.5</v>
      </c>
      <c r="C18" s="41">
        <v>19</v>
      </c>
      <c r="D18" s="63">
        <f>IF('[1]2021_Base RPA'!$F101="","",'[1]2021_Base RPA'!$F101)</f>
        <v>9959.5</v>
      </c>
      <c r="E18" s="41">
        <v>21</v>
      </c>
      <c r="F18" s="63">
        <f>IF('[1]2021_Base RPA'!$F121="","",'[1]2021_Base RPA'!$F121)</f>
        <v>10172</v>
      </c>
      <c r="G18" s="41">
        <v>21</v>
      </c>
      <c r="H18" s="63">
        <f>IF('[1]2021_Base RPA'!$F144="","",'[1]2021_Base RPA'!$F144)</f>
        <v>10267</v>
      </c>
      <c r="I18" s="49">
        <v>20</v>
      </c>
      <c r="J18" s="63">
        <f>IF('[1]2021_Base RPA'!$F165="","",'[1]2021_Base RPA'!$F165)</f>
        <v>9475</v>
      </c>
      <c r="K18" s="41">
        <v>21</v>
      </c>
      <c r="L18" s="63">
        <f>IF('[1]2021_Base RPA'!$F187="","",'[1]2021_Base RPA'!$F187)</f>
        <v>8995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41">
        <v>25</v>
      </c>
      <c r="B19" s="63">
        <f>IF('[1]2021_Base RPA'!$F82="","",'[1]2021_Base RPA'!$F82)</f>
        <v>9743</v>
      </c>
      <c r="C19" s="41">
        <v>22</v>
      </c>
      <c r="D19" s="63">
        <f>IF('[1]2021_Base RPA'!$F102="","",'[1]2021_Base RPA'!$F102)</f>
        <v>10018</v>
      </c>
      <c r="E19" s="41">
        <v>22</v>
      </c>
      <c r="F19" s="63">
        <f>IF('[1]2021_Base RPA'!$F122="","",'[1]2021_Base RPA'!$F122)</f>
        <v>10340</v>
      </c>
      <c r="G19" s="41">
        <v>22</v>
      </c>
      <c r="H19" s="63">
        <f>IF('[1]2021_Base RPA'!$F145="","",'[1]2021_Base RPA'!$F145)</f>
        <v>10230</v>
      </c>
      <c r="I19" s="49">
        <v>23</v>
      </c>
      <c r="J19" s="63">
        <f>IF('[1]2021_Base RPA'!$F166="","",'[1]2021_Base RPA'!$F166)</f>
        <v>9499.5</v>
      </c>
      <c r="K19" s="41">
        <v>22</v>
      </c>
      <c r="L19" s="63">
        <f>IF('[1]2021_Base RPA'!$F188="","",'[1]2021_Base RPA'!$F188)</f>
        <v>8727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41">
        <v>26</v>
      </c>
      <c r="B20" s="63">
        <f>IF('[1]2021_Base RPA'!$F83="","",'[1]2021_Base RPA'!$F83)</f>
        <v>9960</v>
      </c>
      <c r="C20" s="41">
        <v>23</v>
      </c>
      <c r="D20" s="63">
        <f>IF('[1]2021_Base RPA'!$F103="","",'[1]2021_Base RPA'!$F103)</f>
        <v>10003</v>
      </c>
      <c r="E20" s="41">
        <v>23</v>
      </c>
      <c r="F20" s="63">
        <f>IF('[1]2021_Base RPA'!$F123="","",'[1]2021_Base RPA'!$F123)</f>
        <v>10310</v>
      </c>
      <c r="G20" s="41">
        <v>25</v>
      </c>
      <c r="H20" s="63">
        <f>IF('[1]2021_Base RPA'!$F146="","",'[1]2021_Base RPA'!$F146)</f>
        <v>9917</v>
      </c>
      <c r="I20" s="49">
        <v>24</v>
      </c>
      <c r="J20" s="63">
        <f>IF('[1]2021_Base RPA'!$F167="","",'[1]2021_Base RPA'!$F167)</f>
        <v>9459.5</v>
      </c>
      <c r="K20" s="41">
        <v>23</v>
      </c>
      <c r="L20" s="63">
        <f>IF('[1]2021_Base RPA'!$F189="","",'[1]2021_Base RPA'!$F189)</f>
        <v>8575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27</v>
      </c>
      <c r="B21" s="63">
        <f>IF('[1]2021_Base RPA'!$F84="","",'[1]2021_Base RPA'!$F84)</f>
        <v>9870</v>
      </c>
      <c r="C21" s="41">
        <v>24</v>
      </c>
      <c r="D21" s="63">
        <f>IF('[1]2021_Base RPA'!$F104="","",'[1]2021_Base RPA'!$F104)</f>
        <v>9982</v>
      </c>
      <c r="E21" s="41">
        <v>24</v>
      </c>
      <c r="F21" s="63">
        <f>IF('[1]2021_Base RPA'!$F124="","",'[1]2021_Base RPA'!$F124)</f>
        <v>10420</v>
      </c>
      <c r="G21" s="41">
        <v>26</v>
      </c>
      <c r="H21" s="63">
        <f>IF('[1]2021_Base RPA'!$F147="","",'[1]2021_Base RPA'!$F147)</f>
        <v>9911.5</v>
      </c>
      <c r="I21" s="49">
        <v>25</v>
      </c>
      <c r="J21" s="63">
        <f>IF('[1]2021_Base RPA'!$F168="","",'[1]2021_Base RPA'!$F168)</f>
        <v>9285</v>
      </c>
      <c r="K21" s="41">
        <v>24</v>
      </c>
      <c r="L21" s="63">
        <f>IF('[1]2021_Base RPA'!$F190="","",'[1]2021_Base RPA'!$F190)</f>
        <v>8280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28</v>
      </c>
      <c r="B22" s="63">
        <f>IF('[1]2021_Base RPA'!$F85="","",'[1]2021_Base RPA'!$F85)</f>
        <v>9677</v>
      </c>
      <c r="C22" s="41">
        <v>25</v>
      </c>
      <c r="D22" s="63">
        <f>IF('[1]2021_Base RPA'!$F105="","",'[1]2021_Base RPA'!$F105)</f>
        <v>9918</v>
      </c>
      <c r="E22" s="41">
        <v>25</v>
      </c>
      <c r="F22" s="63">
        <f>IF('[1]2021_Base RPA'!$F125="","",'[1]2021_Base RPA'!$F125)</f>
        <v>10278</v>
      </c>
      <c r="G22" s="41">
        <v>27</v>
      </c>
      <c r="H22" s="63">
        <f>IF('[1]2021_Base RPA'!$F148="","",'[1]2021_Base RPA'!$F148)</f>
        <v>9905</v>
      </c>
      <c r="I22" s="49">
        <v>26</v>
      </c>
      <c r="J22" s="63">
        <f>IF('[1]2021_Base RPA'!$F169="","",'[1]2021_Base RPA'!$F169)</f>
        <v>9358</v>
      </c>
      <c r="K22" s="41">
        <v>27</v>
      </c>
      <c r="L22" s="63">
        <f>IF('[1]2021_Base RPA'!$F191="","",'[1]2021_Base RPA'!$F191)</f>
        <v>8352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2">
        <v>31</v>
      </c>
      <c r="B23" s="64">
        <f>IF('[1]2021_Base RPA'!$F86="","",'[1]2021_Base RPA'!$F86)</f>
        <v>9615</v>
      </c>
      <c r="C23" s="42">
        <v>28</v>
      </c>
      <c r="D23" s="64">
        <f>IF('[1]2021_Base RPA'!$F106="","",'[1]2021_Base RPA'!$F106)</f>
        <v>9972</v>
      </c>
      <c r="E23" s="41">
        <v>28</v>
      </c>
      <c r="F23" s="63">
        <f>IF('[1]2021_Base RPA'!$F126="","",'[1]2021_Base RPA'!$F126)</f>
        <v>10225</v>
      </c>
      <c r="G23" s="41">
        <v>28</v>
      </c>
      <c r="H23" s="63">
        <f>IF('[1]2021_Base RPA'!$F149="","",'[1]2021_Base RPA'!$F149)</f>
        <v>9810</v>
      </c>
      <c r="I23" s="49">
        <v>27</v>
      </c>
      <c r="J23" s="63">
        <f>IF('[1]2021_Base RPA'!$F170="","",'[1]2021_Base RPA'!$F170)</f>
        <v>9382</v>
      </c>
      <c r="K23" s="41">
        <v>28</v>
      </c>
      <c r="L23" s="63">
        <f>IF('[1]2021_Base RPA'!$F192="","",'[1]2021_Base RPA'!$F192)</f>
        <v>8500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394"/>
      <c r="B24" s="395"/>
      <c r="C24" s="394"/>
      <c r="D24" s="395"/>
      <c r="E24" s="41">
        <v>29</v>
      </c>
      <c r="F24" s="63">
        <f>IF('[1]2021_Base RPA'!$F127="","",'[1]2021_Base RPA'!$F127)</f>
        <v>10348</v>
      </c>
      <c r="G24" s="41">
        <v>29</v>
      </c>
      <c r="H24" s="63">
        <f>IF('[1]2021_Base RPA'!$F150="","",'[1]2021_Base RPA'!$F150)</f>
        <v>9820</v>
      </c>
      <c r="I24" s="49">
        <v>30</v>
      </c>
      <c r="J24" s="63">
        <f>IF('[1]2021_Base RPA'!$F171="","",'[1]2021_Base RPA'!$F171)</f>
        <v>9520</v>
      </c>
      <c r="K24" s="41">
        <v>29</v>
      </c>
      <c r="L24" s="63">
        <f>IF('[1]2021_Base RPA'!$F193="","",'[1]2021_Base RPA'!$F193)</f>
        <v>8445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394"/>
      <c r="B25" s="395"/>
      <c r="C25" s="394"/>
      <c r="D25" s="395"/>
      <c r="E25" s="41">
        <v>30</v>
      </c>
      <c r="F25" s="63">
        <f>IF('[1]2021_Base RPA'!$F128="","",'[1]2021_Base RPA'!$F128)</f>
        <v>10390</v>
      </c>
      <c r="G25" s="42">
        <v>30</v>
      </c>
      <c r="H25" s="64" t="str">
        <f>IF('[1]2021_Base RPA'!$F151="","",'[1]2021_Base RPA'!$F151)</f>
        <v>FERIADO</v>
      </c>
      <c r="I25" s="42">
        <v>31</v>
      </c>
      <c r="J25" s="64">
        <f>IF('[1]2021_Base RPA'!$F172="","",'[1]2021_Base RPA'!$F172)</f>
        <v>9500</v>
      </c>
      <c r="K25" s="72">
        <v>30</v>
      </c>
      <c r="L25" s="64">
        <f>IF('[1]2021_Base RPA'!$F194="","",'[1]2021_Base RPA'!$F194)</f>
        <v>8240</v>
      </c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E26" s="42">
        <v>31</v>
      </c>
      <c r="F26" s="64">
        <f>IF('[1]2021_Base RPA'!$F129="","",'[1]2021_Base RPA'!$F129)</f>
        <v>10336.5</v>
      </c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B28/'2020'!L65-1</f>
        <v>0.26099491329330338</v>
      </c>
      <c r="B27" s="385"/>
      <c r="C27" s="384">
        <f>D28/B28-1</f>
        <v>1.6287868594832222E-2</v>
      </c>
      <c r="D27" s="385"/>
      <c r="E27" s="384">
        <f>F28/D28-1</f>
        <v>3.0227871860496247E-2</v>
      </c>
      <c r="F27" s="385"/>
      <c r="G27" s="384">
        <f>H28/F28-1</f>
        <v>-5.6154198515554477E-3</v>
      </c>
      <c r="H27" s="385"/>
      <c r="I27" s="384">
        <f>J28/H28-1</f>
        <v>-8.0554638616453289E-2</v>
      </c>
      <c r="J27" s="385"/>
      <c r="K27" s="384">
        <f>L28/J28-1</f>
        <v>-3.5305473107531737E-2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AVERAGE(B4:B24)</f>
        <v>9779.3157894736851</v>
      </c>
      <c r="C28" s="55" t="s">
        <v>10</v>
      </c>
      <c r="D28" s="66">
        <f>AVERAGE(D4:D23)</f>
        <v>9938.6</v>
      </c>
      <c r="E28" s="55" t="s">
        <v>10</v>
      </c>
      <c r="F28" s="66">
        <f>AVERAGE(F4:F26)</f>
        <v>10239.022727272728</v>
      </c>
      <c r="G28" s="55" t="s">
        <v>10</v>
      </c>
      <c r="H28" s="66">
        <f>AVERAGE(H4:H24)</f>
        <v>10181.526315789473</v>
      </c>
      <c r="I28" s="56" t="s">
        <v>10</v>
      </c>
      <c r="J28" s="66">
        <f>AVERAGE(J4:J25)</f>
        <v>9361.3571428571431</v>
      </c>
      <c r="K28" s="55" t="s">
        <v>10</v>
      </c>
      <c r="L28" s="66">
        <f>AVERAGE(L4:L25)</f>
        <v>9030.85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54066.560929210522</v>
      </c>
      <c r="C29" s="67" t="s">
        <v>11</v>
      </c>
      <c r="D29" s="67">
        <f>D28*C30</f>
        <v>51612.342432000005</v>
      </c>
      <c r="E29" s="67" t="s">
        <v>11</v>
      </c>
      <c r="F29" s="67">
        <f>F28*E30</f>
        <v>50784.138766991331</v>
      </c>
      <c r="G29" s="67" t="s">
        <v>11</v>
      </c>
      <c r="H29" s="67">
        <f>H28*G30</f>
        <v>48574.483916052624</v>
      </c>
      <c r="I29" s="67" t="s">
        <v>11</v>
      </c>
      <c r="J29" s="67">
        <f>J28*I30</f>
        <v>46348.480415306127</v>
      </c>
      <c r="K29" s="67" t="s">
        <v>11</v>
      </c>
      <c r="L29" s="67">
        <f>L28*K30</f>
        <v>45593.235318095234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f>AVERAGE('[1]2021_Base RPA'!$B$67:$B$86)</f>
        <v>5.5286649999999993</v>
      </c>
      <c r="B30" s="73">
        <f>A30/'2021'!K68-1</f>
        <v>-2.157987718127885E-2</v>
      </c>
      <c r="C30" s="67">
        <f>AVERAGE('[1]2021_Base RPA'!$B$87:$B$106)</f>
        <v>5.1931200000000004</v>
      </c>
      <c r="D30" s="73">
        <f>D29/B29-1</f>
        <v>-4.5392539400163301E-2</v>
      </c>
      <c r="E30" s="67">
        <f>AVERAGE('[1]2021_Base RPA'!$B$107:$B$129)</f>
        <v>4.9598619047619037</v>
      </c>
      <c r="F30" s="73">
        <f>F29/D29-1</f>
        <v>-1.6046620362170971E-2</v>
      </c>
      <c r="G30" s="67">
        <f>AVERAGE('[1]2021_Base RPA'!$B$130:$B$151)</f>
        <v>4.7708449999999996</v>
      </c>
      <c r="H30" s="73">
        <f>H29/F29-1</f>
        <v>-4.3510728045957126E-2</v>
      </c>
      <c r="I30" s="67">
        <f>AVERAGE('[1]2021_Base RPA'!$B$152:$B$172)</f>
        <v>4.9510428571428573</v>
      </c>
      <c r="J30" s="73">
        <f>J29/H29-1</f>
        <v>-4.5826601155321001E-2</v>
      </c>
      <c r="K30" s="67">
        <f>AVERAGE('[1]2021_Base RPA'!$B$173:$B$194)</f>
        <v>5.0486095238095228</v>
      </c>
      <c r="L30" s="73">
        <f>L29/J29-1</f>
        <v>-1.6294926833490764E-2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thickBot="1" x14ac:dyDescent="0.4">
      <c r="A31" s="381" t="s">
        <v>280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1" x14ac:dyDescent="0.35">
      <c r="A32" s="405" t="s">
        <v>274</v>
      </c>
      <c r="B32" s="406"/>
      <c r="C32" s="405" t="s">
        <v>275</v>
      </c>
      <c r="D32" s="406"/>
      <c r="E32" s="401" t="s">
        <v>276</v>
      </c>
      <c r="F32" s="402"/>
      <c r="G32" s="405" t="s">
        <v>277</v>
      </c>
      <c r="H32" s="406"/>
      <c r="I32" s="401" t="s">
        <v>278</v>
      </c>
      <c r="J32" s="402"/>
      <c r="K32" s="405" t="s">
        <v>279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1</v>
      </c>
      <c r="B41" s="63">
        <f>IF('[1]2021_Base RPA'!$F195="","",'[1]2021_Base RPA'!$F195)</f>
        <v>7975</v>
      </c>
      <c r="C41" s="41">
        <v>1</v>
      </c>
      <c r="D41" s="63">
        <f>IF('[1]2021_Base RPA'!$F216="","",'[1]2021_Base RPA'!$F216)</f>
        <v>7929.5</v>
      </c>
      <c r="E41" s="250">
        <v>1</v>
      </c>
      <c r="F41" s="63">
        <f>IF('[1]2021_Base RPA'!$F239="","",'[1]2021_Base RPA'!$F239)</f>
        <v>7701</v>
      </c>
      <c r="G41" s="41">
        <v>3</v>
      </c>
      <c r="H41" s="63">
        <f>IF('[1]2021_Base RPA'!$F261="","",'[1]2021_Base RPA'!$F261)</f>
        <v>7522</v>
      </c>
      <c r="I41" s="49">
        <v>1</v>
      </c>
      <c r="J41" s="63">
        <f>IF('[1]2021_Base RPA'!$F282="","",'[1]2021_Base RPA'!$F282)</f>
        <v>7740</v>
      </c>
      <c r="K41" s="49">
        <v>1</v>
      </c>
      <c r="L41" s="63">
        <f>IF('[1]2021_Base RPA'!$F303="","",'[1]2021_Base RPA'!$F303)</f>
        <v>8341</v>
      </c>
      <c r="O41" s="81" t="e">
        <f>#REF!</f>
        <v>#REF!</v>
      </c>
      <c r="P41" s="77" t="e">
        <f>#REF!</f>
        <v>#REF!</v>
      </c>
      <c r="Q41" s="79" t="e">
        <f>#REF!</f>
        <v>#REF!</v>
      </c>
      <c r="R41" s="98" t="e">
        <f>#REF!</f>
        <v>#REF!</v>
      </c>
      <c r="S41" s="79" t="e">
        <f>#REF!</f>
        <v>#REF!</v>
      </c>
      <c r="T41" s="104" t="e">
        <f>#REF!</f>
        <v>#REF!</v>
      </c>
    </row>
    <row r="42" spans="1:24" x14ac:dyDescent="0.35">
      <c r="A42" s="41">
        <v>4</v>
      </c>
      <c r="B42" s="63">
        <f>IF('[1]2021_Base RPA'!$F196="","",'[1]2021_Base RPA'!$F196)</f>
        <v>8034</v>
      </c>
      <c r="C42" s="41">
        <v>2</v>
      </c>
      <c r="D42" s="63">
        <f>IF('[1]2021_Base RPA'!$F217="","",'[1]2021_Base RPA'!$F217)</f>
        <v>7818</v>
      </c>
      <c r="E42" s="41">
        <v>2</v>
      </c>
      <c r="F42" s="63">
        <f>IF('[1]2021_Base RPA'!$F240="","",'[1]2021_Base RPA'!$F240)</f>
        <v>7585</v>
      </c>
      <c r="G42" s="41">
        <v>4</v>
      </c>
      <c r="H42" s="63">
        <f>IF('[1]2021_Base RPA'!$F262="","",'[1]2021_Base RPA'!$F262)</f>
        <v>7595.5</v>
      </c>
      <c r="I42" s="177">
        <v>2</v>
      </c>
      <c r="J42" s="63">
        <f>IF('[1]2021_Base RPA'!$F283="","",'[1]2021_Base RPA'!$F283)</f>
        <v>7700</v>
      </c>
      <c r="K42" s="49">
        <v>2</v>
      </c>
      <c r="L42" s="63">
        <f>IF('[1]2021_Base RPA'!$F304="","",'[1]2021_Base RPA'!$F304)</f>
        <v>8439.5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  <c r="U42" s="133">
        <f>261+21</f>
        <v>282</v>
      </c>
    </row>
    <row r="43" spans="1:24" x14ac:dyDescent="0.35">
      <c r="A43" s="41">
        <v>5</v>
      </c>
      <c r="B43" s="63">
        <f>IF('[1]2021_Base RPA'!$F197="","",'[1]2021_Base RPA'!$F197)</f>
        <v>7806</v>
      </c>
      <c r="C43" s="41">
        <v>3</v>
      </c>
      <c r="D43" s="63">
        <f>IF('[1]2021_Base RPA'!$F218="","",'[1]2021_Base RPA'!$F218)</f>
        <v>7773</v>
      </c>
      <c r="E43" s="41">
        <v>3</v>
      </c>
      <c r="F43" s="63">
        <f>IF('[1]2021_Base RPA'!$F241="","",'[1]2021_Base RPA'!$F241)</f>
        <v>7652</v>
      </c>
      <c r="G43" s="41">
        <v>5</v>
      </c>
      <c r="H43" s="63">
        <f>IF('[1]2021_Base RPA'!$F263="","",'[1]2021_Base RPA'!$F263)</f>
        <v>7660</v>
      </c>
      <c r="I43" s="49">
        <v>3</v>
      </c>
      <c r="J43" s="63">
        <f>IF('[1]2021_Base RPA'!$F284="","",'[1]2021_Base RPA'!$F284)</f>
        <v>7509</v>
      </c>
      <c r="K43" s="49">
        <v>5</v>
      </c>
      <c r="L43" s="63">
        <f>IF('[1]2021_Base RPA'!$F305="","",'[1]2021_Base RPA'!$F305)</f>
        <v>8355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</row>
    <row r="44" spans="1:24" x14ac:dyDescent="0.35">
      <c r="A44" s="41">
        <v>6</v>
      </c>
      <c r="B44" s="63">
        <f>IF('[1]2021_Base RPA'!$F198="","",'[1]2021_Base RPA'!$F198)</f>
        <v>7525</v>
      </c>
      <c r="C44" s="41">
        <v>4</v>
      </c>
      <c r="D44" s="63">
        <f>IF('[1]2021_Base RPA'!$F219="","",'[1]2021_Base RPA'!$F219)</f>
        <v>7640</v>
      </c>
      <c r="E44" s="41">
        <v>6</v>
      </c>
      <c r="F44" s="63">
        <f>IF('[1]2021_Base RPA'!$F242="","",'[1]2021_Base RPA'!$F242)</f>
        <v>7705</v>
      </c>
      <c r="G44" s="41">
        <v>6</v>
      </c>
      <c r="H44" s="63">
        <f>IF('[1]2021_Base RPA'!$F264="","",'[1]2021_Base RPA'!$F264)</f>
        <v>7743</v>
      </c>
      <c r="I44" s="49">
        <v>4</v>
      </c>
      <c r="J44" s="63">
        <f>IF('[1]2021_Base RPA'!$F285="","",'[1]2021_Base RPA'!$F285)</f>
        <v>7900</v>
      </c>
      <c r="K44" s="49">
        <v>6</v>
      </c>
      <c r="L44" s="63">
        <f>IF('[1]2021_Base RPA'!$F306="","",'[1]2021_Base RPA'!$F306)</f>
        <v>8333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7</v>
      </c>
      <c r="B45" s="63">
        <f>IF('[1]2021_Base RPA'!$F199="","",'[1]2021_Base RPA'!$F199)</f>
        <v>7833</v>
      </c>
      <c r="C45" s="41">
        <v>5</v>
      </c>
      <c r="D45" s="63">
        <f>IF('[1]2021_Base RPA'!$F220="","",'[1]2021_Base RPA'!$F220)</f>
        <v>7830</v>
      </c>
      <c r="E45" s="41">
        <v>7</v>
      </c>
      <c r="F45" s="63">
        <f>IF('[1]2021_Base RPA'!$F243="","",'[1]2021_Base RPA'!$F243)</f>
        <v>7728</v>
      </c>
      <c r="G45" s="41">
        <v>7</v>
      </c>
      <c r="H45" s="63">
        <f>IF('[1]2021_Base RPA'!$F265="","",'[1]2021_Base RPA'!$F265)</f>
        <v>7574.5</v>
      </c>
      <c r="I45" s="49">
        <v>7</v>
      </c>
      <c r="J45" s="63">
        <f>IF('[1]2021_Base RPA'!$F286="","",'[1]2021_Base RPA'!$F286)</f>
        <v>7953.5</v>
      </c>
      <c r="K45" s="49">
        <v>7</v>
      </c>
      <c r="L45" s="63">
        <f>IF('[1]2021_Base RPA'!$F307="","",'[1]2021_Base RPA'!$F307)</f>
        <v>8536.5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8</v>
      </c>
      <c r="B46" s="63">
        <f>IF('[1]2021_Base RPA'!$F200="","",'[1]2021_Base RPA'!$F200)</f>
        <v>7785</v>
      </c>
      <c r="C46" s="41">
        <v>8</v>
      </c>
      <c r="D46" s="63">
        <f>IF('[1]2021_Base RPA'!$F221="","",'[1]2021_Base RPA'!$F221)</f>
        <v>7834</v>
      </c>
      <c r="E46" s="41">
        <v>8</v>
      </c>
      <c r="F46" s="63">
        <f>IF('[1]2021_Base RPA'!$F244="","",'[1]2021_Base RPA'!$F244)</f>
        <v>7905</v>
      </c>
      <c r="G46" s="41">
        <v>10</v>
      </c>
      <c r="H46" s="63">
        <f>IF('[1]2021_Base RPA'!$F266="","",'[1]2021_Base RPA'!$F266)</f>
        <v>7650</v>
      </c>
      <c r="I46" s="49">
        <v>8</v>
      </c>
      <c r="J46" s="63">
        <f>IF('[1]2021_Base RPA'!$F287="","",'[1]2021_Base RPA'!$F287)</f>
        <v>7972</v>
      </c>
      <c r="K46" s="49">
        <v>8</v>
      </c>
      <c r="L46" s="63">
        <f>IF('[1]2021_Base RPA'!$F308="","",'[1]2021_Base RPA'!$F308)</f>
        <v>8490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11</v>
      </c>
      <c r="B47" s="63">
        <f>IF('[1]2021_Base RPA'!$F201="","",'[1]2021_Base RPA'!$F201)</f>
        <v>7622</v>
      </c>
      <c r="C47" s="41">
        <v>9</v>
      </c>
      <c r="D47" s="63">
        <f>IF('[1]2021_Base RPA'!$F222="","",'[1]2021_Base RPA'!$F222)</f>
        <v>7971</v>
      </c>
      <c r="E47" s="41">
        <v>9</v>
      </c>
      <c r="F47" s="63">
        <f>IF('[1]2021_Base RPA'!$F245="","",'[1]2021_Base RPA'!$F245)</f>
        <v>7984</v>
      </c>
      <c r="G47" s="41">
        <v>11</v>
      </c>
      <c r="H47" s="63">
        <f>IF('[1]2021_Base RPA'!$F267="","",'[1]2021_Base RPA'!$F267)</f>
        <v>7585</v>
      </c>
      <c r="I47" s="49">
        <v>9</v>
      </c>
      <c r="J47" s="63">
        <f>IF('[1]2021_Base RPA'!$F288="","",'[1]2021_Base RPA'!$F288)</f>
        <v>8033</v>
      </c>
      <c r="K47" s="49">
        <v>9</v>
      </c>
      <c r="L47" s="63">
        <f>IF('[1]2021_Base RPA'!$F309="","",'[1]2021_Base RPA'!$F309)</f>
        <v>8370.5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80" t="e">
        <f>#REF!</f>
        <v>#REF!</v>
      </c>
      <c r="S47" s="79" t="e">
        <f>#REF!</f>
        <v>#REF!</v>
      </c>
      <c r="T47" s="104" t="e">
        <f>#REF!</f>
        <v>#REF!</v>
      </c>
      <c r="V47" s="81"/>
      <c r="W47" s="81"/>
      <c r="X47" s="81"/>
    </row>
    <row r="48" spans="1:24" x14ac:dyDescent="0.35">
      <c r="A48" s="41">
        <v>12</v>
      </c>
      <c r="B48" s="63">
        <f>IF('[1]2021_Base RPA'!$F202="","",'[1]2021_Base RPA'!$F202)</f>
        <v>7370</v>
      </c>
      <c r="C48" s="41">
        <v>10</v>
      </c>
      <c r="D48" s="63">
        <f>IF('[1]2021_Base RPA'!$F223="","",'[1]2021_Base RPA'!$F223)</f>
        <v>7975</v>
      </c>
      <c r="E48" s="41">
        <v>10</v>
      </c>
      <c r="F48" s="63">
        <f>IF('[1]2021_Base RPA'!$F246="","",'[1]2021_Base RPA'!$F246)</f>
        <v>8024</v>
      </c>
      <c r="G48" s="41">
        <v>12</v>
      </c>
      <c r="H48" s="63">
        <f>IF('[1]2021_Base RPA'!$F268="","",'[1]2021_Base RPA'!$F268)</f>
        <v>7625</v>
      </c>
      <c r="I48" s="49">
        <v>10</v>
      </c>
      <c r="J48" s="63">
        <f>IF('[1]2021_Base RPA'!$F289="","",'[1]2021_Base RPA'!$F289)</f>
        <v>8060</v>
      </c>
      <c r="K48" s="49">
        <v>12</v>
      </c>
      <c r="L48" s="63">
        <f>IF('[1]2021_Base RPA'!$F310="","",'[1]2021_Base RPA'!$F310)</f>
        <v>8380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</row>
    <row r="49" spans="1:21" x14ac:dyDescent="0.35">
      <c r="A49" s="41">
        <v>13</v>
      </c>
      <c r="B49" s="63">
        <f>IF('[1]2021_Base RPA'!$F203="","",'[1]2021_Base RPA'!$F203)</f>
        <v>7265</v>
      </c>
      <c r="C49" s="41">
        <v>11</v>
      </c>
      <c r="D49" s="63">
        <f>IF('[1]2021_Base RPA'!$F224="","",'[1]2021_Base RPA'!$F224)</f>
        <v>8138</v>
      </c>
      <c r="E49" s="41">
        <v>13</v>
      </c>
      <c r="F49" s="63">
        <f>IF('[1]2021_Base RPA'!$F247="","",'[1]2021_Base RPA'!$F247)</f>
        <v>8225</v>
      </c>
      <c r="G49" s="41">
        <v>13</v>
      </c>
      <c r="H49" s="63">
        <f>IF('[1]2021_Base RPA'!$F269="","",'[1]2021_Base RPA'!$F269)</f>
        <v>7662</v>
      </c>
      <c r="I49" s="49">
        <v>11</v>
      </c>
      <c r="J49" s="63">
        <f>IF('[1]2021_Base RPA'!$F290="","",'[1]2021_Base RPA'!$F290)</f>
        <v>8440</v>
      </c>
      <c r="K49" s="49">
        <v>13</v>
      </c>
      <c r="L49" s="63">
        <f>IF('[1]2021_Base RPA'!$F311="","",'[1]2021_Base RPA'!$F311)</f>
        <v>8414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14</v>
      </c>
      <c r="B50" s="63">
        <f>IF('[1]2021_Base RPA'!$F204="","",'[1]2021_Base RPA'!$F204)</f>
        <v>7215.5</v>
      </c>
      <c r="C50" s="41">
        <v>12</v>
      </c>
      <c r="D50" s="63">
        <f>IF('[1]2021_Base RPA'!$F225="","",'[1]2021_Base RPA'!$F225)</f>
        <v>8060</v>
      </c>
      <c r="E50" s="41">
        <v>14</v>
      </c>
      <c r="F50" s="63">
        <f>IF('[1]2021_Base RPA'!$F248="","",'[1]2021_Base RPA'!$F248)</f>
        <v>7860</v>
      </c>
      <c r="G50" s="41">
        <v>14</v>
      </c>
      <c r="H50" s="63">
        <f>IF('[1]2021_Base RPA'!$F270="","",'[1]2021_Base RPA'!$F270)</f>
        <v>7687.5</v>
      </c>
      <c r="I50" s="49">
        <v>14</v>
      </c>
      <c r="J50" s="63">
        <f>IF('[1]2021_Base RPA'!$F291="","",'[1]2021_Base RPA'!$F291)</f>
        <v>8345</v>
      </c>
      <c r="K50" s="49">
        <v>14</v>
      </c>
      <c r="L50" s="63">
        <f>IF('[1]2021_Base RPA'!$F312="","",'[1]2021_Base RPA'!$F312)</f>
        <v>8414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15</v>
      </c>
      <c r="B51" s="63">
        <f>IF('[1]2021_Base RPA'!$F205="","",'[1]2021_Base RPA'!$F205)</f>
        <v>6998</v>
      </c>
      <c r="C51" s="41">
        <v>15</v>
      </c>
      <c r="D51" s="63">
        <f>IF('[1]2021_Base RPA'!$F226="","",'[1]2021_Base RPA'!$F226)</f>
        <v>7865</v>
      </c>
      <c r="E51" s="41">
        <v>15</v>
      </c>
      <c r="F51" s="63">
        <f>IF('[1]2021_Base RPA'!$F249="","",'[1]2021_Base RPA'!$F249)</f>
        <v>7805.5</v>
      </c>
      <c r="G51" s="41">
        <v>17</v>
      </c>
      <c r="H51" s="63">
        <f>IF('[1]2021_Base RPA'!$F271="","",'[1]2021_Base RPA'!$F271)</f>
        <v>7710</v>
      </c>
      <c r="I51" s="49">
        <v>15</v>
      </c>
      <c r="J51" s="63">
        <f>IF('[1]2021_Base RPA'!$F292="","",'[1]2021_Base RPA'!$F292)</f>
        <v>8342.5</v>
      </c>
      <c r="K51" s="49">
        <v>15</v>
      </c>
      <c r="L51" s="63">
        <f>IF('[1]2021_Base RPA'!$F313="","",'[1]2021_Base RPA'!$F313)</f>
        <v>8329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18</v>
      </c>
      <c r="B52" s="63">
        <f>IF('[1]2021_Base RPA'!$F206="","",'[1]2021_Base RPA'!$F206)</f>
        <v>7318</v>
      </c>
      <c r="C52" s="41">
        <v>16</v>
      </c>
      <c r="D52" s="63">
        <f>IF('[1]2021_Base RPA'!$F227="","",'[1]2021_Base RPA'!$F227)</f>
        <v>7991</v>
      </c>
      <c r="E52" s="41">
        <v>16</v>
      </c>
      <c r="F52" s="63">
        <f>IF('[1]2021_Base RPA'!$F250="","",'[1]2021_Base RPA'!$F250)</f>
        <v>7790</v>
      </c>
      <c r="G52" s="41">
        <v>18</v>
      </c>
      <c r="H52" s="63">
        <f>IF('[1]2021_Base RPA'!$F272="","",'[1]2021_Base RPA'!$F272)</f>
        <v>7535</v>
      </c>
      <c r="I52" s="49">
        <v>16</v>
      </c>
      <c r="J52" s="63">
        <f>IF('[1]2021_Base RPA'!$F293="","",'[1]2021_Base RPA'!$F293)</f>
        <v>8314</v>
      </c>
      <c r="K52" s="49">
        <v>16</v>
      </c>
      <c r="L52" s="63">
        <f>IF('[1]2021_Base RPA'!$F314="","",'[1]2021_Base RPA'!$F314)</f>
        <v>8301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19</v>
      </c>
      <c r="B53" s="63">
        <f>IF('[1]2021_Base RPA'!$F207="","",'[1]2021_Base RPA'!$F207)</f>
        <v>7280.5</v>
      </c>
      <c r="C53" s="41">
        <v>17</v>
      </c>
      <c r="D53" s="63">
        <f>IF('[1]2021_Base RPA'!$F228="","",'[1]2021_Base RPA'!$F228)</f>
        <v>7953</v>
      </c>
      <c r="E53" s="41">
        <v>17</v>
      </c>
      <c r="F53" s="63">
        <f>IF('[1]2021_Base RPA'!$F251="","",'[1]2021_Base RPA'!$F251)</f>
        <v>7770</v>
      </c>
      <c r="G53" s="41">
        <v>19</v>
      </c>
      <c r="H53" s="63">
        <f>IF('[1]2021_Base RPA'!$F273="","",'[1]2021_Base RPA'!$F273)</f>
        <v>7415</v>
      </c>
      <c r="I53" s="49">
        <v>17</v>
      </c>
      <c r="J53" s="63">
        <f>IF('[1]2021_Base RPA'!$F294="","",'[1]2021_Base RPA'!$F294)</f>
        <v>8153</v>
      </c>
      <c r="K53" s="49">
        <v>19</v>
      </c>
      <c r="L53" s="63">
        <f>IF('[1]2021_Base RPA'!$F315="","",'[1]2021_Base RPA'!$F315)</f>
        <v>8326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20</v>
      </c>
      <c r="B54" s="63">
        <f>IF('[1]2021_Base RPA'!$F208="","",'[1]2021_Base RPA'!$F208)</f>
        <v>7370</v>
      </c>
      <c r="C54" s="41">
        <v>18</v>
      </c>
      <c r="D54" s="63">
        <f>IF('[1]2021_Base RPA'!$F229="","",'[1]2021_Base RPA'!$F229)</f>
        <v>8015</v>
      </c>
      <c r="E54" s="41">
        <v>20</v>
      </c>
      <c r="F54" s="63">
        <f>IF('[1]2021_Base RPA'!$F252="","",'[1]2021_Base RPA'!$F252)</f>
        <v>7795</v>
      </c>
      <c r="G54" s="41">
        <v>20</v>
      </c>
      <c r="H54" s="63">
        <f>IF('[1]2021_Base RPA'!$F274="","",'[1]2021_Base RPA'!$F274)</f>
        <v>7585</v>
      </c>
      <c r="I54" s="49">
        <v>18</v>
      </c>
      <c r="J54" s="63">
        <f>IF('[1]2021_Base RPA'!$F295="","",'[1]2021_Base RPA'!$F295)</f>
        <v>8046.5</v>
      </c>
      <c r="K54" s="49">
        <v>20</v>
      </c>
      <c r="L54" s="63">
        <f>IF('[1]2021_Base RPA'!$F316="","",'[1]2021_Base RPA'!$F316)</f>
        <v>8344.5</v>
      </c>
      <c r="M54" s="106"/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  <c r="U54" s="106"/>
    </row>
    <row r="55" spans="1:21" x14ac:dyDescent="0.35">
      <c r="A55" s="41">
        <v>21</v>
      </c>
      <c r="B55" s="63">
        <f>IF('[1]2021_Base RPA'!$F209="","",'[1]2021_Base RPA'!$F209)</f>
        <v>7231</v>
      </c>
      <c r="C55" s="41">
        <v>19</v>
      </c>
      <c r="D55" s="63">
        <f>IF('[1]2021_Base RPA'!$F230="","",'[1]2021_Base RPA'!$F230)</f>
        <v>8050</v>
      </c>
      <c r="E55" s="41">
        <v>21</v>
      </c>
      <c r="F55" s="63">
        <f>IF('[1]2021_Base RPA'!$F253="","",'[1]2021_Base RPA'!$F253)</f>
        <v>7761</v>
      </c>
      <c r="G55" s="41">
        <v>21</v>
      </c>
      <c r="H55" s="63">
        <f>IF('[1]2021_Base RPA'!$F275="","",'[1]2021_Base RPA'!$F275)</f>
        <v>7541</v>
      </c>
      <c r="I55" s="49">
        <v>21</v>
      </c>
      <c r="J55" s="63">
        <f>IF('[1]2021_Base RPA'!$F296="","",'[1]2021_Base RPA'!$F296)</f>
        <v>7900</v>
      </c>
      <c r="K55" s="49">
        <v>21</v>
      </c>
      <c r="L55" s="63">
        <f>IF('[1]2021_Base RPA'!$F317="","",'[1]2021_Base RPA'!$F317)</f>
        <v>8344.5</v>
      </c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</row>
    <row r="56" spans="1:21" x14ac:dyDescent="0.35">
      <c r="A56" s="41">
        <v>22</v>
      </c>
      <c r="B56" s="63">
        <f>IF('[1]2021_Base RPA'!$F210="","",'[1]2021_Base RPA'!$F210)</f>
        <v>7370</v>
      </c>
      <c r="C56" s="41">
        <v>22</v>
      </c>
      <c r="D56" s="63">
        <f>IF('[1]2021_Base RPA'!$F231="","",'[1]2021_Base RPA'!$F231)</f>
        <v>8040</v>
      </c>
      <c r="E56" s="41">
        <v>22</v>
      </c>
      <c r="F56" s="63">
        <f>IF('[1]2021_Base RPA'!$F254="","",'[1]2021_Base RPA'!$F254)</f>
        <v>7814</v>
      </c>
      <c r="G56" s="41">
        <v>24</v>
      </c>
      <c r="H56" s="63">
        <f>IF('[1]2021_Base RPA'!$F276="","",'[1]2021_Base RPA'!$F276)</f>
        <v>7660.5</v>
      </c>
      <c r="I56" s="49">
        <v>22</v>
      </c>
      <c r="J56" s="63">
        <f>IF('[1]2021_Base RPA'!$F297="","",'[1]2021_Base RPA'!$F297)</f>
        <v>7900</v>
      </c>
      <c r="K56" s="49">
        <v>22</v>
      </c>
      <c r="L56" s="63" t="str">
        <f>IF('[1]2021_Base RPA'!$F318="","",'[1]2021_Base RPA'!$F318)</f>
        <v>FERIADO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25</v>
      </c>
      <c r="B57" s="63">
        <f>IF('[1]2021_Base RPA'!$F211="","",'[1]2021_Base RPA'!$F211)</f>
        <v>7446</v>
      </c>
      <c r="C57" s="41">
        <v>23</v>
      </c>
      <c r="D57" s="63">
        <f>IF('[1]2021_Base RPA'!$F232="","",'[1]2021_Base RPA'!$F232)</f>
        <v>8100</v>
      </c>
      <c r="E57" s="41">
        <v>23</v>
      </c>
      <c r="F57" s="63">
        <f>IF('[1]2021_Base RPA'!$F255="","",'[1]2021_Base RPA'!$F255)</f>
        <v>7445</v>
      </c>
      <c r="G57" s="41">
        <v>25</v>
      </c>
      <c r="H57" s="63">
        <f>IF('[1]2021_Base RPA'!$F277="","",'[1]2021_Base RPA'!$F277)</f>
        <v>7534</v>
      </c>
      <c r="I57" s="49">
        <v>23</v>
      </c>
      <c r="J57" s="63">
        <f>IF('[1]2021_Base RPA'!$F298="","",'[1]2021_Base RPA'!$F298)</f>
        <v>7991</v>
      </c>
      <c r="K57" s="49">
        <v>23</v>
      </c>
      <c r="L57" s="63" t="str">
        <f>IF('[1]2021_Base RPA'!$F319="","",'[1]2021_Base RPA'!$F319)</f>
        <v>FERIADO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24</v>
      </c>
      <c r="B58" s="63">
        <f>IF('[1]2021_Base RPA'!$F212="","",'[1]2021_Base RPA'!$F212)</f>
        <v>7591</v>
      </c>
      <c r="C58" s="41">
        <v>24</v>
      </c>
      <c r="D58" s="63">
        <f>IF('[1]2021_Base RPA'!$F233="","",'[1]2021_Base RPA'!$F233)</f>
        <v>8031</v>
      </c>
      <c r="E58" s="41">
        <v>24</v>
      </c>
      <c r="F58" s="63">
        <f>IF('[1]2021_Base RPA'!$F256="","",'[1]2021_Base RPA'!$F256)</f>
        <v>7448</v>
      </c>
      <c r="G58" s="41">
        <v>26</v>
      </c>
      <c r="H58" s="63">
        <f>IF('[1]2021_Base RPA'!$F278="","",'[1]2021_Base RPA'!$F278)</f>
        <v>7762</v>
      </c>
      <c r="I58" s="49">
        <v>25</v>
      </c>
      <c r="J58" s="63">
        <f>IF('[1]2021_Base RPA'!$F299="","",'[1]2021_Base RPA'!$F299)</f>
        <v>8065</v>
      </c>
      <c r="K58" s="49">
        <v>26</v>
      </c>
      <c r="L58" s="63">
        <f>IF('[1]2021_Base RPA'!$F320="","",'[1]2021_Base RPA'!$F320)</f>
        <v>8394</v>
      </c>
      <c r="O58" s="81" t="e">
        <f>#REF!</f>
        <v>#REF!</v>
      </c>
      <c r="P58" s="115" t="e">
        <f>#REF!</f>
        <v>#REF!</v>
      </c>
      <c r="Q58" s="79" t="e">
        <f>#REF!</f>
        <v>#REF!</v>
      </c>
      <c r="R58" s="80" t="e">
        <f>#REF!</f>
        <v>#REF!</v>
      </c>
      <c r="S58" s="126" t="e">
        <f>#REF!</f>
        <v>#REF!</v>
      </c>
      <c r="T58" t="e">
        <f>#REF!</f>
        <v>#REF!</v>
      </c>
    </row>
    <row r="59" spans="1:21" x14ac:dyDescent="0.35">
      <c r="A59" s="41">
        <v>27</v>
      </c>
      <c r="B59" s="63">
        <f>IF('[1]2021_Base RPA'!$F213="","",'[1]2021_Base RPA'!$F213)</f>
        <v>7551</v>
      </c>
      <c r="C59" s="41">
        <v>25</v>
      </c>
      <c r="D59" s="63">
        <f>IF('[1]2021_Base RPA'!$F234="","",'[1]2021_Base RPA'!$F234)</f>
        <v>8154</v>
      </c>
      <c r="E59" s="41">
        <v>27</v>
      </c>
      <c r="F59" s="63">
        <f>IF('[1]2021_Base RPA'!$F257="","",'[1]2021_Base RPA'!$F257)</f>
        <v>7470</v>
      </c>
      <c r="G59" s="41">
        <v>27</v>
      </c>
      <c r="H59" s="63">
        <f>IF('[1]2021_Base RPA'!$F279="","",'[1]2021_Base RPA'!$F279)</f>
        <v>7775</v>
      </c>
      <c r="I59" s="49">
        <v>28</v>
      </c>
      <c r="J59" s="63">
        <f>IF('[1]2021_Base RPA'!$F300="","",'[1]2021_Base RPA'!$F300)</f>
        <v>7965</v>
      </c>
      <c r="K59" s="71">
        <v>27</v>
      </c>
      <c r="L59" s="63">
        <f>IF('[1]2021_Base RPA'!$F321="","",'[1]2021_Base RPA'!$F321)</f>
        <v>8386</v>
      </c>
      <c r="O59" t="e">
        <f>#REF!</f>
        <v>#REF!</v>
      </c>
      <c r="P59" s="79" t="e">
        <f>#REF!</f>
        <v>#REF!</v>
      </c>
      <c r="Q59" t="e">
        <f>#REF!</f>
        <v>#REF!</v>
      </c>
      <c r="R59" t="e">
        <f>#REF!</f>
        <v>#REF!</v>
      </c>
      <c r="S59" t="e">
        <f>#REF!</f>
        <v>#REF!</v>
      </c>
      <c r="T59" t="e">
        <f>#REF!</f>
        <v>#REF!</v>
      </c>
    </row>
    <row r="60" spans="1:21" x14ac:dyDescent="0.35">
      <c r="A60" s="41">
        <v>28</v>
      </c>
      <c r="B60" s="63">
        <f>IF('[1]2021_Base RPA'!$F214="","",'[1]2021_Base RPA'!$F214)</f>
        <v>7710</v>
      </c>
      <c r="C60" s="41">
        <v>26</v>
      </c>
      <c r="D60" s="63">
        <f>IF('[1]2021_Base RPA'!$F235="","",'[1]2021_Base RPA'!$F235)</f>
        <v>8313</v>
      </c>
      <c r="E60" s="41">
        <v>28</v>
      </c>
      <c r="F60" s="63">
        <f>IF('[1]2021_Base RPA'!$F258="","",'[1]2021_Base RPA'!$F258)</f>
        <v>7351</v>
      </c>
      <c r="G60" s="41">
        <v>28</v>
      </c>
      <c r="H60" s="63">
        <f>IF('[1]2021_Base RPA'!$F280="","",'[1]2021_Base RPA'!$F280)</f>
        <v>7663</v>
      </c>
      <c r="I60" s="49">
        <v>29</v>
      </c>
      <c r="J60" s="63">
        <f>IF('[1]2021_Base RPA'!$F301="","",'[1]2021_Base RPA'!$F301)</f>
        <v>8035</v>
      </c>
      <c r="K60" s="71">
        <v>28</v>
      </c>
      <c r="L60" s="63" t="str">
        <f>IF('[1]2021_Base RPA'!$F322="","",'[1]2021_Base RPA'!$F322)</f>
        <v>FERIADO</v>
      </c>
      <c r="O60" t="e">
        <f>#REF!</f>
        <v>#REF!</v>
      </c>
      <c r="P60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2">
        <v>29</v>
      </c>
      <c r="B61" s="273">
        <f>IF('[1]2021_Base RPA'!$F215="","",'[1]2021_Base RPA'!$F215)</f>
        <v>7800</v>
      </c>
      <c r="C61" s="179">
        <v>29</v>
      </c>
      <c r="D61" s="63" t="str">
        <f>IF('[1]2021_Base RPA'!$F236="","",'[1]2021_Base RPA'!$F236)</f>
        <v>FERIADO</v>
      </c>
      <c r="E61" s="41">
        <v>29</v>
      </c>
      <c r="F61" s="63">
        <f>IF('[1]2021_Base RPA'!$F259="","",'[1]2021_Base RPA'!$F259)</f>
        <v>7660</v>
      </c>
      <c r="G61" s="42">
        <v>31</v>
      </c>
      <c r="H61" s="273">
        <f>IF('[1]2021_Base RPA'!$F281="","",'[1]2021_Base RPA'!$F281)</f>
        <v>7520</v>
      </c>
      <c r="I61" s="42">
        <v>30</v>
      </c>
      <c r="J61" s="273" t="str">
        <f>IF('[1]2021_Base RPA'!$F302="","",'[1]2021_Base RPA'!$F302)</f>
        <v>FERIADO</v>
      </c>
      <c r="K61" s="212">
        <v>29</v>
      </c>
      <c r="L61" s="273" t="str">
        <f>IF('[1]2021_Base RPA'!$F323="","",'[1]2021_Base RPA'!$F323)</f>
        <v>FERIADO</v>
      </c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41">
        <v>30</v>
      </c>
      <c r="B62" s="63"/>
      <c r="C62" s="41">
        <v>30</v>
      </c>
      <c r="D62" s="63">
        <f>IF('[1]2021_Base RPA'!$F237="","",'[1]2021_Base RPA'!$F237)</f>
        <v>7909.5</v>
      </c>
      <c r="E62" s="42">
        <v>30</v>
      </c>
      <c r="F62" s="273">
        <f>IF('[1]2021_Base RPA'!$F260="","",'[1]2021_Base RPA'!$F260)</f>
        <v>7646</v>
      </c>
      <c r="G62" s="394"/>
      <c r="H62" s="395"/>
      <c r="I62" s="394"/>
      <c r="J62" s="395"/>
      <c r="K62" s="394"/>
      <c r="L62" s="395"/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41">
        <v>31</v>
      </c>
      <c r="B63" s="63"/>
      <c r="C63" s="42">
        <v>31</v>
      </c>
      <c r="D63" s="273">
        <f>IF('[1]2021_Base RPA'!$F238="","",'[1]2021_Base RPA'!$F238)</f>
        <v>7719</v>
      </c>
      <c r="E63" s="394"/>
      <c r="F63" s="395"/>
      <c r="G63" s="394"/>
      <c r="H63" s="395"/>
      <c r="I63" s="394"/>
      <c r="J63" s="395"/>
      <c r="K63" s="394"/>
      <c r="L63" s="395"/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ht="15" thickBot="1" x14ac:dyDescent="0.4">
      <c r="A64" s="384">
        <f>B65/L28-1</f>
        <v>-0.16637072342238524</v>
      </c>
      <c r="B64" s="385"/>
      <c r="C64" s="384">
        <f>D65/B65-1</f>
        <v>5.7265838477886799E-2</v>
      </c>
      <c r="D64" s="385"/>
      <c r="E64" s="384">
        <f>F65/D65-1</f>
        <v>-2.846512743491203E-2</v>
      </c>
      <c r="F64" s="385"/>
      <c r="G64" s="384">
        <f>H65/F65-1</f>
        <v>-1.4696379920083658E-2</v>
      </c>
      <c r="H64" s="385"/>
      <c r="I64" s="384">
        <f>J65/H65-1</f>
        <v>5.2359145026718013E-2</v>
      </c>
      <c r="J64" s="385"/>
      <c r="K64" s="384">
        <f>L65/J65-1</f>
        <v>4.5401532868228678E-2</v>
      </c>
      <c r="L64" s="385"/>
      <c r="O64" t="e">
        <f>#REF!</f>
        <v>#REF!</v>
      </c>
      <c r="P64" t="e">
        <f>#REF!</f>
        <v>#REF!</v>
      </c>
      <c r="Q64" t="e">
        <f>#REF!</f>
        <v>#REF!</v>
      </c>
      <c r="R64" t="e">
        <f>#REF!</f>
        <v>#REF!</v>
      </c>
      <c r="S64" t="e">
        <f>#REF!</f>
        <v>#REF!</v>
      </c>
      <c r="T64" t="e">
        <f>#REF!</f>
        <v>#REF!</v>
      </c>
    </row>
    <row r="65" spans="1:20" ht="15" thickBot="1" x14ac:dyDescent="0.4">
      <c r="A65" s="65" t="s">
        <v>10</v>
      </c>
      <c r="B65" s="66">
        <f>AVERAGE(B41:B63)</f>
        <v>7528.3809523809523</v>
      </c>
      <c r="C65" s="55" t="s">
        <v>10</v>
      </c>
      <c r="D65" s="66">
        <f>AVERAGE(D41:D63)</f>
        <v>7959.5</v>
      </c>
      <c r="E65" s="55" t="s">
        <v>10</v>
      </c>
      <c r="F65" s="66">
        <f>AVERAGE(F41:F62)</f>
        <v>7732.931818181818</v>
      </c>
      <c r="G65" s="55" t="s">
        <v>10</v>
      </c>
      <c r="H65" s="66">
        <f>AVERAGE(H41:H63)</f>
        <v>7619.2857142857147</v>
      </c>
      <c r="I65" s="56" t="s">
        <v>10</v>
      </c>
      <c r="J65" s="66">
        <f>AVERAGE(J41:J62)</f>
        <v>8018.2250000000004</v>
      </c>
      <c r="K65" s="55" t="s">
        <v>10</v>
      </c>
      <c r="L65" s="66">
        <f>AVERAGE(L41:L61)</f>
        <v>8382.2647058823532</v>
      </c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20" ht="15" thickBot="1" x14ac:dyDescent="0.4">
      <c r="A67" s="67" t="s">
        <v>11</v>
      </c>
      <c r="B67" s="67">
        <f>B65*A68</f>
        <v>40408.405514739221</v>
      </c>
      <c r="C67" s="67" t="s">
        <v>11</v>
      </c>
      <c r="D67" s="99">
        <f>D65*C68</f>
        <v>40933.286043478256</v>
      </c>
      <c r="E67" s="67" t="s">
        <v>11</v>
      </c>
      <c r="F67" s="67">
        <f>F65*E68</f>
        <v>40492.392761363641</v>
      </c>
      <c r="G67" s="67" t="s">
        <v>11</v>
      </c>
      <c r="H67" s="67">
        <f>H65*G68</f>
        <v>39998.92611785714</v>
      </c>
      <c r="I67" s="67" t="s">
        <v>11</v>
      </c>
      <c r="J67" s="67">
        <f>J65*I68</f>
        <v>42271.575785789464</v>
      </c>
      <c r="K67" s="67" t="s">
        <v>11</v>
      </c>
      <c r="L67" s="67">
        <f>L65*K68</f>
        <v>44023.374826470586</v>
      </c>
      <c r="M67" s="79"/>
    </row>
    <row r="68" spans="1:20" ht="15" thickBot="1" x14ac:dyDescent="0.4">
      <c r="A68" s="67">
        <f>AVERAGE('[1]2021_Base RPA'!$B$195:$B$215)</f>
        <v>5.3674761904761894</v>
      </c>
      <c r="B68" s="73">
        <f>B67/L29-1</f>
        <v>-0.11371927802847182</v>
      </c>
      <c r="C68" s="67">
        <f>AVERAGE('[1]2021_Base RPA'!$B$216:$B$238)</f>
        <v>5.142695652173912</v>
      </c>
      <c r="D68" s="73">
        <f>D67/B67-1</f>
        <v>1.2989389758216952E-2</v>
      </c>
      <c r="E68" s="67">
        <f>AVERAGE('[1]2021_Base RPA'!$B$239:$B$260)</f>
        <v>5.2363571428571438</v>
      </c>
      <c r="F68" s="73">
        <f>F67/D67-1</f>
        <v>-1.0771020964364109E-2</v>
      </c>
      <c r="G68" s="67">
        <f>AVERAGE('[1]2021_Base RPA'!$B$261:$B$281)</f>
        <v>5.2496949999999991</v>
      </c>
      <c r="H68" s="73">
        <f>H67/F67-1</f>
        <v>-1.218665062385127E-2</v>
      </c>
      <c r="I68" s="67">
        <f>AVERAGE('[1]2021_Base RPA'!$B$282:$B$302)</f>
        <v>5.2719368421052621</v>
      </c>
      <c r="J68" s="73">
        <f>J67/H67-1</f>
        <v>5.6817767087944837E-2</v>
      </c>
      <c r="K68" s="67">
        <f>AVERAGE('[1]2021_Base RPA'!$B$303:$B$323)</f>
        <v>5.2519666666666662</v>
      </c>
      <c r="L68" s="73">
        <f>L67/J67-1</f>
        <v>4.1441536259692269E-2</v>
      </c>
      <c r="O68" s="125"/>
    </row>
    <row r="69" spans="1:20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20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20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20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20" x14ac:dyDescent="0.35">
      <c r="F73" s="81"/>
      <c r="G73" s="81"/>
      <c r="H73" s="95"/>
      <c r="I73" s="96"/>
      <c r="J73" s="97"/>
      <c r="K73" s="96"/>
    </row>
  </sheetData>
  <mergeCells count="61">
    <mergeCell ref="A25:B25"/>
    <mergeCell ref="C25:D25"/>
    <mergeCell ref="A1:L1"/>
    <mergeCell ref="A2:B2"/>
    <mergeCell ref="C2:D2"/>
    <mergeCell ref="E2:F2"/>
    <mergeCell ref="G2:H2"/>
    <mergeCell ref="I2:J2"/>
    <mergeCell ref="K2:L2"/>
    <mergeCell ref="A24:B24"/>
    <mergeCell ref="C24:D24"/>
    <mergeCell ref="K27:L27"/>
    <mergeCell ref="A26:B26"/>
    <mergeCell ref="C26:D26"/>
    <mergeCell ref="G26:H26"/>
    <mergeCell ref="I26:J26"/>
    <mergeCell ref="K26:L26"/>
    <mergeCell ref="A27:B27"/>
    <mergeCell ref="C27:D27"/>
    <mergeCell ref="E27:F27"/>
    <mergeCell ref="G27:H27"/>
    <mergeCell ref="I27:J27"/>
    <mergeCell ref="A31:L31"/>
    <mergeCell ref="A32:B32"/>
    <mergeCell ref="C32:D32"/>
    <mergeCell ref="E32:F32"/>
    <mergeCell ref="G32:H32"/>
    <mergeCell ref="I32:J32"/>
    <mergeCell ref="K32:L3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K64:L64"/>
    <mergeCell ref="K62:L62"/>
    <mergeCell ref="E63:F63"/>
    <mergeCell ref="G63:H63"/>
    <mergeCell ref="I63:J63"/>
    <mergeCell ref="K63:L63"/>
    <mergeCell ref="G62:H62"/>
    <mergeCell ref="I62:J62"/>
    <mergeCell ref="A64:B64"/>
    <mergeCell ref="C64:D64"/>
    <mergeCell ref="E64:F64"/>
    <mergeCell ref="G64:H64"/>
    <mergeCell ref="I64:J64"/>
    <mergeCell ref="A69:L69"/>
    <mergeCell ref="A66:B66"/>
    <mergeCell ref="C66:D66"/>
    <mergeCell ref="E66:F66"/>
    <mergeCell ref="G66:H66"/>
    <mergeCell ref="I66:J66"/>
    <mergeCell ref="K66:L6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C2F3-F74F-48BA-9E6A-8AC7956E6C98}">
  <dimension ref="A1:X73"/>
  <sheetViews>
    <sheetView topLeftCell="A21" workbookViewId="0">
      <selection activeCell="B30" sqref="B30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7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</cols>
  <sheetData>
    <row r="1" spans="1:20" ht="15" thickBot="1" x14ac:dyDescent="0.4">
      <c r="A1" s="381" t="s">
        <v>280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268</v>
      </c>
      <c r="B2" s="397"/>
      <c r="C2" s="405" t="s">
        <v>269</v>
      </c>
      <c r="D2" s="406"/>
      <c r="E2" s="405" t="s">
        <v>270</v>
      </c>
      <c r="F2" s="406"/>
      <c r="G2" s="405" t="s">
        <v>271</v>
      </c>
      <c r="H2" s="406"/>
      <c r="I2" s="401" t="s">
        <v>272</v>
      </c>
      <c r="J2" s="402"/>
      <c r="K2" s="405" t="s">
        <v>273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4</v>
      </c>
      <c r="B4" s="63">
        <v>7918.5</v>
      </c>
      <c r="C4" s="41">
        <v>1</v>
      </c>
      <c r="D4" s="63">
        <v>7827</v>
      </c>
      <c r="E4" s="41">
        <v>1</v>
      </c>
      <c r="F4" s="63">
        <v>9198</v>
      </c>
      <c r="G4" s="41">
        <v>1</v>
      </c>
      <c r="H4" s="63">
        <v>8768</v>
      </c>
      <c r="I4" s="49">
        <v>4</v>
      </c>
      <c r="J4" s="63">
        <v>9961</v>
      </c>
      <c r="K4" s="41">
        <v>1</v>
      </c>
      <c r="L4" s="63">
        <v>10212.5</v>
      </c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5</v>
      </c>
      <c r="B5" s="63">
        <v>7914</v>
      </c>
      <c r="C5" s="41">
        <v>2</v>
      </c>
      <c r="D5" s="63">
        <v>7755.5</v>
      </c>
      <c r="E5" s="41">
        <v>2</v>
      </c>
      <c r="F5" s="63">
        <v>9213.5</v>
      </c>
      <c r="G5" s="41">
        <v>6</v>
      </c>
      <c r="H5" s="63">
        <v>8984.5</v>
      </c>
      <c r="I5" s="49">
        <v>5</v>
      </c>
      <c r="J5" s="63">
        <v>9991.5</v>
      </c>
      <c r="K5" s="41">
        <v>2</v>
      </c>
      <c r="L5" s="63">
        <v>10117.5</v>
      </c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6</v>
      </c>
      <c r="B6" s="63">
        <v>8129.5</v>
      </c>
      <c r="C6" s="41">
        <v>3</v>
      </c>
      <c r="D6" s="63">
        <v>7832.5</v>
      </c>
      <c r="E6" s="41">
        <v>3</v>
      </c>
      <c r="F6" s="63">
        <v>9266</v>
      </c>
      <c r="G6" s="41">
        <v>7</v>
      </c>
      <c r="H6" s="63">
        <v>8981.5</v>
      </c>
      <c r="I6" s="49">
        <v>6</v>
      </c>
      <c r="J6" s="63">
        <v>10025.5</v>
      </c>
      <c r="K6" s="41">
        <v>3</v>
      </c>
      <c r="L6" s="63">
        <v>9967</v>
      </c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v>8036.5</v>
      </c>
      <c r="C7" s="41">
        <v>4</v>
      </c>
      <c r="D7" s="63">
        <v>7833.5</v>
      </c>
      <c r="E7" s="41">
        <v>4</v>
      </c>
      <c r="F7" s="63">
        <v>8786.5</v>
      </c>
      <c r="G7" s="41">
        <v>8</v>
      </c>
      <c r="H7" s="63">
        <v>9001.5</v>
      </c>
      <c r="I7" s="49">
        <v>7</v>
      </c>
      <c r="J7" s="63">
        <v>10361</v>
      </c>
      <c r="K7" s="41">
        <v>4</v>
      </c>
      <c r="L7" s="63">
        <v>9852</v>
      </c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v>8146</v>
      </c>
      <c r="C8" s="41">
        <v>5</v>
      </c>
      <c r="D8" s="63">
        <v>7936.5</v>
      </c>
      <c r="E8" s="41">
        <v>5</v>
      </c>
      <c r="F8" s="63">
        <v>9021.5</v>
      </c>
      <c r="G8" s="41">
        <v>9</v>
      </c>
      <c r="H8" s="63">
        <v>8993</v>
      </c>
      <c r="I8" s="49">
        <v>10</v>
      </c>
      <c r="J8" s="63">
        <v>10742.5</v>
      </c>
      <c r="K8" s="41">
        <v>7</v>
      </c>
      <c r="L8" s="63">
        <v>9848</v>
      </c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11</v>
      </c>
      <c r="B9" s="63">
        <v>7951.5</v>
      </c>
      <c r="C9" s="41">
        <v>8</v>
      </c>
      <c r="D9" s="63">
        <v>8007</v>
      </c>
      <c r="E9" s="41">
        <v>9</v>
      </c>
      <c r="F9" s="63">
        <v>8895</v>
      </c>
      <c r="G9" s="41">
        <v>12</v>
      </c>
      <c r="H9" s="63">
        <v>8901</v>
      </c>
      <c r="I9" s="49">
        <v>11</v>
      </c>
      <c r="J9" s="63">
        <v>10528</v>
      </c>
      <c r="K9" s="41">
        <v>8</v>
      </c>
      <c r="L9" s="63">
        <v>9978.5</v>
      </c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12</v>
      </c>
      <c r="B10" s="63">
        <v>7983</v>
      </c>
      <c r="C10" s="41">
        <v>9</v>
      </c>
      <c r="D10" s="63">
        <v>8146.5</v>
      </c>
      <c r="E10" s="41">
        <v>10</v>
      </c>
      <c r="F10" s="63">
        <v>8939</v>
      </c>
      <c r="G10" s="41">
        <v>13</v>
      </c>
      <c r="H10" s="63">
        <v>8904</v>
      </c>
      <c r="I10" s="49">
        <v>12</v>
      </c>
      <c r="J10" s="63">
        <v>10537</v>
      </c>
      <c r="K10" s="41">
        <v>9</v>
      </c>
      <c r="L10" s="63">
        <v>9877</v>
      </c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13</v>
      </c>
      <c r="B11" s="63">
        <v>7960.5</v>
      </c>
      <c r="C11" s="41">
        <v>10</v>
      </c>
      <c r="D11" s="63">
        <v>8279.5</v>
      </c>
      <c r="E11" s="41">
        <v>11</v>
      </c>
      <c r="F11" s="63">
        <v>9062.5</v>
      </c>
      <c r="G11" s="41">
        <v>14</v>
      </c>
      <c r="H11" s="63">
        <v>9011</v>
      </c>
      <c r="I11" s="49">
        <v>13</v>
      </c>
      <c r="J11" s="63">
        <v>10253.5</v>
      </c>
      <c r="K11" s="41">
        <v>10</v>
      </c>
      <c r="L11" s="63">
        <v>9808.5</v>
      </c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v>8002.5</v>
      </c>
      <c r="C12" s="41">
        <v>11</v>
      </c>
      <c r="D12" s="63">
        <v>8292</v>
      </c>
      <c r="E12" s="41">
        <v>12</v>
      </c>
      <c r="F12" s="63">
        <v>9052.5</v>
      </c>
      <c r="G12" s="41">
        <v>15</v>
      </c>
      <c r="H12" s="63">
        <v>9187.5</v>
      </c>
      <c r="I12" s="49">
        <v>14</v>
      </c>
      <c r="J12" s="63">
        <v>10212</v>
      </c>
      <c r="K12" s="41">
        <v>11</v>
      </c>
      <c r="L12" s="63">
        <v>10029</v>
      </c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41">
        <v>15</v>
      </c>
      <c r="B13" s="63">
        <v>7979.5</v>
      </c>
      <c r="C13" s="41">
        <v>12</v>
      </c>
      <c r="D13" s="63">
        <v>8270.5</v>
      </c>
      <c r="E13" s="41">
        <v>15</v>
      </c>
      <c r="F13" s="63">
        <v>9145.5</v>
      </c>
      <c r="G13" s="41">
        <v>16</v>
      </c>
      <c r="H13" s="180">
        <v>9336</v>
      </c>
      <c r="I13" s="49">
        <v>17</v>
      </c>
      <c r="J13" s="63">
        <v>10257</v>
      </c>
      <c r="K13" s="41">
        <v>14</v>
      </c>
      <c r="L13" s="63">
        <v>9900</v>
      </c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18</v>
      </c>
      <c r="B14" s="63">
        <v>7972.5</v>
      </c>
      <c r="C14" s="41">
        <v>15</v>
      </c>
      <c r="D14" s="63">
        <v>8416.5</v>
      </c>
      <c r="E14" s="41">
        <v>16</v>
      </c>
      <c r="F14" s="63">
        <v>8965.5</v>
      </c>
      <c r="G14" s="41">
        <v>19</v>
      </c>
      <c r="H14" s="63">
        <v>9415</v>
      </c>
      <c r="I14" s="49">
        <v>18</v>
      </c>
      <c r="J14" s="63">
        <v>10465</v>
      </c>
      <c r="K14" s="41">
        <v>15</v>
      </c>
      <c r="L14" s="63">
        <v>9552.5</v>
      </c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19</v>
      </c>
      <c r="B15" s="63">
        <v>7986.5</v>
      </c>
      <c r="C15" s="41">
        <v>16</v>
      </c>
      <c r="D15" s="63">
        <v>8439.5</v>
      </c>
      <c r="E15" s="41">
        <v>17</v>
      </c>
      <c r="F15" s="63">
        <v>9027</v>
      </c>
      <c r="G15" s="41">
        <v>20</v>
      </c>
      <c r="H15" s="63">
        <v>9396.5</v>
      </c>
      <c r="I15" s="49">
        <v>19</v>
      </c>
      <c r="J15" s="63">
        <v>10114.5</v>
      </c>
      <c r="K15" s="41">
        <v>16</v>
      </c>
      <c r="L15" s="63">
        <v>9508</v>
      </c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20</v>
      </c>
      <c r="B16" s="63">
        <v>8014.5</v>
      </c>
      <c r="C16" s="41">
        <v>17</v>
      </c>
      <c r="D16" s="63">
        <v>8413.5</v>
      </c>
      <c r="E16" s="41">
        <v>18</v>
      </c>
      <c r="F16" s="63">
        <v>9090</v>
      </c>
      <c r="G16" s="41">
        <v>21</v>
      </c>
      <c r="H16" s="63">
        <v>9382.5</v>
      </c>
      <c r="I16" s="49">
        <v>20</v>
      </c>
      <c r="J16" s="63">
        <v>10086</v>
      </c>
      <c r="K16" s="41">
        <v>17</v>
      </c>
      <c r="L16" s="63">
        <v>9427.5</v>
      </c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21</v>
      </c>
      <c r="B17" s="63">
        <v>8051</v>
      </c>
      <c r="C17" s="41">
        <v>18</v>
      </c>
      <c r="D17" s="63">
        <v>8650</v>
      </c>
      <c r="E17" s="41">
        <v>19</v>
      </c>
      <c r="F17" s="63">
        <v>9036</v>
      </c>
      <c r="G17" s="179">
        <v>22</v>
      </c>
      <c r="H17" s="180">
        <v>9475.5</v>
      </c>
      <c r="I17" s="49">
        <v>21</v>
      </c>
      <c r="J17" s="63">
        <v>10011</v>
      </c>
      <c r="K17" s="41">
        <v>18</v>
      </c>
      <c r="L17" s="63">
        <v>9206</v>
      </c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22</v>
      </c>
      <c r="B18" s="63">
        <v>7872</v>
      </c>
      <c r="C18" s="41">
        <v>19</v>
      </c>
      <c r="D18" s="63">
        <v>8806.5</v>
      </c>
      <c r="E18" s="41">
        <v>22</v>
      </c>
      <c r="F18" s="63">
        <v>9097.5</v>
      </c>
      <c r="G18" s="41">
        <v>23</v>
      </c>
      <c r="H18" s="63">
        <v>9545.5</v>
      </c>
      <c r="I18" s="49">
        <v>24</v>
      </c>
      <c r="J18" s="63">
        <v>9868</v>
      </c>
      <c r="K18" s="41">
        <v>21</v>
      </c>
      <c r="L18" s="63">
        <v>9042.5</v>
      </c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41">
        <v>25</v>
      </c>
      <c r="B19" s="63">
        <v>7984.5</v>
      </c>
      <c r="C19" s="41">
        <v>22</v>
      </c>
      <c r="D19" s="63">
        <v>9067.5</v>
      </c>
      <c r="E19" s="41">
        <v>23</v>
      </c>
      <c r="F19" s="63">
        <v>9016.5</v>
      </c>
      <c r="G19" s="41">
        <v>26</v>
      </c>
      <c r="H19" s="63">
        <v>9758</v>
      </c>
      <c r="I19" s="49">
        <v>25</v>
      </c>
      <c r="J19" s="63">
        <v>9943</v>
      </c>
      <c r="K19" s="41">
        <v>22</v>
      </c>
      <c r="L19" s="63">
        <v>9190.5</v>
      </c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41">
        <v>26</v>
      </c>
      <c r="B20" s="63">
        <v>7957</v>
      </c>
      <c r="C20" s="41">
        <v>23</v>
      </c>
      <c r="D20" s="63">
        <v>9158</v>
      </c>
      <c r="E20" s="41">
        <v>24</v>
      </c>
      <c r="F20" s="63">
        <v>9016</v>
      </c>
      <c r="G20" s="41">
        <v>27</v>
      </c>
      <c r="H20" s="63">
        <v>9898.5</v>
      </c>
      <c r="I20" s="49">
        <v>26</v>
      </c>
      <c r="J20" s="63">
        <v>9965</v>
      </c>
      <c r="K20" s="41">
        <v>23</v>
      </c>
      <c r="L20" s="63">
        <v>9289.5</v>
      </c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27</v>
      </c>
      <c r="B21" s="63">
        <v>7895</v>
      </c>
      <c r="C21" s="41">
        <v>24</v>
      </c>
      <c r="D21" s="63">
        <v>9286</v>
      </c>
      <c r="E21" s="41">
        <v>25</v>
      </c>
      <c r="F21" s="63">
        <v>8781</v>
      </c>
      <c r="G21" s="41">
        <v>28</v>
      </c>
      <c r="H21" s="63">
        <v>9832.5</v>
      </c>
      <c r="I21" s="49">
        <v>27</v>
      </c>
      <c r="J21" s="63">
        <v>10032.5</v>
      </c>
      <c r="K21" s="41">
        <v>24</v>
      </c>
      <c r="L21" s="63">
        <v>9390.5</v>
      </c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28</v>
      </c>
      <c r="B22" s="63">
        <v>7778.5</v>
      </c>
      <c r="C22" s="41">
        <v>25</v>
      </c>
      <c r="D22" s="63">
        <v>9614.5</v>
      </c>
      <c r="E22" s="41">
        <v>26</v>
      </c>
      <c r="F22" s="63">
        <v>8929</v>
      </c>
      <c r="G22" s="41">
        <v>29</v>
      </c>
      <c r="H22" s="63">
        <v>9990</v>
      </c>
      <c r="I22" s="42">
        <v>28</v>
      </c>
      <c r="J22" s="64">
        <v>10159.5</v>
      </c>
      <c r="K22" s="41">
        <v>25</v>
      </c>
      <c r="L22" s="63">
        <v>9432.5</v>
      </c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1">
        <v>29</v>
      </c>
      <c r="B23" s="64">
        <v>7877</v>
      </c>
      <c r="C23" s="42">
        <v>26</v>
      </c>
      <c r="D23" s="64">
        <v>9172.5</v>
      </c>
      <c r="E23" s="41">
        <v>29</v>
      </c>
      <c r="F23" s="63">
        <v>8942.5</v>
      </c>
      <c r="G23" s="42">
        <v>30</v>
      </c>
      <c r="H23" s="64">
        <v>9949</v>
      </c>
      <c r="I23" s="394"/>
      <c r="J23" s="395"/>
      <c r="K23" s="41">
        <v>28</v>
      </c>
      <c r="L23" s="63">
        <v>9333.5</v>
      </c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394"/>
      <c r="B24" s="395"/>
      <c r="C24" s="394"/>
      <c r="D24" s="395"/>
      <c r="E24" s="41">
        <v>30</v>
      </c>
      <c r="F24" s="63">
        <v>8788.5</v>
      </c>
      <c r="G24" s="394"/>
      <c r="H24" s="395"/>
      <c r="I24" s="394"/>
      <c r="J24" s="395"/>
      <c r="K24" s="41">
        <v>29</v>
      </c>
      <c r="L24" s="63">
        <v>9225.5</v>
      </c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394"/>
      <c r="B25" s="395"/>
      <c r="C25" s="394"/>
      <c r="D25" s="395"/>
      <c r="E25" s="42">
        <v>31</v>
      </c>
      <c r="F25" s="64">
        <v>8850.5</v>
      </c>
      <c r="G25" s="394"/>
      <c r="H25" s="395"/>
      <c r="I25" s="394"/>
      <c r="J25" s="395"/>
      <c r="K25" s="72">
        <v>30</v>
      </c>
      <c r="L25" s="64">
        <v>9385</v>
      </c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E26" s="394"/>
      <c r="F26" s="395"/>
      <c r="G26" s="394"/>
      <c r="H26" s="395"/>
      <c r="I26" s="394"/>
      <c r="J26" s="395"/>
      <c r="K26" s="394"/>
      <c r="L26" s="395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B28/'2020'!L65-1</f>
        <v>2.7756969175979362E-2</v>
      </c>
      <c r="B27" s="385"/>
      <c r="C27" s="384">
        <f>D28/B28-1</f>
        <v>6.1445329653095682E-2</v>
      </c>
      <c r="D27" s="385"/>
      <c r="E27" s="384">
        <f>F28/D28-1</f>
        <v>6.4443077385957448E-2</v>
      </c>
      <c r="F27" s="385"/>
      <c r="G27" s="384">
        <f>H28/F28-1</f>
        <v>3.6655057540884162E-2</v>
      </c>
      <c r="H27" s="385"/>
      <c r="I27" s="384">
        <f>J28/H28-1</f>
        <v>9.0982433025539988E-2</v>
      </c>
      <c r="J27" s="385"/>
      <c r="K27" s="384">
        <f>L28/J28-1</f>
        <v>-5.5763199043900369E-2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AVERAGE(B4:B24)</f>
        <v>7970.5</v>
      </c>
      <c r="C28" s="55" t="s">
        <v>10</v>
      </c>
      <c r="D28" s="66">
        <f>AVERAGE(D4:D23)</f>
        <v>8460.25</v>
      </c>
      <c r="E28" s="55" t="s">
        <v>10</v>
      </c>
      <c r="F28" s="66">
        <f>AVERAGE(F4:F25)</f>
        <v>9005.454545454546</v>
      </c>
      <c r="G28" s="55" t="s">
        <v>10</v>
      </c>
      <c r="H28" s="66">
        <f>AVERAGE(H4:H24)</f>
        <v>9335.5499999999993</v>
      </c>
      <c r="I28" s="56" t="s">
        <v>10</v>
      </c>
      <c r="J28" s="66">
        <f>AVERAGE(J4:J22)</f>
        <v>10184.921052631578</v>
      </c>
      <c r="K28" s="55" t="s">
        <v>10</v>
      </c>
      <c r="L28" s="66">
        <f>AVERAGE(L4:L25)</f>
        <v>9616.9772727272721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42686.80980000001</v>
      </c>
      <c r="C29" s="67" t="s">
        <v>11</v>
      </c>
      <c r="D29" s="67">
        <f>D28*C30</f>
        <v>45819.820973611102</v>
      </c>
      <c r="E29" s="67" t="s">
        <v>11</v>
      </c>
      <c r="F29" s="67">
        <f>F28*E30</f>
        <v>50840.724332015816</v>
      </c>
      <c r="G29" s="67" t="s">
        <v>11</v>
      </c>
      <c r="H29" s="67">
        <f>H28*G30</f>
        <v>51919.988069249994</v>
      </c>
      <c r="I29" s="67" t="s">
        <v>11</v>
      </c>
      <c r="J29" s="67">
        <f>J28*I30</f>
        <v>53882.7913330827</v>
      </c>
      <c r="K29" s="67" t="s">
        <v>11</v>
      </c>
      <c r="L29" s="67">
        <f>L28*K30</f>
        <v>48385.943547402596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v>5.3556000000000008</v>
      </c>
      <c r="B30" s="73">
        <f>B29/'2020'!L67-1</f>
        <v>6.9837430298892444E-2</v>
      </c>
      <c r="C30" s="67">
        <v>5.4158944444444437</v>
      </c>
      <c r="D30" s="73">
        <f>D29/B29-1</f>
        <v>7.3395299116756574E-2</v>
      </c>
      <c r="E30" s="67">
        <v>5.6455478260869567</v>
      </c>
      <c r="F30" s="73">
        <f>F29/D29-1</f>
        <v>0.10957928799626671</v>
      </c>
      <c r="G30" s="67">
        <v>5.5615350000000001</v>
      </c>
      <c r="H30" s="73">
        <f>H29/F29-1</f>
        <v>2.1228331252443056E-2</v>
      </c>
      <c r="I30" s="67">
        <v>5.2904476190476188</v>
      </c>
      <c r="J30" s="73">
        <f>J29/H29-1</f>
        <v>3.7804385879572022E-2</v>
      </c>
      <c r="K30" s="67">
        <v>5.0313047619047619</v>
      </c>
      <c r="L30" s="73">
        <f>L29/J29-1</f>
        <v>-0.10201490401083169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thickBot="1" x14ac:dyDescent="0.4">
      <c r="A31" s="381" t="s">
        <v>280</v>
      </c>
      <c r="B31" s="382"/>
      <c r="C31" s="382"/>
      <c r="D31" s="382"/>
      <c r="E31" s="382"/>
      <c r="F31" s="382"/>
      <c r="G31" s="382"/>
      <c r="H31" s="382"/>
      <c r="I31" s="409"/>
      <c r="J31" s="409"/>
      <c r="K31" s="382"/>
      <c r="L31" s="383"/>
      <c r="O31" s="116" t="s">
        <v>38</v>
      </c>
    </row>
    <row r="32" spans="1:21" x14ac:dyDescent="0.35">
      <c r="A32" s="405" t="s">
        <v>274</v>
      </c>
      <c r="B32" s="406"/>
      <c r="C32" s="405" t="s">
        <v>275</v>
      </c>
      <c r="D32" s="406"/>
      <c r="E32" s="401" t="s">
        <v>276</v>
      </c>
      <c r="F32" s="402"/>
      <c r="G32" s="405" t="s">
        <v>277</v>
      </c>
      <c r="H32" s="406"/>
      <c r="I32" s="401" t="s">
        <v>278</v>
      </c>
      <c r="J32" s="402"/>
      <c r="K32" s="405" t="s">
        <v>279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idden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1</v>
      </c>
      <c r="B41" s="63">
        <v>9342</v>
      </c>
      <c r="C41" s="41">
        <v>2</v>
      </c>
      <c r="D41" s="63">
        <v>9737</v>
      </c>
      <c r="E41" s="250">
        <v>1</v>
      </c>
      <c r="F41" s="63">
        <v>9312</v>
      </c>
      <c r="G41" s="41">
        <v>1</v>
      </c>
      <c r="H41" s="63">
        <v>9113</v>
      </c>
      <c r="I41" s="49">
        <v>1</v>
      </c>
      <c r="J41" s="63">
        <v>9875</v>
      </c>
      <c r="K41" s="49">
        <v>1</v>
      </c>
      <c r="L41" s="63">
        <v>9571</v>
      </c>
      <c r="O41" s="81" t="e">
        <f>#REF!</f>
        <v>#REF!</v>
      </c>
      <c r="P41" s="77" t="e">
        <f>#REF!</f>
        <v>#REF!</v>
      </c>
      <c r="Q41" s="79" t="e">
        <f>#REF!</f>
        <v>#REF!</v>
      </c>
      <c r="R41" s="98" t="e">
        <f>#REF!</f>
        <v>#REF!</v>
      </c>
      <c r="S41" s="79" t="e">
        <f>#REF!</f>
        <v>#REF!</v>
      </c>
      <c r="T41" s="104" t="e">
        <f>#REF!</f>
        <v>#REF!</v>
      </c>
    </row>
    <row r="42" spans="1:24" x14ac:dyDescent="0.35">
      <c r="A42" s="41">
        <v>2</v>
      </c>
      <c r="B42" s="63">
        <v>9296.5</v>
      </c>
      <c r="C42" s="41">
        <v>3</v>
      </c>
      <c r="D42" s="63">
        <v>9583.5</v>
      </c>
      <c r="E42" s="41">
        <v>2</v>
      </c>
      <c r="F42" s="63">
        <v>9347</v>
      </c>
      <c r="G42" s="41">
        <v>4</v>
      </c>
      <c r="H42" s="63">
        <v>9267.5</v>
      </c>
      <c r="I42" s="177">
        <v>2</v>
      </c>
      <c r="J42" s="63">
        <v>9817</v>
      </c>
      <c r="K42" s="49">
        <v>2</v>
      </c>
      <c r="L42" s="63">
        <v>9520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</row>
    <row r="43" spans="1:24" x14ac:dyDescent="0.35">
      <c r="A43" s="41">
        <v>5</v>
      </c>
      <c r="B43" s="63">
        <v>9432</v>
      </c>
      <c r="C43" s="41">
        <v>4</v>
      </c>
      <c r="D43" s="63">
        <v>9503</v>
      </c>
      <c r="E43" s="41">
        <v>3</v>
      </c>
      <c r="F43" s="63">
        <v>9361</v>
      </c>
      <c r="G43" s="41">
        <v>5</v>
      </c>
      <c r="H43" s="63">
        <v>9091.5</v>
      </c>
      <c r="I43" s="49">
        <v>3</v>
      </c>
      <c r="J43" s="63">
        <v>9825</v>
      </c>
      <c r="K43" s="49">
        <v>3</v>
      </c>
      <c r="L43" s="63">
        <v>9513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</row>
    <row r="44" spans="1:24" x14ac:dyDescent="0.35">
      <c r="A44" s="41">
        <v>6</v>
      </c>
      <c r="B44" s="63">
        <v>9528</v>
      </c>
      <c r="C44" s="41">
        <v>5</v>
      </c>
      <c r="D44" s="63">
        <v>9429</v>
      </c>
      <c r="E44" s="41">
        <v>6</v>
      </c>
      <c r="F44" s="63">
        <v>9401.25</v>
      </c>
      <c r="G44" s="41">
        <v>6</v>
      </c>
      <c r="H44" s="63">
        <v>9096</v>
      </c>
      <c r="I44" s="49">
        <v>4</v>
      </c>
      <c r="J44" s="63">
        <v>9785</v>
      </c>
      <c r="K44" s="49">
        <v>6</v>
      </c>
      <c r="L44" s="63">
        <v>9526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7</v>
      </c>
      <c r="B45" s="63">
        <v>9451.5</v>
      </c>
      <c r="C45" s="41">
        <v>6</v>
      </c>
      <c r="D45" s="63">
        <v>9529.5</v>
      </c>
      <c r="E45" s="41">
        <v>7</v>
      </c>
      <c r="F45" s="63">
        <v>9324.5</v>
      </c>
      <c r="G45" s="41">
        <v>7</v>
      </c>
      <c r="H45" s="63">
        <v>9177</v>
      </c>
      <c r="I45" s="49">
        <v>5</v>
      </c>
      <c r="J45" s="63">
        <v>9740</v>
      </c>
      <c r="K45" s="49">
        <v>7</v>
      </c>
      <c r="L45" s="63">
        <v>9647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8</v>
      </c>
      <c r="B46" s="63">
        <v>9264.5</v>
      </c>
      <c r="C46" s="41">
        <v>9</v>
      </c>
      <c r="D46" s="63">
        <v>9311.5</v>
      </c>
      <c r="E46" s="41">
        <v>8</v>
      </c>
      <c r="F46" s="63">
        <v>9255.5</v>
      </c>
      <c r="G46" s="41">
        <v>8</v>
      </c>
      <c r="H46" s="63">
        <v>9246</v>
      </c>
      <c r="I46" s="49">
        <v>8</v>
      </c>
      <c r="J46" s="63">
        <v>9885</v>
      </c>
      <c r="K46" s="49">
        <v>8</v>
      </c>
      <c r="L46" s="63">
        <v>9555.5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9</v>
      </c>
      <c r="B47" s="63">
        <v>9437.5</v>
      </c>
      <c r="C47" s="41">
        <v>10</v>
      </c>
      <c r="D47" s="63">
        <v>9409.5</v>
      </c>
      <c r="E47" s="41">
        <v>9</v>
      </c>
      <c r="F47" s="63">
        <v>9356.25</v>
      </c>
      <c r="G47" s="41">
        <v>11</v>
      </c>
      <c r="H47" s="63">
        <v>9527</v>
      </c>
      <c r="I47" s="49">
        <v>9</v>
      </c>
      <c r="J47" s="63">
        <v>10002</v>
      </c>
      <c r="K47" s="49">
        <v>9</v>
      </c>
      <c r="L47" s="63">
        <v>9578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80" t="e">
        <f>#REF!</f>
        <v>#REF!</v>
      </c>
      <c r="S47" s="79" t="e">
        <f>#REF!</f>
        <v>#REF!</v>
      </c>
      <c r="T47" s="104" t="e">
        <f>#REF!</f>
        <v>#REF!</v>
      </c>
      <c r="V47" s="81"/>
      <c r="W47" s="81"/>
      <c r="X47" s="81"/>
    </row>
    <row r="48" spans="1:24" x14ac:dyDescent="0.35">
      <c r="A48" s="41">
        <v>12</v>
      </c>
      <c r="B48" s="63">
        <v>9347</v>
      </c>
      <c r="C48" s="41">
        <v>11</v>
      </c>
      <c r="D48" s="63">
        <v>9421</v>
      </c>
      <c r="E48" s="41">
        <v>10</v>
      </c>
      <c r="F48" s="63">
        <v>9514.75</v>
      </c>
      <c r="G48" s="41">
        <v>12</v>
      </c>
      <c r="H48" s="63">
        <v>9585</v>
      </c>
      <c r="I48" s="49">
        <v>10</v>
      </c>
      <c r="J48" s="63">
        <v>9791</v>
      </c>
      <c r="K48" s="49">
        <v>10</v>
      </c>
      <c r="L48" s="63">
        <v>9543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</row>
    <row r="49" spans="1:21" x14ac:dyDescent="0.35">
      <c r="A49" s="41">
        <v>13</v>
      </c>
      <c r="B49" s="63">
        <v>9310</v>
      </c>
      <c r="C49" s="41">
        <v>12</v>
      </c>
      <c r="D49" s="63">
        <v>9508.5</v>
      </c>
      <c r="E49" s="41">
        <v>13</v>
      </c>
      <c r="F49" s="63">
        <v>9626.5</v>
      </c>
      <c r="G49" s="41">
        <v>13</v>
      </c>
      <c r="H49" s="63">
        <v>9661</v>
      </c>
      <c r="I49" s="49">
        <v>11</v>
      </c>
      <c r="J49" s="63">
        <v>9850</v>
      </c>
      <c r="K49" s="49">
        <v>13</v>
      </c>
      <c r="L49" s="63">
        <v>9500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14</v>
      </c>
      <c r="B50" s="63">
        <v>9309</v>
      </c>
      <c r="C50" s="41">
        <v>13</v>
      </c>
      <c r="D50" s="63">
        <v>9429.5</v>
      </c>
      <c r="E50" s="41">
        <v>14</v>
      </c>
      <c r="F50" s="63">
        <v>9407</v>
      </c>
      <c r="G50" s="41">
        <v>14</v>
      </c>
      <c r="H50" s="63">
        <v>9971</v>
      </c>
      <c r="I50" s="49">
        <v>12</v>
      </c>
      <c r="J50" s="63">
        <v>9854.5</v>
      </c>
      <c r="K50" s="49">
        <v>14</v>
      </c>
      <c r="L50" s="63">
        <v>9485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15</v>
      </c>
      <c r="B51" s="63">
        <v>9347</v>
      </c>
      <c r="C51" s="41">
        <v>16</v>
      </c>
      <c r="D51" s="63">
        <v>9377</v>
      </c>
      <c r="E51" s="41">
        <v>15</v>
      </c>
      <c r="F51" s="63">
        <v>9488.5</v>
      </c>
      <c r="G51" s="41">
        <v>15</v>
      </c>
      <c r="H51" s="63">
        <v>10555</v>
      </c>
      <c r="I51" s="49">
        <v>15</v>
      </c>
      <c r="J51" s="63">
        <v>9845</v>
      </c>
      <c r="K51" s="49">
        <v>15</v>
      </c>
      <c r="L51" s="63">
        <v>9290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16</v>
      </c>
      <c r="B52" s="63">
        <v>9396.5</v>
      </c>
      <c r="C52" s="41">
        <v>17</v>
      </c>
      <c r="D52" s="63">
        <v>9346.5</v>
      </c>
      <c r="E52" s="41">
        <v>16</v>
      </c>
      <c r="F52" s="63">
        <v>9392</v>
      </c>
      <c r="G52" s="41">
        <v>18</v>
      </c>
      <c r="H52" s="63">
        <v>10500</v>
      </c>
      <c r="I52" s="49">
        <v>16</v>
      </c>
      <c r="J52" s="63">
        <v>9680</v>
      </c>
      <c r="K52" s="49">
        <v>16</v>
      </c>
      <c r="L52" s="63">
        <v>9506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19</v>
      </c>
      <c r="B53" s="63">
        <v>9264.5</v>
      </c>
      <c r="C53" s="41">
        <v>18</v>
      </c>
      <c r="D53" s="63">
        <v>9148.5</v>
      </c>
      <c r="E53" s="41">
        <v>17</v>
      </c>
      <c r="F53" s="63">
        <v>9435.5</v>
      </c>
      <c r="G53" s="41">
        <v>19</v>
      </c>
      <c r="H53" s="63">
        <v>10652</v>
      </c>
      <c r="I53" s="49">
        <v>17</v>
      </c>
      <c r="J53" s="63">
        <v>9495</v>
      </c>
      <c r="K53" s="49">
        <v>17</v>
      </c>
      <c r="L53" s="63">
        <v>9520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20</v>
      </c>
      <c r="B54" s="63">
        <v>9211</v>
      </c>
      <c r="C54" s="41">
        <v>19</v>
      </c>
      <c r="D54" s="63">
        <v>8775.5</v>
      </c>
      <c r="E54" s="41">
        <v>20</v>
      </c>
      <c r="F54" s="63">
        <v>9145.5</v>
      </c>
      <c r="G54" s="41">
        <v>20</v>
      </c>
      <c r="H54" s="63">
        <v>10161</v>
      </c>
      <c r="I54" s="49">
        <v>18</v>
      </c>
      <c r="J54" s="63">
        <v>9450</v>
      </c>
      <c r="K54" s="49">
        <v>20</v>
      </c>
      <c r="L54" s="63">
        <v>9406</v>
      </c>
      <c r="M54" s="106"/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  <c r="U54" s="106"/>
    </row>
    <row r="55" spans="1:21" x14ac:dyDescent="0.35">
      <c r="A55" s="41">
        <v>21</v>
      </c>
      <c r="B55" s="63">
        <v>9271.5</v>
      </c>
      <c r="C55" s="41">
        <v>20</v>
      </c>
      <c r="D55" s="63">
        <v>8922</v>
      </c>
      <c r="E55" s="41">
        <v>21</v>
      </c>
      <c r="F55" s="63">
        <v>9106</v>
      </c>
      <c r="G55" s="41">
        <v>21</v>
      </c>
      <c r="H55" s="63">
        <v>10051</v>
      </c>
      <c r="I55" s="49">
        <v>19</v>
      </c>
      <c r="J55" s="63">
        <v>9620.5</v>
      </c>
      <c r="K55" s="49">
        <v>21</v>
      </c>
      <c r="L55" s="63">
        <v>9521</v>
      </c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</row>
    <row r="56" spans="1:21" x14ac:dyDescent="0.35">
      <c r="A56" s="41">
        <v>22</v>
      </c>
      <c r="B56" s="63">
        <v>9382.5</v>
      </c>
      <c r="C56" s="41">
        <v>23</v>
      </c>
      <c r="D56" s="63">
        <v>9237</v>
      </c>
      <c r="E56" s="41">
        <v>22</v>
      </c>
      <c r="F56" s="63">
        <v>9255</v>
      </c>
      <c r="G56" s="41">
        <v>22</v>
      </c>
      <c r="H56" s="63">
        <v>9992</v>
      </c>
      <c r="I56" s="49">
        <v>22</v>
      </c>
      <c r="J56" s="63">
        <v>9730</v>
      </c>
      <c r="K56" s="49">
        <v>22</v>
      </c>
      <c r="L56" s="63">
        <v>9625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23</v>
      </c>
      <c r="B57" s="63">
        <v>9433.5</v>
      </c>
      <c r="C57" s="41">
        <v>25</v>
      </c>
      <c r="D57" s="63">
        <v>9378.5</v>
      </c>
      <c r="E57" s="41">
        <v>23</v>
      </c>
      <c r="F57" s="63">
        <v>9252</v>
      </c>
      <c r="G57" s="41">
        <v>25</v>
      </c>
      <c r="H57" s="63">
        <v>10050</v>
      </c>
      <c r="I57" s="49">
        <v>23</v>
      </c>
      <c r="J57" s="63">
        <v>9825.5</v>
      </c>
      <c r="K57" s="49">
        <v>23</v>
      </c>
      <c r="L57" s="63">
        <v>9606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24</v>
      </c>
      <c r="B58" s="63">
        <v>9580</v>
      </c>
      <c r="C58" s="41">
        <v>26</v>
      </c>
      <c r="D58" s="63">
        <v>9323</v>
      </c>
      <c r="E58" s="41">
        <v>24</v>
      </c>
      <c r="F58" s="63">
        <v>9275</v>
      </c>
      <c r="G58" s="41">
        <v>26</v>
      </c>
      <c r="H58" s="63">
        <v>9988</v>
      </c>
      <c r="I58" s="49">
        <v>24</v>
      </c>
      <c r="J58" s="63">
        <v>9852</v>
      </c>
      <c r="K58" s="49">
        <v>24</v>
      </c>
      <c r="L58" s="63">
        <v>9582</v>
      </c>
      <c r="O58" s="81" t="e">
        <f>#REF!</f>
        <v>#REF!</v>
      </c>
      <c r="P58" s="115" t="e">
        <f>#REF!</f>
        <v>#REF!</v>
      </c>
      <c r="Q58" s="79" t="e">
        <f>#REF!</f>
        <v>#REF!</v>
      </c>
      <c r="R58" s="80" t="e">
        <f>#REF!</f>
        <v>#REF!</v>
      </c>
      <c r="S58" s="126" t="e">
        <f>#REF!</f>
        <v>#REF!</v>
      </c>
      <c r="T58" t="e">
        <f>#REF!</f>
        <v>#REF!</v>
      </c>
    </row>
    <row r="59" spans="1:21" x14ac:dyDescent="0.35">
      <c r="A59" s="41">
        <v>27</v>
      </c>
      <c r="B59" s="63">
        <v>9709</v>
      </c>
      <c r="C59" s="41">
        <v>27</v>
      </c>
      <c r="D59" s="63">
        <v>9352</v>
      </c>
      <c r="E59" s="41">
        <v>27</v>
      </c>
      <c r="F59" s="63">
        <v>9341</v>
      </c>
      <c r="G59" s="41">
        <v>27</v>
      </c>
      <c r="H59" s="63">
        <v>9849.5</v>
      </c>
      <c r="I59" s="49">
        <v>25</v>
      </c>
      <c r="J59" s="63">
        <v>9932</v>
      </c>
      <c r="K59" s="71">
        <v>29</v>
      </c>
      <c r="L59" s="63">
        <v>9655</v>
      </c>
      <c r="O59" t="e">
        <f>#REF!</f>
        <v>#REF!</v>
      </c>
      <c r="P59" s="79" t="e">
        <f>#REF!</f>
        <v>#REF!</v>
      </c>
      <c r="Q59" t="e">
        <f>#REF!</f>
        <v>#REF!</v>
      </c>
      <c r="R59" t="e">
        <f>#REF!</f>
        <v>#REF!</v>
      </c>
      <c r="S59" t="e">
        <f>#REF!</f>
        <v>#REF!</v>
      </c>
      <c r="T59" t="e">
        <f>#REF!</f>
        <v>#REF!</v>
      </c>
    </row>
    <row r="60" spans="1:21" x14ac:dyDescent="0.35">
      <c r="A60" s="41">
        <v>28</v>
      </c>
      <c r="B60" s="63">
        <v>9697</v>
      </c>
      <c r="C60" s="42">
        <v>31</v>
      </c>
      <c r="D60" s="273">
        <v>9462.5</v>
      </c>
      <c r="E60" s="41">
        <v>28</v>
      </c>
      <c r="F60" s="63">
        <v>9263</v>
      </c>
      <c r="G60" s="41">
        <v>28</v>
      </c>
      <c r="H60" s="63">
        <v>9860</v>
      </c>
      <c r="I60" s="49">
        <v>26</v>
      </c>
      <c r="J60" s="63">
        <v>9630</v>
      </c>
      <c r="K60" s="71">
        <v>30</v>
      </c>
      <c r="L60" s="63">
        <v>9715</v>
      </c>
      <c r="O60" t="e">
        <f>#REF!</f>
        <v>#REF!</v>
      </c>
      <c r="P60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1">
        <v>29</v>
      </c>
      <c r="B61" s="63">
        <v>9781</v>
      </c>
      <c r="D61" s="63"/>
      <c r="E61" s="41">
        <v>29</v>
      </c>
      <c r="F61" s="63">
        <v>9227</v>
      </c>
      <c r="G61" s="41">
        <v>29</v>
      </c>
      <c r="H61" s="63">
        <v>9955</v>
      </c>
      <c r="I61" s="49">
        <v>29</v>
      </c>
      <c r="J61" s="63">
        <v>9751</v>
      </c>
      <c r="K61" s="212">
        <v>31</v>
      </c>
      <c r="L61" s="64">
        <v>9692</v>
      </c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41">
        <v>30</v>
      </c>
      <c r="B62" s="63">
        <v>9747.5</v>
      </c>
      <c r="C62" s="394"/>
      <c r="D62" s="395"/>
      <c r="E62" s="42">
        <v>30</v>
      </c>
      <c r="F62" s="64">
        <v>9041</v>
      </c>
      <c r="G62" s="42">
        <v>30</v>
      </c>
      <c r="H62" s="64"/>
      <c r="I62" s="42">
        <v>30</v>
      </c>
      <c r="J62" s="64">
        <v>9605</v>
      </c>
      <c r="K62" s="394"/>
      <c r="L62" s="395"/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42">
        <v>31</v>
      </c>
      <c r="B63" s="64"/>
      <c r="C63" s="394"/>
      <c r="D63" s="395"/>
      <c r="E63" s="394"/>
      <c r="F63" s="395"/>
      <c r="G63" s="394"/>
      <c r="H63" s="395"/>
      <c r="I63" s="394"/>
      <c r="J63" s="395"/>
      <c r="K63" s="394"/>
      <c r="L63" s="395"/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ht="15" thickBot="1" x14ac:dyDescent="0.4">
      <c r="A64" s="384">
        <f>B65/L28-1</f>
        <v>-1.9069023294505105E-2</v>
      </c>
      <c r="B64" s="385"/>
      <c r="C64" s="384">
        <f>D65/B65-1</f>
        <v>-7.8830966709871886E-3</v>
      </c>
      <c r="D64" s="385"/>
      <c r="E64" s="384">
        <f>F65/D65-1</f>
        <v>-3.7673088219474238E-3</v>
      </c>
      <c r="F64" s="385"/>
      <c r="G64" s="384">
        <f>H65/F65-1</f>
        <v>4.8749008237569447E-2</v>
      </c>
      <c r="H64" s="385"/>
      <c r="I64" s="384">
        <f>J65/H65-1</f>
        <v>-1.3317714652275603E-3</v>
      </c>
      <c r="J64" s="385"/>
      <c r="K64" s="384">
        <f>L65/J65-1</f>
        <v>-2.2033510796104494E-2</v>
      </c>
      <c r="L64" s="385"/>
      <c r="O64" t="e">
        <f>#REF!</f>
        <v>#REF!</v>
      </c>
      <c r="P64" t="e">
        <f>#REF!</f>
        <v>#REF!</v>
      </c>
      <c r="Q64" t="e">
        <f>#REF!</f>
        <v>#REF!</v>
      </c>
      <c r="R64" t="e">
        <f>#REF!</f>
        <v>#REF!</v>
      </c>
      <c r="S64" t="e">
        <f>#REF!</f>
        <v>#REF!</v>
      </c>
      <c r="T64" t="e">
        <f>#REF!</f>
        <v>#REF!</v>
      </c>
    </row>
    <row r="65" spans="1:20" ht="15" thickBot="1" x14ac:dyDescent="0.4">
      <c r="A65" s="65" t="s">
        <v>10</v>
      </c>
      <c r="B65" s="66">
        <f>AVERAGE(B41:B63)</f>
        <v>9433.5909090909099</v>
      </c>
      <c r="C65" s="55" t="s">
        <v>10</v>
      </c>
      <c r="D65" s="66">
        <f>AVERAGE(D41:D63)</f>
        <v>9359.2250000000004</v>
      </c>
      <c r="E65" s="55" t="s">
        <v>10</v>
      </c>
      <c r="F65" s="66">
        <f>AVERAGE(F41:F62)</f>
        <v>9323.9659090909099</v>
      </c>
      <c r="G65" s="55" t="s">
        <v>10</v>
      </c>
      <c r="H65" s="66">
        <f>AVERAGE(H41:H63)</f>
        <v>9778.5</v>
      </c>
      <c r="I65" s="56" t="s">
        <v>10</v>
      </c>
      <c r="J65" s="66">
        <f>AVERAGE(J41:J62)</f>
        <v>9765.4772727272721</v>
      </c>
      <c r="K65" s="55" t="s">
        <v>10</v>
      </c>
      <c r="L65" s="66">
        <f>AVERAGE(L41:L61)</f>
        <v>9550.3095238095229</v>
      </c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386"/>
      <c r="B66" s="387"/>
      <c r="C66" s="388"/>
      <c r="D66" s="389"/>
      <c r="E66" s="388"/>
      <c r="F66" s="390"/>
      <c r="G66" s="388"/>
      <c r="H66" s="390"/>
      <c r="I66" s="391"/>
      <c r="J66" s="391"/>
      <c r="K66" s="392"/>
      <c r="L66" s="393"/>
    </row>
    <row r="67" spans="1:20" ht="15" thickBot="1" x14ac:dyDescent="0.4">
      <c r="A67" s="67" t="s">
        <v>11</v>
      </c>
      <c r="B67" s="67">
        <f>B65*A68</f>
        <v>48639.852007024798</v>
      </c>
      <c r="C67" s="67" t="s">
        <v>11</v>
      </c>
      <c r="D67" s="99">
        <f>D65*C68</f>
        <v>49146.439107159087</v>
      </c>
      <c r="E67" s="67" t="s">
        <v>11</v>
      </c>
      <c r="F67" s="67">
        <f>F65*E68</f>
        <v>49222.059631006501</v>
      </c>
      <c r="G67" s="67" t="s">
        <v>11</v>
      </c>
      <c r="H67" s="67">
        <f>H65*G68</f>
        <v>54166.778437500012</v>
      </c>
      <c r="I67" s="67" t="s">
        <v>11</v>
      </c>
      <c r="J67" s="67">
        <f>J65*I68</f>
        <v>54259.530751363629</v>
      </c>
      <c r="K67" s="67" t="s">
        <v>11</v>
      </c>
      <c r="L67" s="67">
        <f>L65*K68</f>
        <v>53965.02051832297</v>
      </c>
      <c r="M67" s="79"/>
    </row>
    <row r="68" spans="1:20" ht="15" thickBot="1" x14ac:dyDescent="0.4">
      <c r="A68" s="67">
        <v>5.1560272727272727</v>
      </c>
      <c r="B68" s="73">
        <f>B67/L29-1</f>
        <v>5.2475665659688087E-3</v>
      </c>
      <c r="C68" s="67">
        <v>5.251122727272727</v>
      </c>
      <c r="D68" s="73">
        <f>D67/B67-1</f>
        <v>1.0415062530640951E-2</v>
      </c>
      <c r="E68" s="67">
        <v>5.2790904761904764</v>
      </c>
      <c r="F68" s="73">
        <f>F67/D67-1</f>
        <v>1.5386775770780403E-3</v>
      </c>
      <c r="G68" s="67">
        <v>5.5393750000000015</v>
      </c>
      <c r="H68" s="73">
        <f>H67/F67-1</f>
        <v>0.1004573730469962</v>
      </c>
      <c r="I68" s="67">
        <f>AVERAGE('[1]2021_Base RPA'!$B$21:$B$42)</f>
        <v>5.55626</v>
      </c>
      <c r="J68" s="73">
        <f>J67/H67-1</f>
        <v>1.7123468764279615E-3</v>
      </c>
      <c r="K68" s="67">
        <v>5.6506043478260866</v>
      </c>
      <c r="L68" s="73">
        <f>L67/J67-1</f>
        <v>-5.4278064878631183E-3</v>
      </c>
      <c r="O68" s="125"/>
    </row>
    <row r="69" spans="1:20" x14ac:dyDescent="0.35">
      <c r="A69" s="381"/>
      <c r="B69" s="382"/>
      <c r="C69" s="382"/>
      <c r="D69" s="382"/>
      <c r="E69" s="382"/>
      <c r="F69" s="382"/>
      <c r="G69" s="382"/>
      <c r="H69" s="382"/>
      <c r="I69" s="382"/>
      <c r="J69" s="382"/>
      <c r="K69" s="382"/>
      <c r="L69" s="383"/>
      <c r="N69" s="106"/>
      <c r="O69" s="80"/>
      <c r="P69" s="106"/>
    </row>
    <row r="70" spans="1:20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20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20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20" x14ac:dyDescent="0.35">
      <c r="F73" s="81"/>
      <c r="G73" s="81"/>
      <c r="H73" s="95"/>
      <c r="I73" s="96"/>
      <c r="J73" s="97"/>
      <c r="K73" s="96"/>
    </row>
  </sheetData>
  <mergeCells count="67">
    <mergeCell ref="A24:B24"/>
    <mergeCell ref="A25:B25"/>
    <mergeCell ref="A1:L1"/>
    <mergeCell ref="A2:B2"/>
    <mergeCell ref="C2:D2"/>
    <mergeCell ref="E2:F2"/>
    <mergeCell ref="G2:H2"/>
    <mergeCell ref="I2:J2"/>
    <mergeCell ref="K2:L2"/>
    <mergeCell ref="I23:J23"/>
    <mergeCell ref="C24:D24"/>
    <mergeCell ref="G24:H24"/>
    <mergeCell ref="I24:J24"/>
    <mergeCell ref="C25:D25"/>
    <mergeCell ref="G25:H25"/>
    <mergeCell ref="I25:J25"/>
    <mergeCell ref="K27:L27"/>
    <mergeCell ref="A26:B26"/>
    <mergeCell ref="C26:D26"/>
    <mergeCell ref="E26:F26"/>
    <mergeCell ref="G26:H26"/>
    <mergeCell ref="I26:J26"/>
    <mergeCell ref="K26:L26"/>
    <mergeCell ref="A27:B27"/>
    <mergeCell ref="C27:D27"/>
    <mergeCell ref="E27:F27"/>
    <mergeCell ref="G27:H27"/>
    <mergeCell ref="I27:J27"/>
    <mergeCell ref="A31:L31"/>
    <mergeCell ref="A32:B32"/>
    <mergeCell ref="C32:D32"/>
    <mergeCell ref="E32:F32"/>
    <mergeCell ref="G32:H32"/>
    <mergeCell ref="I32:J32"/>
    <mergeCell ref="K32:L3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K64:L64"/>
    <mergeCell ref="C62:D62"/>
    <mergeCell ref="K62:L62"/>
    <mergeCell ref="C63:D63"/>
    <mergeCell ref="E63:F63"/>
    <mergeCell ref="G63:H63"/>
    <mergeCell ref="I63:J63"/>
    <mergeCell ref="K63:L63"/>
    <mergeCell ref="A64:B64"/>
    <mergeCell ref="C64:D64"/>
    <mergeCell ref="E64:F64"/>
    <mergeCell ref="G64:H64"/>
    <mergeCell ref="I64:J64"/>
    <mergeCell ref="A69:L69"/>
    <mergeCell ref="A66:B66"/>
    <mergeCell ref="C66:D66"/>
    <mergeCell ref="E66:F66"/>
    <mergeCell ref="G66:H66"/>
    <mergeCell ref="I66:J66"/>
    <mergeCell ref="K66:L6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BD519-D763-4887-BDBF-69FC04E9B2F8}">
  <dimension ref="A1:X74"/>
  <sheetViews>
    <sheetView topLeftCell="A67" workbookViewId="0">
      <selection activeCell="H57" sqref="H57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9.1796875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  <col min="21" max="21" width="9.7265625" bestFit="1" customWidth="1"/>
  </cols>
  <sheetData>
    <row r="1" spans="1:20" ht="15" thickBot="1" x14ac:dyDescent="0.4">
      <c r="A1" s="381" t="s">
        <v>280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308</v>
      </c>
      <c r="B2" s="397"/>
      <c r="C2" s="405" t="s">
        <v>309</v>
      </c>
      <c r="D2" s="406"/>
      <c r="E2" s="405" t="s">
        <v>310</v>
      </c>
      <c r="F2" s="406"/>
      <c r="G2" s="405" t="s">
        <v>311</v>
      </c>
      <c r="H2" s="406"/>
      <c r="I2" s="401" t="s">
        <v>312</v>
      </c>
      <c r="J2" s="402"/>
      <c r="K2" s="405" t="s">
        <v>313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4">
        <v>2</v>
      </c>
      <c r="B4" s="50" t="s">
        <v>322</v>
      </c>
      <c r="C4" s="41">
        <v>1</v>
      </c>
      <c r="D4" s="63">
        <f>IF('[1]2021_Base RPA'!$F341="","",'[1]2021_Base RPA'!$F341)</f>
        <v>9175</v>
      </c>
      <c r="E4" s="41">
        <v>1</v>
      </c>
      <c r="F4" s="63">
        <f>IF('[1]2021_Base RPA'!$F361="","",'[1]2021_Base RPA'!$F361)</f>
        <v>9066</v>
      </c>
      <c r="G4" s="41">
        <v>3</v>
      </c>
      <c r="H4" s="63">
        <f>IF('[1]2021_Base RPA'!$F384="","",'[1]2021_Base RPA'!$F384)</f>
        <v>8965.5</v>
      </c>
      <c r="I4" s="49">
        <v>2</v>
      </c>
      <c r="J4" s="63">
        <f>IF('[1]2021_Base RPA'!$F403="","",'[1]2021_Base RPA'!$F403)</f>
        <v>8573</v>
      </c>
      <c r="K4" s="41">
        <v>1</v>
      </c>
      <c r="L4" s="63">
        <f>IF('[1]2021_Base RPA'!$F425="","",'[1]2021_Base RPA'!$F425)</f>
        <v>8211</v>
      </c>
      <c r="O4" s="81"/>
      <c r="P4" s="77"/>
      <c r="Q4" s="79"/>
      <c r="R4" s="80"/>
      <c r="S4" s="79"/>
      <c r="T4" s="79"/>
    </row>
    <row r="5" spans="1:20" x14ac:dyDescent="0.35">
      <c r="A5" s="41">
        <v>3</v>
      </c>
      <c r="B5" s="63">
        <v>8390</v>
      </c>
      <c r="C5" s="41">
        <v>2</v>
      </c>
      <c r="D5" s="63">
        <f>IF('[1]2021_Base RPA'!$F342="","",'[1]2021_Base RPA'!$F342)</f>
        <v>9114</v>
      </c>
      <c r="E5" s="41">
        <v>2</v>
      </c>
      <c r="F5" s="63">
        <f>IF('[1]2021_Base RPA'!$F362="","",'[1]2021_Base RPA'!$F362)</f>
        <v>8894</v>
      </c>
      <c r="G5" s="41">
        <v>4</v>
      </c>
      <c r="H5" s="63">
        <f>IF('[1]2021_Base RPA'!$F385="","",'[1]2021_Base RPA'!$F385)</f>
        <v>8925</v>
      </c>
      <c r="I5" s="49">
        <v>3</v>
      </c>
      <c r="J5" s="63">
        <f>IF('[1]2021_Base RPA'!$F404="","",'[1]2021_Base RPA'!$F404)</f>
        <v>8486</v>
      </c>
      <c r="K5" s="41">
        <v>2</v>
      </c>
      <c r="L5" s="63">
        <f>IF('[1]2021_Base RPA'!$F426="","",'[1]2021_Base RPA'!$F426)</f>
        <v>8337</v>
      </c>
      <c r="O5" s="81">
        <v>41306</v>
      </c>
      <c r="P5" s="77">
        <v>8070.4750000000004</v>
      </c>
      <c r="Q5" s="79">
        <v>2.6374578306040952E-3</v>
      </c>
      <c r="R5" s="80">
        <v>15912.555557500002</v>
      </c>
      <c r="S5" s="79">
        <v>-2.7642380795532939E-2</v>
      </c>
      <c r="T5" s="79"/>
    </row>
    <row r="6" spans="1:20" x14ac:dyDescent="0.35">
      <c r="A6" s="41">
        <v>4</v>
      </c>
      <c r="B6" s="63">
        <f>IF('[1]2021_Base RPA'!$F324="","",'[1]2021_Base RPA'!$F324)</f>
        <v>8208</v>
      </c>
      <c r="C6" s="41">
        <v>3</v>
      </c>
      <c r="D6" s="63">
        <f>IF('[1]2021_Base RPA'!$F343="","",'[1]2021_Base RPA'!$F343)</f>
        <v>9060</v>
      </c>
      <c r="E6" s="41">
        <v>3</v>
      </c>
      <c r="F6" s="63">
        <f>IF('[1]2021_Base RPA'!$F363="","",'[1]2021_Base RPA'!$F363)</f>
        <v>8896</v>
      </c>
      <c r="G6" s="41">
        <v>5</v>
      </c>
      <c r="H6" s="63">
        <f>IF('[1]2021_Base RPA'!$F386="","",'[1]2021_Base RPA'!$F386)</f>
        <v>8778</v>
      </c>
      <c r="I6" s="49">
        <v>4</v>
      </c>
      <c r="J6" s="63">
        <f>IF('[1]2021_Base RPA'!$F405="","",'[1]2021_Base RPA'!$F405)</f>
        <v>8539</v>
      </c>
      <c r="K6" s="41">
        <v>5</v>
      </c>
      <c r="L6" s="63">
        <f>IF('[1]2021_Base RPA'!$F427="","",'[1]2021_Base RPA'!$F427)</f>
        <v>8264</v>
      </c>
      <c r="O6" s="81">
        <v>41334</v>
      </c>
      <c r="P6" s="77">
        <v>7662.4</v>
      </c>
      <c r="Q6" s="79">
        <v>-5.0563938305985823E-2</v>
      </c>
      <c r="R6" s="80">
        <v>15212.928959999999</v>
      </c>
      <c r="S6" s="79">
        <v>-4.396695395481276E-2</v>
      </c>
      <c r="T6" s="79"/>
    </row>
    <row r="7" spans="1:20" x14ac:dyDescent="0.35">
      <c r="A7" s="41">
        <v>5</v>
      </c>
      <c r="B7" s="63">
        <f>IF('[1]2021_Base RPA'!$F325="","",'[1]2021_Base RPA'!$F325)</f>
        <v>8418</v>
      </c>
      <c r="C7" s="41">
        <v>4</v>
      </c>
      <c r="D7" s="63">
        <f>IF('[1]2021_Base RPA'!$F344="","",'[1]2021_Base RPA'!$F344)</f>
        <v>8891</v>
      </c>
      <c r="E7" s="41">
        <v>6</v>
      </c>
      <c r="F7" s="63">
        <f>IF('[1]2021_Base RPA'!$F364="","",'[1]2021_Base RPA'!$F364)</f>
        <v>8945</v>
      </c>
      <c r="G7" s="41">
        <v>6</v>
      </c>
      <c r="H7" s="63">
        <f>IF('[1]2021_Base RPA'!$F387="","",'[1]2021_Base RPA'!$F387)</f>
        <v>8835.5</v>
      </c>
      <c r="I7" s="49">
        <v>5</v>
      </c>
      <c r="J7" s="63">
        <f>IF('[1]2021_Base RPA'!$F406="","",'[1]2021_Base RPA'!$F406)</f>
        <v>8488</v>
      </c>
      <c r="K7" s="41">
        <v>6</v>
      </c>
      <c r="L7" s="63">
        <f>IF('[1]2021_Base RPA'!$F428="","",'[1]2021_Base RPA'!$F428)</f>
        <v>8311</v>
      </c>
      <c r="O7" s="81">
        <v>41365</v>
      </c>
      <c r="P7" s="77">
        <v>7203.3571428571431</v>
      </c>
      <c r="Q7" s="79">
        <v>-5.9908495659696248E-2</v>
      </c>
      <c r="R7" s="80">
        <v>14413.917642857143</v>
      </c>
      <c r="S7" s="79">
        <v>-5.2521859481742816E-2</v>
      </c>
      <c r="T7" s="79"/>
    </row>
    <row r="8" spans="1:20" x14ac:dyDescent="0.35">
      <c r="A8" s="41">
        <v>6</v>
      </c>
      <c r="B8" s="63">
        <f>IF('[1]2021_Base RPA'!$F326="","",'[1]2021_Base RPA'!$F326)</f>
        <v>8362</v>
      </c>
      <c r="C8" s="41">
        <v>7</v>
      </c>
      <c r="D8" s="63">
        <f>IF('[1]2021_Base RPA'!$F345="","",'[1]2021_Base RPA'!$F345)</f>
        <v>8665</v>
      </c>
      <c r="E8" s="41">
        <v>7</v>
      </c>
      <c r="F8" s="63">
        <f>IF('[1]2021_Base RPA'!$F365="","",'[1]2021_Base RPA'!$F365)</f>
        <v>8819</v>
      </c>
      <c r="G8" s="41">
        <v>7</v>
      </c>
      <c r="H8" s="63" t="str">
        <f>IF('[1]2021_Base RPA'!$F388="","",'[1]2021_Base RPA'!$F388)</f>
        <v>FERIADO</v>
      </c>
      <c r="I8" s="49">
        <v>8</v>
      </c>
      <c r="J8" s="63" t="s">
        <v>65</v>
      </c>
      <c r="K8" s="41">
        <v>7</v>
      </c>
      <c r="L8" s="63">
        <f>IF('[1]2021_Base RPA'!$F429="","",'[1]2021_Base RPA'!$F429)</f>
        <v>8352</v>
      </c>
      <c r="O8" s="81">
        <v>41395</v>
      </c>
      <c r="P8" s="77">
        <v>7229.1428571428569</v>
      </c>
      <c r="Q8" s="79">
        <v>3.5796801094727382E-3</v>
      </c>
      <c r="R8" s="80">
        <v>14704.07657142857</v>
      </c>
      <c r="S8" s="79">
        <v>2.0130469436615339E-2</v>
      </c>
      <c r="T8" s="79"/>
    </row>
    <row r="9" spans="1:20" x14ac:dyDescent="0.35">
      <c r="A9" s="41">
        <v>9</v>
      </c>
      <c r="B9" s="63">
        <f>IF('[1]2021_Base RPA'!$F327="","",'[1]2021_Base RPA'!$F327)</f>
        <v>8720</v>
      </c>
      <c r="C9" s="41">
        <v>8</v>
      </c>
      <c r="D9" s="63">
        <f>IF('[1]2021_Base RPA'!$F346="","",'[1]2021_Base RPA'!$F346)</f>
        <v>9005.5</v>
      </c>
      <c r="E9" s="41">
        <v>8</v>
      </c>
      <c r="F9" s="63">
        <f>IF('[1]2021_Base RPA'!$F366="","",'[1]2021_Base RPA'!$F366)</f>
        <v>8809.5</v>
      </c>
      <c r="G9" s="41">
        <v>8</v>
      </c>
      <c r="H9" s="63" t="str">
        <f>IF('[1]2021_Base RPA'!$F389="","",'[1]2021_Base RPA'!$F389)</f>
        <v>FERIADO</v>
      </c>
      <c r="I9" s="49">
        <v>9</v>
      </c>
      <c r="J9" s="63">
        <f>IF('[1]2021_Base RPA'!$F408="","",'[1]2021_Base RPA'!$F408)</f>
        <v>8583</v>
      </c>
      <c r="K9" s="41">
        <v>8</v>
      </c>
      <c r="L9" s="63">
        <f>IF('[1]2021_Base RPA'!$F430="","",'[1]2021_Base RPA'!$F430)</f>
        <v>8243</v>
      </c>
      <c r="O9" s="81">
        <v>41426</v>
      </c>
      <c r="P9" s="77">
        <v>7004.05</v>
      </c>
      <c r="Q9" s="79">
        <v>-3.1136866650857575E-2</v>
      </c>
      <c r="R9" s="80">
        <v>15198.788500000001</v>
      </c>
      <c r="S9" s="79">
        <v>3.3644542461966243E-2</v>
      </c>
      <c r="T9" s="79"/>
    </row>
    <row r="10" spans="1:20" x14ac:dyDescent="0.35">
      <c r="A10" s="41">
        <v>10</v>
      </c>
      <c r="B10" s="63">
        <f>IF('[1]2021_Base RPA'!$F328="","",'[1]2021_Base RPA'!$F328)</f>
        <v>8766</v>
      </c>
      <c r="C10" s="41">
        <v>9</v>
      </c>
      <c r="D10" s="63">
        <f>IF('[1]2021_Base RPA'!$F347="","",'[1]2021_Base RPA'!$F347)</f>
        <v>8953</v>
      </c>
      <c r="E10" s="41">
        <v>9</v>
      </c>
      <c r="F10" s="63">
        <f>IF('[1]2021_Base RPA'!$F367="","",'[1]2021_Base RPA'!$F367)</f>
        <v>8807</v>
      </c>
      <c r="G10" s="41">
        <v>11</v>
      </c>
      <c r="H10" s="63">
        <f>IF('[1]2021_Base RPA'!$F390="","",'[1]2021_Base RPA'!$F390)</f>
        <v>8837</v>
      </c>
      <c r="I10" s="49">
        <v>10</v>
      </c>
      <c r="J10" s="63">
        <f>IF('[1]2021_Base RPA'!$F409="","",'[1]2021_Base RPA'!$F409)</f>
        <v>8469</v>
      </c>
      <c r="K10" s="41">
        <v>9</v>
      </c>
      <c r="L10" s="63">
        <f>IF('[1]2021_Base RPA'!$F431="","",'[1]2021_Base RPA'!$F431)</f>
        <v>8367</v>
      </c>
      <c r="O10" s="81">
        <v>41456</v>
      </c>
      <c r="P10" s="77">
        <v>6896.977272727273</v>
      </c>
      <c r="Q10" s="79">
        <v>-1.528725912475315E-2</v>
      </c>
      <c r="R10" s="80">
        <v>15536.682762727272</v>
      </c>
      <c r="S10" s="79">
        <v>2.223165765661328E-2</v>
      </c>
      <c r="T10" s="79"/>
    </row>
    <row r="11" spans="1:20" x14ac:dyDescent="0.35">
      <c r="A11" s="41">
        <v>11</v>
      </c>
      <c r="B11" s="63">
        <f>IF('[1]2021_Base RPA'!$F329="","",'[1]2021_Base RPA'!$F329)</f>
        <v>8986</v>
      </c>
      <c r="C11" s="41">
        <v>10</v>
      </c>
      <c r="D11" s="63">
        <f>IF('[1]2021_Base RPA'!$F348="","",'[1]2021_Base RPA'!$F348)</f>
        <v>8904</v>
      </c>
      <c r="E11" s="41">
        <v>10</v>
      </c>
      <c r="F11" s="63">
        <f>IF('[1]2021_Base RPA'!$F368="","",'[1]2021_Base RPA'!$F368)</f>
        <v>8750</v>
      </c>
      <c r="G11" s="41">
        <v>12</v>
      </c>
      <c r="H11" s="63">
        <f>IF('[1]2021_Base RPA'!$F391="","",'[1]2021_Base RPA'!$F391)</f>
        <v>8802</v>
      </c>
      <c r="I11" s="49">
        <v>11</v>
      </c>
      <c r="J11" s="63">
        <f>IF('[1]2021_Base RPA'!$F410="","",'[1]2021_Base RPA'!$F410)</f>
        <v>8267</v>
      </c>
      <c r="K11" s="41">
        <v>12</v>
      </c>
      <c r="L11" s="63">
        <f>IF('[1]2021_Base RPA'!$F432="","",'[1]2021_Base RPA'!$F432)</f>
        <v>8286</v>
      </c>
      <c r="O11" s="81">
        <v>41487</v>
      </c>
      <c r="P11" s="77">
        <v>7182.2619047619046</v>
      </c>
      <c r="Q11" s="79">
        <v>4.1363719315522962E-2</v>
      </c>
      <c r="R11" s="80">
        <v>16802.901726190477</v>
      </c>
      <c r="S11" s="79">
        <v>8.1498668847180378E-2</v>
      </c>
      <c r="T11" s="79"/>
    </row>
    <row r="12" spans="1:20" x14ac:dyDescent="0.35">
      <c r="A12" s="41">
        <v>12</v>
      </c>
      <c r="B12" s="63">
        <f>IF('[1]2021_Base RPA'!$F330="","",'[1]2021_Base RPA'!$F330)</f>
        <v>9071</v>
      </c>
      <c r="C12" s="41">
        <v>11</v>
      </c>
      <c r="D12" s="63">
        <f>IF('[1]2021_Base RPA'!$F349="","",'[1]2021_Base RPA'!$F349)</f>
        <v>8911</v>
      </c>
      <c r="E12" s="41">
        <v>13</v>
      </c>
      <c r="F12" s="63">
        <f>IF('[1]2021_Base RPA'!$F369="","",'[1]2021_Base RPA'!$F369)</f>
        <v>8650</v>
      </c>
      <c r="G12" s="41">
        <v>13</v>
      </c>
      <c r="H12" s="63">
        <f>IF('[1]2021_Base RPA'!$F392="","",'[1]2021_Base RPA'!$F392)</f>
        <v>9000.5</v>
      </c>
      <c r="I12" s="49">
        <v>12</v>
      </c>
      <c r="J12" s="63">
        <f>IF('[1]2021_Base RPA'!$F411="","",'[1]2021_Base RPA'!$F411)</f>
        <v>8240</v>
      </c>
      <c r="K12" s="41">
        <v>13</v>
      </c>
      <c r="L12" s="63">
        <f>IF('[1]2021_Base RPA'!$F433="","",'[1]2021_Base RPA'!$F433)</f>
        <v>8421</v>
      </c>
      <c r="O12" s="81">
        <v>41518</v>
      </c>
      <c r="P12" s="77">
        <v>7161.4285714285716</v>
      </c>
      <c r="Q12" s="79">
        <v>-2.9006646665892255E-3</v>
      </c>
      <c r="R12" s="80">
        <v>16264.320428571429</v>
      </c>
      <c r="S12" s="79">
        <v>-3.2052874342505255E-2</v>
      </c>
      <c r="T12" s="79"/>
    </row>
    <row r="13" spans="1:20" x14ac:dyDescent="0.35">
      <c r="A13" s="41">
        <v>13</v>
      </c>
      <c r="B13" s="63">
        <v>9107</v>
      </c>
      <c r="C13" s="41">
        <v>14</v>
      </c>
      <c r="D13" s="63">
        <f>IF('[1]2021_Base RPA'!$F350="","",'[1]2021_Base RPA'!$F350)</f>
        <v>8931</v>
      </c>
      <c r="E13" s="41">
        <v>14</v>
      </c>
      <c r="F13" s="63">
        <f>IF('[1]2021_Base RPA'!$F370="","",'[1]2021_Base RPA'!$F370)</f>
        <v>8651</v>
      </c>
      <c r="G13" s="41">
        <v>14</v>
      </c>
      <c r="H13" s="63">
        <f>IF('[1]2021_Base RPA'!$F393="","",'[1]2021_Base RPA'!$F393)</f>
        <v>9080</v>
      </c>
      <c r="I13" s="49">
        <v>15</v>
      </c>
      <c r="J13" s="63">
        <f>IF('[1]2021_Base RPA'!$F412="","",'[1]2021_Base RPA'!$F412)</f>
        <v>8287</v>
      </c>
      <c r="K13" s="41">
        <v>14</v>
      </c>
      <c r="L13" s="63">
        <f>IF('[1]2021_Base RPA'!$F434="","",'[1]2021_Base RPA'!$F434)</f>
        <v>8457</v>
      </c>
      <c r="O13" s="81">
        <v>41548</v>
      </c>
      <c r="P13" s="77">
        <v>7188.782608695652</v>
      </c>
      <c r="Q13" s="79">
        <v>3.8196341685530211E-3</v>
      </c>
      <c r="R13" s="80">
        <v>15720.429808695651</v>
      </c>
      <c r="S13" s="79">
        <v>-3.3440722117127564E-2</v>
      </c>
      <c r="T13" s="79"/>
    </row>
    <row r="14" spans="1:20" x14ac:dyDescent="0.35">
      <c r="A14" s="179">
        <v>16</v>
      </c>
      <c r="B14" s="63">
        <v>9145.5</v>
      </c>
      <c r="C14" s="41">
        <v>15</v>
      </c>
      <c r="D14" s="63">
        <f>IF('[1]2021_Base RPA'!$F351="","",'[1]2021_Base RPA'!$F351)</f>
        <v>8825</v>
      </c>
      <c r="E14" s="41">
        <v>15</v>
      </c>
      <c r="F14" s="63">
        <f>IF('[1]2021_Base RPA'!$F371="","",'[1]2021_Base RPA'!$F371)</f>
        <v>8520</v>
      </c>
      <c r="G14" s="41">
        <v>15</v>
      </c>
      <c r="H14" s="63">
        <f>IF('[1]2021_Base RPA'!$F394="","",'[1]2021_Base RPA'!$F394)</f>
        <v>8983</v>
      </c>
      <c r="I14" s="49">
        <v>16</v>
      </c>
      <c r="J14" s="63">
        <f>IF('[1]2021_Base RPA'!$F413="","",'[1]2021_Base RPA'!$F413)</f>
        <v>8076</v>
      </c>
      <c r="K14" s="41">
        <v>15</v>
      </c>
      <c r="L14" s="63">
        <f>IF('[1]2021_Base RPA'!$F435="","",'[1]2021_Base RPA'!$F435)</f>
        <v>8479</v>
      </c>
      <c r="O14" s="81">
        <v>41579</v>
      </c>
      <c r="P14" s="77">
        <v>7066.4047619047615</v>
      </c>
      <c r="Q14" s="79">
        <v>-1.7023445199589204E-2</v>
      </c>
      <c r="R14" s="80">
        <v>16235.77158095238</v>
      </c>
      <c r="S14" s="79">
        <v>3.2781659186676304E-2</v>
      </c>
      <c r="T14" s="79"/>
    </row>
    <row r="15" spans="1:20" x14ac:dyDescent="0.35">
      <c r="A15" s="41">
        <v>17</v>
      </c>
      <c r="B15" s="63">
        <f>IF('[1]2021_Base RPA'!$F332="","",'[1]2021_Base RPA'!$F332)</f>
        <v>9112</v>
      </c>
      <c r="C15" s="41">
        <v>16</v>
      </c>
      <c r="D15" s="63">
        <f>IF('[1]2021_Base RPA'!$F352="","",'[1]2021_Base RPA'!$F352)</f>
        <v>8892</v>
      </c>
      <c r="E15" s="41">
        <v>16</v>
      </c>
      <c r="F15" s="63">
        <f>IF('[1]2021_Base RPA'!$F372="","",'[1]2021_Base RPA'!$F372)</f>
        <v>8530</v>
      </c>
      <c r="G15" s="41">
        <v>18</v>
      </c>
      <c r="H15" s="63">
        <f>IF('[1]2021_Base RPA'!$F395="","",'[1]2021_Base RPA'!$F395)</f>
        <v>8965</v>
      </c>
      <c r="I15" s="49">
        <v>17</v>
      </c>
      <c r="J15" s="63">
        <f>IF('[1]2021_Base RPA'!$F414="","",'[1]2021_Base RPA'!$F414)</f>
        <v>8176</v>
      </c>
      <c r="K15" s="41">
        <v>16</v>
      </c>
      <c r="L15" s="63">
        <f>IF('[1]2021_Base RPA'!$F436="","",'[1]2021_Base RPA'!$F436)</f>
        <v>8561</v>
      </c>
      <c r="O15" s="81">
        <v>41609</v>
      </c>
      <c r="P15" s="77">
        <v>7202.95</v>
      </c>
      <c r="Q15" s="79">
        <v>1.9323155507785073E-2</v>
      </c>
      <c r="R15" s="80">
        <v>16911.086009999999</v>
      </c>
      <c r="S15" s="79">
        <v>4.1594230719523617E-2</v>
      </c>
      <c r="T15" s="79"/>
    </row>
    <row r="16" spans="1:20" x14ac:dyDescent="0.35">
      <c r="A16" s="41">
        <v>18</v>
      </c>
      <c r="B16" s="63">
        <v>9036</v>
      </c>
      <c r="C16" s="41">
        <v>17</v>
      </c>
      <c r="D16" s="63">
        <f>IF('[1]2021_Base RPA'!$F353="","",'[1]2021_Base RPA'!$F353)</f>
        <v>8870</v>
      </c>
      <c r="E16" s="41">
        <v>17</v>
      </c>
      <c r="F16" s="63" t="str">
        <f>IF('[1]2021_Base RPA'!$F373="","",'[1]2021_Base RPA'!$F373)</f>
        <v>FERIADO</v>
      </c>
      <c r="G16" s="41">
        <v>19</v>
      </c>
      <c r="H16" s="63">
        <f>IF('[1]2021_Base RPA'!$F396="","",'[1]2021_Base RPA'!$F396)</f>
        <v>8874.5</v>
      </c>
      <c r="I16" s="49">
        <v>18</v>
      </c>
      <c r="J16" s="63">
        <f>IF('[1]2021_Base RPA'!$F415="","",'[1]2021_Base RPA'!$F415)</f>
        <v>8171</v>
      </c>
      <c r="K16" s="41">
        <v>19</v>
      </c>
      <c r="L16" s="63">
        <f>IF('[1]2021_Base RPA'!$F437="","",'[1]2021_Base RPA'!$F437)</f>
        <v>8541</v>
      </c>
      <c r="O16" s="81">
        <v>41640</v>
      </c>
      <c r="P16" s="77">
        <v>7294.886363636364</v>
      </c>
      <c r="Q16" s="79">
        <v>1.2763709818388813E-2</v>
      </c>
      <c r="R16" s="80">
        <v>17368.394943181818</v>
      </c>
      <c r="S16" s="79">
        <v>2.7041961285715121E-2</v>
      </c>
      <c r="T16" s="79">
        <v>2.7041961285715121E-2</v>
      </c>
    </row>
    <row r="17" spans="1:21" x14ac:dyDescent="0.35">
      <c r="A17" s="41">
        <v>19</v>
      </c>
      <c r="B17" s="63">
        <f>IF('[1]2021_Base RPA'!$F334="","",'[1]2021_Base RPA'!$F334)</f>
        <v>9188</v>
      </c>
      <c r="C17" s="41">
        <v>18</v>
      </c>
      <c r="D17" s="63">
        <f>IF('[1]2021_Base RPA'!$F354="","",'[1]2021_Base RPA'!$F354)</f>
        <v>9015</v>
      </c>
      <c r="E17" s="41">
        <v>20</v>
      </c>
      <c r="F17" s="63">
        <f>IF('[1]2021_Base RPA'!$F374="","",'[1]2021_Base RPA'!$F374)</f>
        <v>8676</v>
      </c>
      <c r="G17" s="179">
        <v>20</v>
      </c>
      <c r="H17" s="63">
        <f>IF('[1]2021_Base RPA'!$F397="","",'[1]2021_Base RPA'!$F397)</f>
        <v>8873</v>
      </c>
      <c r="I17" s="49">
        <v>19</v>
      </c>
      <c r="J17" s="63">
        <f>IF('[1]2021_Base RPA'!$F416="","",'[1]2021_Base RPA'!$F416)</f>
        <v>8221</v>
      </c>
      <c r="K17" s="41">
        <v>20</v>
      </c>
      <c r="L17" s="63">
        <f>IF('[1]2021_Base RPA'!$F438="","",'[1]2021_Base RPA'!$F438)</f>
        <v>8560</v>
      </c>
      <c r="O17" s="81">
        <v>41671</v>
      </c>
      <c r="P17" s="77">
        <v>7152.15</v>
      </c>
      <c r="Q17" s="79">
        <v>-1.9566632915336224E-2</v>
      </c>
      <c r="R17" s="80">
        <v>17062.884254999997</v>
      </c>
      <c r="S17" s="79">
        <v>-1.7590035762156231E-2</v>
      </c>
      <c r="T17" s="79">
        <v>8.976256457464471E-3</v>
      </c>
    </row>
    <row r="18" spans="1:21" x14ac:dyDescent="0.35">
      <c r="A18" s="41">
        <v>20</v>
      </c>
      <c r="B18" s="63">
        <f>IF('[1]2021_Base RPA'!$F335="","",'[1]2021_Base RPA'!$F335)</f>
        <v>9230</v>
      </c>
      <c r="C18" s="41">
        <v>19</v>
      </c>
      <c r="D18" s="63">
        <f>IF('[1]2021_Base RPA'!$F355="","",'[1]2021_Base RPA'!$F355)</f>
        <v>9103.5</v>
      </c>
      <c r="E18" s="41">
        <v>21</v>
      </c>
      <c r="F18" s="63">
        <f>IF('[1]2021_Base RPA'!$F375="","",'[1]2021_Base RPA'!$F375)</f>
        <v>8823</v>
      </c>
      <c r="G18" s="41">
        <v>21</v>
      </c>
      <c r="H18" s="63">
        <f>IF('[1]2021_Base RPA'!$F398="","",'[1]2021_Base RPA'!$F398)</f>
        <v>8815</v>
      </c>
      <c r="I18" s="49">
        <v>22</v>
      </c>
      <c r="J18" s="63">
        <f>IF('[1]2021_Base RPA'!$F417="","",'[1]2021_Base RPA'!$F417)</f>
        <v>8093</v>
      </c>
      <c r="K18" s="41">
        <v>21</v>
      </c>
      <c r="L18" s="63">
        <f>IF('[1]2021_Base RPA'!$F439="","",'[1]2021_Base RPA'!$F439)</f>
        <v>8486</v>
      </c>
      <c r="O18" s="81">
        <v>41699</v>
      </c>
      <c r="P18" s="77">
        <v>6667.8095238095239</v>
      </c>
      <c r="Q18" s="79">
        <v>-6.7719563514534231E-2</v>
      </c>
      <c r="R18" s="80">
        <v>15507.991390476191</v>
      </c>
      <c r="S18" s="79">
        <v>-9.1127199908665579E-2</v>
      </c>
      <c r="T18" s="79">
        <v>-8.2968924567832003E-2</v>
      </c>
    </row>
    <row r="19" spans="1:21" x14ac:dyDescent="0.35">
      <c r="A19" s="41">
        <v>23</v>
      </c>
      <c r="B19" s="63">
        <f>IF('[1]2021_Base RPA'!$F336="","",'[1]2021_Base RPA'!$F336)</f>
        <v>9340</v>
      </c>
      <c r="C19" s="41">
        <v>22</v>
      </c>
      <c r="D19" s="63">
        <f>IF('[1]2021_Base RPA'!$F356="","",'[1]2021_Base RPA'!$F356)</f>
        <v>9060</v>
      </c>
      <c r="E19" s="41">
        <v>22</v>
      </c>
      <c r="F19" s="63">
        <f>IF('[1]2021_Base RPA'!$F376="","",'[1]2021_Base RPA'!$F376)</f>
        <v>8880.5</v>
      </c>
      <c r="G19" s="41">
        <v>22</v>
      </c>
      <c r="H19" s="63">
        <f>IF('[1]2021_Base RPA'!$F399="","",'[1]2021_Base RPA'!$F399)</f>
        <v>8762</v>
      </c>
      <c r="I19" s="49">
        <v>23</v>
      </c>
      <c r="J19" s="63">
        <f>IF('[1]2021_Base RPA'!$F418="","",'[1]2021_Base RPA'!$F418)</f>
        <v>7960</v>
      </c>
      <c r="K19" s="41">
        <v>22</v>
      </c>
      <c r="L19" s="63">
        <f>IF('[1]2021_Base RPA'!$F440="","",'[1]2021_Base RPA'!$F440)</f>
        <v>8670</v>
      </c>
      <c r="O19" s="81">
        <v>41730</v>
      </c>
      <c r="P19" s="77">
        <v>6670.8249999999998</v>
      </c>
      <c r="Q19" s="79">
        <v>4.5224390104547929E-4</v>
      </c>
      <c r="R19" s="80">
        <v>14896.619307499999</v>
      </c>
      <c r="S19" s="79">
        <v>-3.9423034716904004E-2</v>
      </c>
      <c r="T19" s="104">
        <v>-0.11912107249107418</v>
      </c>
    </row>
    <row r="20" spans="1:21" x14ac:dyDescent="0.35">
      <c r="A20" s="179">
        <v>24</v>
      </c>
      <c r="B20" s="63">
        <v>9308</v>
      </c>
      <c r="C20" s="41">
        <v>23</v>
      </c>
      <c r="D20" s="63">
        <f>IF('[1]2021_Base RPA'!$F357="","",'[1]2021_Base RPA'!$F357)</f>
        <v>9059</v>
      </c>
      <c r="E20" s="41">
        <v>23</v>
      </c>
      <c r="F20" s="63">
        <f>IF('[1]2021_Base RPA'!$F377="","",'[1]2021_Base RPA'!$F377)</f>
        <v>8915</v>
      </c>
      <c r="G20" s="41">
        <v>25</v>
      </c>
      <c r="H20" s="63">
        <f>IF('[1]2021_Base RPA'!$F400="","",'[1]2021_Base RPA'!$F400)</f>
        <v>8520.5</v>
      </c>
      <c r="I20" s="49">
        <v>24</v>
      </c>
      <c r="J20" s="63">
        <f>IF('[1]2021_Base RPA'!$F419="","",'[1]2021_Base RPA'!$F419)</f>
        <v>7909</v>
      </c>
      <c r="K20" s="41">
        <v>23</v>
      </c>
      <c r="L20" s="63">
        <f>IF('[1]2021_Base RPA'!$F441="","",'[1]2021_Base RPA'!$F441)</f>
        <v>8488</v>
      </c>
      <c r="O20" s="81">
        <v>41760</v>
      </c>
      <c r="P20" s="77">
        <v>6883.875</v>
      </c>
      <c r="Q20" s="79">
        <v>3.1937578935139266E-2</v>
      </c>
      <c r="R20" s="80">
        <v>15289.774762499999</v>
      </c>
      <c r="S20" s="79">
        <v>2.6392260343396146E-2</v>
      </c>
      <c r="T20" s="104">
        <v>-9.5872686505247051E-2</v>
      </c>
    </row>
    <row r="21" spans="1:21" x14ac:dyDescent="0.35">
      <c r="A21" s="179">
        <v>25</v>
      </c>
      <c r="B21" s="63">
        <v>9258</v>
      </c>
      <c r="C21" s="41">
        <v>24</v>
      </c>
      <c r="D21" s="63">
        <f>IF('[1]2021_Base RPA'!$F358="","",'[1]2021_Base RPA'!$F358)</f>
        <v>8805</v>
      </c>
      <c r="E21" s="41">
        <v>24</v>
      </c>
      <c r="F21" s="63">
        <f>IF('[1]2021_Base RPA'!$F378="","",'[1]2021_Base RPA'!$F378)</f>
        <v>8926</v>
      </c>
      <c r="G21" s="41">
        <v>26</v>
      </c>
      <c r="H21" s="63">
        <f>IF('[1]2021_Base RPA'!$F401="","",'[1]2021_Base RPA'!$F401)</f>
        <v>8578</v>
      </c>
      <c r="I21" s="49">
        <v>25</v>
      </c>
      <c r="J21" s="63">
        <f>IF('[1]2021_Base RPA'!$F420="","",'[1]2021_Base RPA'!$F420)</f>
        <v>7921</v>
      </c>
      <c r="K21" s="41">
        <v>26</v>
      </c>
      <c r="L21" s="63">
        <f>IF('[1]2021_Base RPA'!$F442="","",'[1]2021_Base RPA'!$F442)</f>
        <v>8435</v>
      </c>
      <c r="O21" s="81">
        <v>41791</v>
      </c>
      <c r="P21" s="77">
        <v>6806.0952380952385</v>
      </c>
      <c r="Q21" s="79">
        <v>-1.1298834145704539E-2</v>
      </c>
      <c r="R21" s="80">
        <v>15206.177980952381</v>
      </c>
      <c r="S21" s="79">
        <v>-5.4674959472031937E-3</v>
      </c>
      <c r="T21" s="104">
        <v>-0.10081599892753534</v>
      </c>
    </row>
    <row r="22" spans="1:21" x14ac:dyDescent="0.35">
      <c r="A22" s="41">
        <v>26</v>
      </c>
      <c r="B22" s="63">
        <f>IF('[1]2021_Base RPA'!$F337="","",'[1]2021_Base RPA'!$F337)</f>
        <v>9287.5</v>
      </c>
      <c r="C22" s="41">
        <v>25</v>
      </c>
      <c r="D22" s="63">
        <f>IF('[1]2021_Base RPA'!$F359="","",'[1]2021_Base RPA'!$F359)</f>
        <v>8749</v>
      </c>
      <c r="E22" s="41">
        <v>27</v>
      </c>
      <c r="F22" s="63">
        <f>IF('[1]2021_Base RPA'!$F379="","",'[1]2021_Base RPA'!$F379)</f>
        <v>8875</v>
      </c>
      <c r="G22" s="41">
        <v>27</v>
      </c>
      <c r="H22" s="63">
        <f>IF('[1]2021_Base RPA'!$F402="","",'[1]2021_Base RPA'!$F402)</f>
        <v>8465</v>
      </c>
      <c r="I22" s="49">
        <v>26</v>
      </c>
      <c r="J22" s="63">
        <f>IF('[1]2021_Base RPA'!$F421="","",'[1]2021_Base RPA'!$F421)</f>
        <v>8082</v>
      </c>
      <c r="K22" s="41">
        <v>27</v>
      </c>
      <c r="L22" s="63">
        <f>IF('[1]2021_Base RPA'!$F443="","",'[1]2021_Base RPA'!$F443)</f>
        <v>8366</v>
      </c>
      <c r="O22" s="81">
        <v>41821</v>
      </c>
      <c r="P22" s="77">
        <v>7104.847826086957</v>
      </c>
      <c r="Q22" s="79">
        <v>4.389485858492459E-2</v>
      </c>
      <c r="R22" s="80">
        <v>15807.575928260871</v>
      </c>
      <c r="S22" s="79">
        <v>3.9549579655177913E-2</v>
      </c>
      <c r="T22" s="104">
        <v>-6.5253649652458279E-2</v>
      </c>
    </row>
    <row r="23" spans="1:21" x14ac:dyDescent="0.35">
      <c r="A23" s="41">
        <v>27</v>
      </c>
      <c r="B23" s="63">
        <f>IF('[1]2021_Base RPA'!$F338="","",'[1]2021_Base RPA'!$F338)</f>
        <v>9345</v>
      </c>
      <c r="C23" s="42">
        <v>28</v>
      </c>
      <c r="D23" s="64">
        <f>IF('[1]2021_Base RPA'!$F360="","",'[1]2021_Base RPA'!$F360)</f>
        <v>8843</v>
      </c>
      <c r="E23" s="41">
        <v>28</v>
      </c>
      <c r="F23" s="63">
        <f>IF('[1]2021_Base RPA'!$F380="","",'[1]2021_Base RPA'!$F380)</f>
        <v>8933</v>
      </c>
      <c r="G23" s="41">
        <v>28</v>
      </c>
      <c r="H23" s="63">
        <f>IF('[1]2021_Base RPA'!$F403="","",'[1]2021_Base RPA'!$F403)</f>
        <v>8573</v>
      </c>
      <c r="I23" s="49">
        <v>29</v>
      </c>
      <c r="J23" s="63" t="s">
        <v>65</v>
      </c>
      <c r="K23" s="41">
        <v>28</v>
      </c>
      <c r="L23" s="63">
        <f>IF('[1]2021_Base RPA'!$F444="","",'[1]2021_Base RPA'!$F444)</f>
        <v>8267</v>
      </c>
      <c r="N23" s="91"/>
      <c r="O23" s="81">
        <v>41852</v>
      </c>
      <c r="P23" s="77">
        <v>7000.55</v>
      </c>
      <c r="Q23" s="79">
        <v>-1.4679811396382747E-2</v>
      </c>
      <c r="R23" s="80">
        <v>15880.047620000001</v>
      </c>
      <c r="S23" s="79">
        <v>4.5846176585218057E-3</v>
      </c>
      <c r="T23" s="104">
        <v>-6.0968195028415995E-2</v>
      </c>
    </row>
    <row r="24" spans="1:21" x14ac:dyDescent="0.35">
      <c r="A24" s="41">
        <v>30</v>
      </c>
      <c r="B24" s="63">
        <v>9227</v>
      </c>
      <c r="D24" s="315"/>
      <c r="E24" s="41">
        <v>29</v>
      </c>
      <c r="F24" s="63">
        <f>IF('[1]2021_Base RPA'!$F381="","",'[1]2021_Base RPA'!$F381)</f>
        <v>9047</v>
      </c>
      <c r="G24" s="41">
        <v>29</v>
      </c>
      <c r="H24" s="63">
        <f>IF('[1]2021_Base RPA'!$F404="","",'[1]2021_Base RPA'!$F404)</f>
        <v>8486</v>
      </c>
      <c r="I24" s="49">
        <v>30</v>
      </c>
      <c r="J24" s="63">
        <f>IF('[1]2021_Base RPA'!$F423="","",'[1]2021_Base RPA'!$F423)</f>
        <v>8122</v>
      </c>
      <c r="K24" s="41">
        <v>29</v>
      </c>
      <c r="L24" s="63">
        <f>IF('[1]2021_Base RPA'!$F445="","",'[1]2021_Base RPA'!$F445)</f>
        <v>8166</v>
      </c>
      <c r="N24" s="91"/>
      <c r="O24" s="81">
        <v>41883</v>
      </c>
      <c r="P24" s="77">
        <v>6872.227272727273</v>
      </c>
      <c r="Q24" s="79">
        <v>-1.8330377937837317E-2</v>
      </c>
      <c r="R24" s="98">
        <v>16046.650681818182</v>
      </c>
      <c r="S24" s="79">
        <v>1.0491345227980009E-2</v>
      </c>
      <c r="T24" s="104">
        <v>-5.1116488182405995E-2</v>
      </c>
    </row>
    <row r="25" spans="1:21" x14ac:dyDescent="0.35">
      <c r="A25" s="42">
        <v>31</v>
      </c>
      <c r="B25" s="64">
        <f>IF('[1]2021_Base RPA'!$F340="","",'[1]2021_Base RPA'!$F340)</f>
        <v>9074.5</v>
      </c>
      <c r="C25" s="394"/>
      <c r="D25" s="395"/>
      <c r="E25" s="41">
        <v>30</v>
      </c>
      <c r="F25" s="63">
        <f>IF('[1]2021_Base RPA'!$F382="","",'[1]2021_Base RPA'!$F382)</f>
        <v>9037.5</v>
      </c>
      <c r="G25" s="316">
        <v>30</v>
      </c>
      <c r="H25" s="64">
        <f>IF('[1]2021_Base RPA'!$F405="","",'[1]2021_Base RPA'!$F405)</f>
        <v>8539</v>
      </c>
      <c r="I25" s="316">
        <v>31</v>
      </c>
      <c r="J25" s="273">
        <f>IF('[1]2021_Base RPA'!$F424="","",'[1]2021_Base RPA'!$F424)</f>
        <v>8017</v>
      </c>
      <c r="K25" s="316">
        <v>30</v>
      </c>
      <c r="L25" s="273">
        <f>IF('[1]2021_Base RPA'!$F446="","",'[1]2021_Base RPA'!$F446)</f>
        <v>8210</v>
      </c>
      <c r="O25" s="81">
        <v>41913</v>
      </c>
      <c r="P25" s="77">
        <v>6739.195652173913</v>
      </c>
      <c r="Q25" s="79">
        <v>-1.9357861036014001E-2</v>
      </c>
      <c r="R25" s="98">
        <v>16515.746784782608</v>
      </c>
      <c r="S25" s="79">
        <v>2.9233271931066618E-2</v>
      </c>
      <c r="T25" s="104">
        <v>-2.3377518450536816E-2</v>
      </c>
      <c r="U25" t="s">
        <v>175</v>
      </c>
    </row>
    <row r="26" spans="1:21" x14ac:dyDescent="0.35">
      <c r="A26" s="314"/>
      <c r="B26" s="315"/>
      <c r="C26" s="394"/>
      <c r="D26" s="395"/>
      <c r="E26" s="42">
        <v>31</v>
      </c>
      <c r="F26" s="64">
        <f>IF('[1]2021_Base RPA'!$F383="","",'[1]2021_Base RPA'!$F383)</f>
        <v>8933</v>
      </c>
      <c r="J26" s="315"/>
      <c r="K26" s="71"/>
      <c r="L26" s="63">
        <f>IF('[1]2021_Base RPA'!$F447="","",'[1]2021_Base RPA'!$F447)</f>
        <v>8355</v>
      </c>
      <c r="O26" s="81"/>
      <c r="P26" s="77"/>
      <c r="Q26" s="79"/>
      <c r="R26" s="98"/>
      <c r="S26" s="79"/>
      <c r="T26" s="104"/>
    </row>
    <row r="27" spans="1:21" x14ac:dyDescent="0.35">
      <c r="A27" s="394"/>
      <c r="B27" s="395"/>
      <c r="C27" s="394"/>
      <c r="D27" s="395"/>
      <c r="F27" s="315"/>
      <c r="G27" s="394"/>
      <c r="H27" s="395"/>
      <c r="I27" s="394"/>
      <c r="J27" s="395"/>
      <c r="K27" s="410"/>
      <c r="L27" s="411"/>
      <c r="O27" s="81">
        <v>41944</v>
      </c>
      <c r="P27" s="77">
        <v>6701.1350000000002</v>
      </c>
      <c r="Q27" s="79">
        <v>-5.6476550226932654E-3</v>
      </c>
      <c r="R27" s="98">
        <v>17154.905600000002</v>
      </c>
      <c r="S27" s="79">
        <v>3.8699964557842748E-2</v>
      </c>
      <c r="T27" s="104">
        <v>1.4417736971819917E-2</v>
      </c>
    </row>
    <row r="28" spans="1:21" ht="15" thickBot="1" x14ac:dyDescent="0.4">
      <c r="A28" s="384">
        <f>B29/'2022'!L65-1</f>
        <v>7.1306682092058704E-2</v>
      </c>
      <c r="B28" s="385"/>
      <c r="C28" s="384">
        <f>D29/B29-1</f>
        <v>-4.2790971447056458E-3</v>
      </c>
      <c r="D28" s="385"/>
      <c r="E28" s="384">
        <f>F29/D29-1</f>
        <v>-1.1847650981805513E-2</v>
      </c>
      <c r="F28" s="385"/>
      <c r="G28" s="384">
        <f>H29/F29-1</f>
        <v>-4.5161673755880205E-3</v>
      </c>
      <c r="H28" s="385"/>
      <c r="I28" s="384">
        <f>J29/H29-1</f>
        <v>-6.2563390647953576E-2</v>
      </c>
      <c r="J28" s="385"/>
      <c r="K28" s="384">
        <f>L29/J29-1</f>
        <v>1.6972157375443553E-2</v>
      </c>
      <c r="L28" s="385"/>
      <c r="O28" s="81">
        <v>41974</v>
      </c>
      <c r="P28" s="77">
        <v>6422.9523809523807</v>
      </c>
      <c r="Q28" s="79">
        <v>-4.1512761501987239E-2</v>
      </c>
      <c r="R28" s="98">
        <v>16968.797895238094</v>
      </c>
      <c r="S28" s="79">
        <v>-1.0848658051601734E-2</v>
      </c>
      <c r="T28" s="104">
        <v>3.412665821932892E-3</v>
      </c>
    </row>
    <row r="29" spans="1:21" ht="15" thickBot="1" x14ac:dyDescent="0.4">
      <c r="A29" s="65" t="s">
        <v>10</v>
      </c>
      <c r="B29" s="66">
        <f>AVERAGE(B4:B25)</f>
        <v>8979.9761904761908</v>
      </c>
      <c r="C29" s="55" t="s">
        <v>10</v>
      </c>
      <c r="D29" s="66">
        <f>AVERAGE(D4:D24)</f>
        <v>8941.5499999999993</v>
      </c>
      <c r="E29" s="55" t="s">
        <v>10</v>
      </c>
      <c r="F29" s="66">
        <f>AVERAGE(F4:F26)</f>
        <v>8835.613636363636</v>
      </c>
      <c r="G29" s="55" t="s">
        <v>10</v>
      </c>
      <c r="H29" s="66">
        <f>AVERAGE(H4:H24)</f>
        <v>8795.71052631579</v>
      </c>
      <c r="I29" s="56" t="s">
        <v>10</v>
      </c>
      <c r="J29" s="66">
        <f>AVERAGE(J4:J24)</f>
        <v>8245.4210526315783</v>
      </c>
      <c r="K29" s="55" t="s">
        <v>10</v>
      </c>
      <c r="L29" s="66">
        <f>AVERAGE(L4:L25)</f>
        <v>8385.363636363636</v>
      </c>
      <c r="O29" s="81">
        <v>42005</v>
      </c>
      <c r="P29" s="77">
        <v>5791.1750000000002</v>
      </c>
      <c r="Q29" s="79">
        <v>-9.8362457555492888E-2</v>
      </c>
      <c r="R29" s="98">
        <v>15271.907592500002</v>
      </c>
      <c r="S29" s="79">
        <v>-0.10000061956152395</v>
      </c>
      <c r="T29" s="104">
        <v>-0.10000061956152395</v>
      </c>
    </row>
    <row r="30" spans="1:21" ht="15" thickBot="1" x14ac:dyDescent="0.4">
      <c r="A30" s="67" t="s">
        <v>11</v>
      </c>
      <c r="B30" s="67">
        <f>B29*A31</f>
        <v>46731.895872751316</v>
      </c>
      <c r="C30" s="67" t="s">
        <v>11</v>
      </c>
      <c r="D30" s="67">
        <f>D29*C31</f>
        <v>46138.398000000001</v>
      </c>
      <c r="E30" s="67" t="s">
        <v>11</v>
      </c>
      <c r="F30" s="67">
        <f>F29*E31</f>
        <v>46025.326083201588</v>
      </c>
      <c r="G30" s="67" t="s">
        <v>11</v>
      </c>
      <c r="H30" s="67">
        <f>H29*G31</f>
        <v>44156.691639473684</v>
      </c>
      <c r="I30" s="67" t="s">
        <v>11</v>
      </c>
      <c r="J30" s="67">
        <f>J29*I31</f>
        <v>41032.678234736843</v>
      </c>
      <c r="K30" s="67" t="s">
        <v>11</v>
      </c>
      <c r="L30" s="67">
        <f>L29*K31</f>
        <v>40677.119487878786</v>
      </c>
      <c r="O30" s="81">
        <v>42036</v>
      </c>
      <c r="P30" s="77">
        <v>5702.0749999999998</v>
      </c>
      <c r="Q30" s="79">
        <v>-1.5385478767262373E-2</v>
      </c>
      <c r="R30" s="98">
        <v>16059.837216749998</v>
      </c>
      <c r="S30" s="79">
        <v>5.1593399153158082E-2</v>
      </c>
      <c r="T30" s="104">
        <v>-5.3566592288966763E-2</v>
      </c>
    </row>
    <row r="31" spans="1:21" ht="15" thickBot="1" x14ac:dyDescent="0.4">
      <c r="A31" s="67">
        <f>AVERAGE('[1]2021_Base RPA'!$B$323:$B$340)</f>
        <v>5.20401111111111</v>
      </c>
      <c r="B31" s="73">
        <f>A31/'2022'!K68-1</f>
        <v>-9.1309710436514591E-3</v>
      </c>
      <c r="C31" s="67">
        <v>5.16</v>
      </c>
      <c r="D31" s="73">
        <f>D30/B30-1</f>
        <v>-1.2700059812839171E-2</v>
      </c>
      <c r="E31" s="67">
        <f>AVERAGE('[1]2021_Base RPA'!$B$361:$B$383)</f>
        <v>5.2090695652173924</v>
      </c>
      <c r="F31" s="73">
        <f>F30/D30-1</f>
        <v>-2.4507118083816337E-3</v>
      </c>
      <c r="G31" s="67">
        <f>AVERAGE('[1]2021_Base RPA'!$B$384:$B$402)</f>
        <v>5.0202529411764703</v>
      </c>
      <c r="H31" s="73">
        <f>H30/F30-1</f>
        <v>-4.0600134811644928E-2</v>
      </c>
      <c r="I31" s="67">
        <f>AVERAGE('[1]2021_Base RPA'!$B$405:$B$424)</f>
        <v>4.9764200000000001</v>
      </c>
      <c r="J31" s="73">
        <f>J30/H30-1</f>
        <v>-7.0748357468523371E-2</v>
      </c>
      <c r="K31" s="67">
        <f>AVERAGE('[1]2021_Base RPA'!$B$425:$B$446)</f>
        <v>4.8509666666666664</v>
      </c>
      <c r="L31" s="73">
        <f>L30/J30-1</f>
        <v>-8.6652580858602724E-3</v>
      </c>
      <c r="O31" s="81">
        <v>42064</v>
      </c>
      <c r="P31" s="77">
        <v>5919.9047619047615</v>
      </c>
      <c r="Q31" s="79">
        <v>3.8201840892089667E-2</v>
      </c>
      <c r="R31" s="98">
        <v>18601.524742857142</v>
      </c>
      <c r="S31" s="79">
        <v>0.15826359207777196</v>
      </c>
      <c r="T31" s="104">
        <v>9.6219358477787953E-2</v>
      </c>
    </row>
    <row r="32" spans="1:21" ht="15" customHeight="1" thickBot="1" x14ac:dyDescent="0.4">
      <c r="A32" s="381" t="s">
        <v>280</v>
      </c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O32" s="116" t="s">
        <v>38</v>
      </c>
    </row>
    <row r="33" spans="1:24" ht="14.5" customHeight="1" x14ac:dyDescent="0.35">
      <c r="A33" s="405" t="s">
        <v>314</v>
      </c>
      <c r="B33" s="406"/>
      <c r="C33" s="405" t="s">
        <v>315</v>
      </c>
      <c r="D33" s="406"/>
      <c r="E33" s="401" t="s">
        <v>316</v>
      </c>
      <c r="F33" s="402"/>
      <c r="G33" s="405" t="s">
        <v>317</v>
      </c>
      <c r="H33" s="406"/>
      <c r="I33" s="401" t="s">
        <v>318</v>
      </c>
      <c r="J33" s="402"/>
      <c r="K33" s="405" t="s">
        <v>319</v>
      </c>
      <c r="L33" s="406"/>
      <c r="O33" s="81">
        <v>42125</v>
      </c>
      <c r="P33" s="77">
        <v>6300.605263157895</v>
      </c>
      <c r="Q33" s="79">
        <v>4.5140379665992825E-2</v>
      </c>
      <c r="R33" s="98">
        <v>19242.048473684212</v>
      </c>
      <c r="S33" s="79">
        <v>4.5653962162143014E-2</v>
      </c>
      <c r="T33" s="104">
        <v>0.13396650678973865</v>
      </c>
    </row>
    <row r="34" spans="1:24" x14ac:dyDescent="0.35">
      <c r="A34" s="44"/>
      <c r="B34" s="50" t="s">
        <v>7</v>
      </c>
      <c r="C34" s="51"/>
      <c r="D34" s="40" t="s">
        <v>8</v>
      </c>
      <c r="E34" s="48"/>
      <c r="F34" s="58" t="s">
        <v>8</v>
      </c>
      <c r="G34" s="51"/>
      <c r="H34" s="40" t="s">
        <v>8</v>
      </c>
      <c r="I34" s="49"/>
      <c r="J34" s="53" t="s">
        <v>18</v>
      </c>
      <c r="K34" s="51"/>
      <c r="L34" s="40" t="s">
        <v>8</v>
      </c>
      <c r="M34" s="106"/>
      <c r="O34" s="81">
        <v>42156</v>
      </c>
      <c r="P34" s="77">
        <v>5833.613636363636</v>
      </c>
      <c r="Q34" s="79">
        <v>-7.4118534218441168E-2</v>
      </c>
      <c r="R34" s="98">
        <v>18168.789670454546</v>
      </c>
      <c r="S34" s="79">
        <v>-5.5776743557084174E-2</v>
      </c>
      <c r="T34" s="104">
        <v>7.0717547738204933E-2</v>
      </c>
    </row>
    <row r="35" spans="1:24" ht="15" hidden="1" thickBot="1" x14ac:dyDescent="0.4">
      <c r="A35" s="61" t="s">
        <v>19</v>
      </c>
      <c r="B35" s="60" t="e">
        <v>#DIV/0!</v>
      </c>
      <c r="C35" s="61" t="s">
        <v>19</v>
      </c>
      <c r="D35" s="60" t="e">
        <v>#DIV/0!</v>
      </c>
      <c r="E35" s="61" t="s">
        <v>19</v>
      </c>
      <c r="F35" s="62" t="e">
        <v>#DIV/0!</v>
      </c>
      <c r="G35" s="65" t="s">
        <v>19</v>
      </c>
      <c r="H35" s="70" t="e">
        <v>#DIV/0!</v>
      </c>
      <c r="I35" s="65" t="s">
        <v>19</v>
      </c>
      <c r="J35" s="70" t="e">
        <v>#DIV/0!</v>
      </c>
      <c r="K35" s="61" t="s">
        <v>19</v>
      </c>
      <c r="L35" s="70" t="e">
        <v>#DIV/0!</v>
      </c>
      <c r="O35" s="81">
        <v>42675</v>
      </c>
      <c r="T35" s="104" t="e">
        <v>#DIV/0!</v>
      </c>
    </row>
    <row r="36" spans="1:24" ht="15" hidden="1" thickBot="1" x14ac:dyDescent="0.4">
      <c r="A36" s="55" t="s">
        <v>10</v>
      </c>
      <c r="B36" s="66" t="e">
        <v>#DIV/0!</v>
      </c>
      <c r="C36" s="55" t="s">
        <v>10</v>
      </c>
      <c r="D36" s="66" t="e">
        <v>#DIV/0!</v>
      </c>
      <c r="E36" s="56" t="s">
        <v>10</v>
      </c>
      <c r="F36" s="66" t="e">
        <v>#DIV/0!</v>
      </c>
      <c r="G36" s="55" t="s">
        <v>10</v>
      </c>
      <c r="H36" s="66" t="e">
        <v>#DIV/0!</v>
      </c>
      <c r="I36" s="56" t="s">
        <v>10</v>
      </c>
      <c r="J36" s="66" t="e">
        <v>#DIV/0!</v>
      </c>
      <c r="K36" s="55" t="s">
        <v>10</v>
      </c>
      <c r="L36" s="66" t="e">
        <v>#DIV/0!</v>
      </c>
      <c r="O36" s="81">
        <v>42705</v>
      </c>
      <c r="T36" s="104" t="e">
        <v>#DIV/0!</v>
      </c>
    </row>
    <row r="37" spans="1:24" ht="15" hidden="1" customHeight="1" thickBot="1" x14ac:dyDescent="0.4">
      <c r="A37" s="407" t="e">
        <v>#DIV/0!</v>
      </c>
      <c r="B37" s="408"/>
      <c r="C37" s="399" t="e">
        <v>#DIV/0!</v>
      </c>
      <c r="D37" s="404"/>
      <c r="E37" s="399" t="e">
        <v>#DIV/0!</v>
      </c>
      <c r="F37" s="404"/>
      <c r="G37" s="399" t="e">
        <v>#DIV/0!</v>
      </c>
      <c r="H37" s="404"/>
      <c r="I37" s="399" t="e">
        <v>#DIV/0!</v>
      </c>
      <c r="J37" s="400"/>
      <c r="K37" s="403" t="e">
        <v>#DIV/0!</v>
      </c>
      <c r="L37" s="400"/>
      <c r="O37" s="81">
        <v>42736</v>
      </c>
      <c r="T37" s="104" t="e">
        <v>#DIV/0!</v>
      </c>
    </row>
    <row r="38" spans="1:24" ht="15" hidden="1" thickBot="1" x14ac:dyDescent="0.4">
      <c r="A38" s="67" t="s">
        <v>11</v>
      </c>
      <c r="B38" s="67" t="e">
        <v>#DIV/0!</v>
      </c>
      <c r="C38" s="67" t="s">
        <v>11</v>
      </c>
      <c r="D38" s="67" t="e">
        <v>#DIV/0!</v>
      </c>
      <c r="E38" s="67" t="s">
        <v>11</v>
      </c>
      <c r="F38" s="67" t="e">
        <v>#DIV/0!</v>
      </c>
      <c r="G38" s="67" t="s">
        <v>11</v>
      </c>
      <c r="H38" s="67" t="e">
        <v>#DIV/0!</v>
      </c>
      <c r="I38" s="67" t="s">
        <v>11</v>
      </c>
      <c r="J38" s="67" t="e">
        <v>#DIV/0!</v>
      </c>
      <c r="K38" s="67" t="s">
        <v>11</v>
      </c>
      <c r="L38" s="67" t="e">
        <v>#DIV/0!</v>
      </c>
      <c r="O38" s="81">
        <v>42767</v>
      </c>
      <c r="T38" s="104" t="e">
        <v>#DIV/0!</v>
      </c>
    </row>
    <row r="39" spans="1:24" ht="15" hidden="1" thickBot="1" x14ac:dyDescent="0.4">
      <c r="A39" s="67"/>
      <c r="B39" s="73" t="e">
        <v>#DIV/0!</v>
      </c>
      <c r="C39" s="67"/>
      <c r="D39" s="73" t="e">
        <v>#DIV/0!</v>
      </c>
      <c r="E39" s="67"/>
      <c r="F39" s="73" t="e">
        <v>#DIV/0!</v>
      </c>
      <c r="G39" s="67"/>
      <c r="H39" s="73" t="e">
        <v>#DIV/0!</v>
      </c>
      <c r="I39" s="67"/>
      <c r="J39" s="73" t="e">
        <v>#DIV/0!</v>
      </c>
      <c r="K39" s="67"/>
      <c r="L39" s="73" t="e">
        <v>#DIV/0!</v>
      </c>
      <c r="O39" s="81">
        <v>42795</v>
      </c>
      <c r="T39" s="104" t="e">
        <v>#DIV/0!</v>
      </c>
    </row>
    <row r="40" spans="1:24" ht="14.5" hidden="1" customHeight="1" x14ac:dyDescent="0.35">
      <c r="A40" s="396" t="s">
        <v>90</v>
      </c>
      <c r="B40" s="397"/>
      <c r="C40" s="396" t="s">
        <v>91</v>
      </c>
      <c r="D40" s="397"/>
      <c r="E40" s="396" t="s">
        <v>92</v>
      </c>
      <c r="F40" s="397"/>
      <c r="G40" s="405" t="s">
        <v>93</v>
      </c>
      <c r="H40" s="406"/>
      <c r="I40" s="405" t="s">
        <v>94</v>
      </c>
      <c r="J40" s="406"/>
      <c r="K40" s="405" t="s">
        <v>95</v>
      </c>
      <c r="L40" s="406"/>
      <c r="O40" s="81">
        <v>42826</v>
      </c>
      <c r="T40" s="104" t="e">
        <v>#DIV/0!</v>
      </c>
    </row>
    <row r="41" spans="1:24" hidden="1" x14ac:dyDescent="0.35">
      <c r="A41" s="44"/>
      <c r="B41" s="50" t="s">
        <v>7</v>
      </c>
      <c r="C41" s="51"/>
      <c r="D41" s="40" t="s">
        <v>8</v>
      </c>
      <c r="E41" s="51"/>
      <c r="F41" s="52" t="s">
        <v>8</v>
      </c>
      <c r="G41" s="51"/>
      <c r="H41" s="40" t="s">
        <v>8</v>
      </c>
      <c r="I41" s="49"/>
      <c r="J41" s="53" t="s">
        <v>8</v>
      </c>
      <c r="K41" s="51"/>
      <c r="L41" s="40" t="s">
        <v>8</v>
      </c>
      <c r="O41" s="81">
        <v>42856</v>
      </c>
      <c r="T41" s="104" t="e">
        <v>#DIV/0!</v>
      </c>
    </row>
    <row r="42" spans="1:24" ht="15" customHeight="1" x14ac:dyDescent="0.35">
      <c r="A42" s="41">
        <v>3</v>
      </c>
      <c r="B42" s="63">
        <f>IF('[1]2021_Base RPA'!$F447="","",'[1]2021_Base RPA'!$F447)</f>
        <v>8355</v>
      </c>
      <c r="C42" s="41">
        <v>1</v>
      </c>
      <c r="D42" s="63">
        <f>IF('[1]2021_Base RPA'!$F468="","",'[1]2021_Base RPA'!$F468)</f>
        <v>8720.5</v>
      </c>
      <c r="E42" s="250">
        <v>1</v>
      </c>
      <c r="F42" s="63">
        <f>IF('[1]2021_Base RPA'!$F491="","",'[1]2021_Base RPA'!$F491)</f>
        <v>8515</v>
      </c>
      <c r="G42" s="41">
        <v>2</v>
      </c>
      <c r="H42" s="63">
        <f>IF('[1]2021_Base RPA'!$F512="","",'[1]2021_Base RPA'!$F512)</f>
        <v>8100</v>
      </c>
      <c r="I42" s="49">
        <v>1</v>
      </c>
      <c r="J42" s="63">
        <f>IF('[2]2021_Base RPA'!$F534="","",'[2]2021_Base RPA'!$F534)</f>
        <v>8041</v>
      </c>
      <c r="K42" s="49">
        <v>1</v>
      </c>
      <c r="L42" s="63">
        <f>IF('[2]2021_Base RPA'!$F534="","",'[2]2021_Base RPA'!$F556)</f>
        <v>8456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</row>
    <row r="43" spans="1:24" x14ac:dyDescent="0.35">
      <c r="A43" s="41">
        <v>4</v>
      </c>
      <c r="B43" s="63">
        <f>IF('[1]2021_Base RPA'!$F448="","",'[1]2021_Base RPA'!$F448)</f>
        <v>8349</v>
      </c>
      <c r="C43" s="41">
        <v>2</v>
      </c>
      <c r="D43" s="63">
        <f>IF('[1]2021_Base RPA'!$F469="","",'[1]2021_Base RPA'!$F469)</f>
        <v>8545</v>
      </c>
      <c r="E43" s="41">
        <v>4</v>
      </c>
      <c r="F43" s="63">
        <f>IF('[1]2021_Base RPA'!$F492="","",'[1]2021_Base RPA'!$F492)</f>
        <v>8405</v>
      </c>
      <c r="G43" s="41">
        <v>3</v>
      </c>
      <c r="H43" s="63">
        <f>IF('[1]2021_Base RPA'!$F513="","",'[1]2021_Base RPA'!$F513)</f>
        <v>7958</v>
      </c>
      <c r="I43" s="177">
        <v>2</v>
      </c>
      <c r="J43" s="63">
        <f>IF('[2]2021_Base RPA'!$F535="","",'[2]2021_Base RPA'!$F535)</f>
        <v>8066</v>
      </c>
      <c r="K43" s="49">
        <v>4</v>
      </c>
      <c r="L43" s="63">
        <f>IF('[2]2021_Base RPA'!$F535="","",'[2]2021_Base RPA'!$F557)</f>
        <v>8417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  <c r="U43" s="133">
        <f>261+21</f>
        <v>282</v>
      </c>
    </row>
    <row r="44" spans="1:24" x14ac:dyDescent="0.35">
      <c r="A44" s="41">
        <v>5</v>
      </c>
      <c r="B44" s="63">
        <f>IF('[1]2021_Base RPA'!$F449="","",'[1]2021_Base RPA'!$F449)</f>
        <v>8251</v>
      </c>
      <c r="C44" s="41">
        <v>3</v>
      </c>
      <c r="D44" s="63">
        <f>IF('[1]2021_Base RPA'!$F470="","",'[1]2021_Base RPA'!$F470)</f>
        <v>8472</v>
      </c>
      <c r="E44" s="41">
        <v>5</v>
      </c>
      <c r="F44" s="63">
        <f>IF('[1]2021_Base RPA'!$F493="","",'[1]2021_Base RPA'!$F493)</f>
        <v>8425</v>
      </c>
      <c r="G44" s="41">
        <v>4</v>
      </c>
      <c r="H44" s="63">
        <f>IF('[1]2021_Base RPA'!$F514="","",'[1]2021_Base RPA'!$F514)</f>
        <v>7910</v>
      </c>
      <c r="I44" s="49">
        <v>3</v>
      </c>
      <c r="J44" s="63">
        <f>IF('[2]2021_Base RPA'!$F536="","",'[2]2021_Base RPA'!$F536)</f>
        <v>8070.5</v>
      </c>
      <c r="K44" s="49">
        <v>5</v>
      </c>
      <c r="L44" s="63">
        <f>IF('[2]2021_Base RPA'!$F536="","",'[2]2021_Base RPA'!$F558)</f>
        <v>8259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6</v>
      </c>
      <c r="B45" s="63">
        <f>IF('[1]2021_Base RPA'!$F450="","",'[1]2021_Base RPA'!$F450)</f>
        <v>8280</v>
      </c>
      <c r="C45" s="41">
        <v>4</v>
      </c>
      <c r="D45" s="63">
        <f>IF('[1]2021_Base RPA'!$F471="","",'[1]2021_Base RPA'!$F471)</f>
        <v>8450.5</v>
      </c>
      <c r="E45" s="41">
        <v>6</v>
      </c>
      <c r="F45" s="63">
        <f>IF('[1]2021_Base RPA'!$F494="","",'[1]2021_Base RPA'!$F494)</f>
        <v>8394</v>
      </c>
      <c r="G45" s="41">
        <v>5</v>
      </c>
      <c r="H45" s="63">
        <f>IF('[1]2021_Base RPA'!$F515="","",'[1]2021_Base RPA'!$F515)</f>
        <v>7812</v>
      </c>
      <c r="I45" s="49">
        <v>6</v>
      </c>
      <c r="J45" s="63">
        <f>IF('[2]2021_Base RPA'!$F537="","",'[2]2021_Base RPA'!$F537)</f>
        <v>8136.5</v>
      </c>
      <c r="K45" s="49">
        <v>6</v>
      </c>
      <c r="L45" s="63">
        <f>IF('[2]2021_Base RPA'!$F537="","",'[2]2021_Base RPA'!$F559)</f>
        <v>8297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7</v>
      </c>
      <c r="B46" s="63">
        <f>IF('[1]2021_Base RPA'!$F451="","",'[1]2021_Base RPA'!$F451)</f>
        <v>8299</v>
      </c>
      <c r="C46" s="41">
        <v>7</v>
      </c>
      <c r="D46" s="63">
        <f>IF('[1]2021_Base RPA'!$F472="","",'[1]2021_Base RPA'!$F472)</f>
        <v>8495</v>
      </c>
      <c r="E46" s="41">
        <v>8</v>
      </c>
      <c r="F46" s="63">
        <f>IF('[1]2021_Base RPA'!$F495="","",'[1]2021_Base RPA'!$F495)</f>
        <v>8242</v>
      </c>
      <c r="G46" s="41">
        <v>6</v>
      </c>
      <c r="H46" s="63">
        <f>IF('[1]2021_Base RPA'!$F516="","",'[1]2021_Base RPA'!$F516)</f>
        <v>7886</v>
      </c>
      <c r="I46" s="49">
        <v>7</v>
      </c>
      <c r="J46" s="63">
        <f>IF('[2]2021_Base RPA'!$F538="","",'[2]2021_Base RPA'!$F538)</f>
        <v>8068</v>
      </c>
      <c r="K46" s="49">
        <v>7</v>
      </c>
      <c r="L46" s="63">
        <f>IF('[2]2021_Base RPA'!$F538="","",'[2]2021_Base RPA'!$F560)</f>
        <v>8221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10</v>
      </c>
      <c r="B47" s="63">
        <f>IF('[1]2021_Base RPA'!$F452="","",'[1]2021_Base RPA'!$F452)</f>
        <v>8286</v>
      </c>
      <c r="C47" s="41">
        <v>8</v>
      </c>
      <c r="D47" s="63">
        <f>IF('[1]2021_Base RPA'!$F473="","",'[1]2021_Base RPA'!$F473)</f>
        <v>8276</v>
      </c>
      <c r="E47" s="41">
        <v>11</v>
      </c>
      <c r="F47" s="63">
        <f>IF('[1]2021_Base RPA'!$F497="","",'[1]2021_Base RPA'!$F497)</f>
        <v>8332</v>
      </c>
      <c r="G47" s="41">
        <v>9</v>
      </c>
      <c r="H47" s="63">
        <f>IF('[1]2021_Base RPA'!$F517="","",'[1]2021_Base RPA'!$F517)</f>
        <v>8015</v>
      </c>
      <c r="I47" s="49">
        <v>8</v>
      </c>
      <c r="J47" s="63">
        <f>IF('[2]2021_Base RPA'!$F539="","",'[2]2021_Base RPA'!$F539)</f>
        <v>8088</v>
      </c>
      <c r="K47" s="49">
        <v>8</v>
      </c>
      <c r="L47" s="63">
        <f>IF('[2]2021_Base RPA'!$F539="","",'[2]2021_Base RPA'!$F561)</f>
        <v>8348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98" t="e">
        <f>#REF!</f>
        <v>#REF!</v>
      </c>
      <c r="S47" s="79" t="e">
        <f>#REF!</f>
        <v>#REF!</v>
      </c>
      <c r="T47" s="104" t="e">
        <f>#REF!</f>
        <v>#REF!</v>
      </c>
    </row>
    <row r="48" spans="1:24" x14ac:dyDescent="0.35">
      <c r="A48" s="41">
        <v>11</v>
      </c>
      <c r="B48" s="63">
        <f>IF('[1]2021_Base RPA'!$F453="","",'[1]2021_Base RPA'!$F453)</f>
        <v>8371</v>
      </c>
      <c r="C48" s="41">
        <v>9</v>
      </c>
      <c r="D48" s="63">
        <f>IF('[1]2021_Base RPA'!$F474="","",'[1]2021_Base RPA'!$F474)</f>
        <v>8395</v>
      </c>
      <c r="E48" s="41">
        <v>12</v>
      </c>
      <c r="F48" s="63">
        <f>IF('[1]2021_Base RPA'!$F498="","",'[1]2021_Base RPA'!$F498)</f>
        <v>8337</v>
      </c>
      <c r="G48" s="41">
        <v>10</v>
      </c>
      <c r="H48" s="63">
        <f>IF('[1]2021_Base RPA'!$F518="","",'[1]2021_Base RPA'!$F518)</f>
        <v>7907</v>
      </c>
      <c r="I48" s="49">
        <v>9</v>
      </c>
      <c r="J48" s="63">
        <f>IF('[2]2021_Base RPA'!$F540="","",'[2]2021_Base RPA'!$F540)</f>
        <v>8030.5</v>
      </c>
      <c r="K48" s="49">
        <v>11</v>
      </c>
      <c r="L48" s="63">
        <f>IF('[2]2021_Base RPA'!$F540="","",'[2]2021_Base RPA'!$F562)</f>
        <v>8275.5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  <c r="V48" s="81"/>
      <c r="W48" s="81"/>
      <c r="X48" s="81"/>
    </row>
    <row r="49" spans="1:21" x14ac:dyDescent="0.35">
      <c r="A49" s="41">
        <v>12</v>
      </c>
      <c r="B49" s="63">
        <f>IF('[1]2021_Base RPA'!$F454="","",'[1]2021_Base RPA'!$F454)</f>
        <v>8367</v>
      </c>
      <c r="C49" s="41">
        <v>10</v>
      </c>
      <c r="D49" s="63">
        <f>IF('[1]2021_Base RPA'!$F475="","",'[1]2021_Base RPA'!$F475)</f>
        <v>8423.5</v>
      </c>
      <c r="E49" s="41">
        <v>13</v>
      </c>
      <c r="F49" s="63">
        <f>IF('[1]2021_Base RPA'!$F499="","",'[1]2021_Base RPA'!$F499)</f>
        <v>8352.5</v>
      </c>
      <c r="G49" s="41">
        <v>11</v>
      </c>
      <c r="H49" s="63">
        <f>IF('[1]2021_Base RPA'!$F519="","",'[1]2021_Base RPA'!$F519)</f>
        <v>7943</v>
      </c>
      <c r="I49" s="49">
        <v>10</v>
      </c>
      <c r="J49" s="63">
        <f>IF('[2]2021_Base RPA'!$F541="","",'[2]2021_Base RPA'!$F541)</f>
        <v>8006</v>
      </c>
      <c r="K49" s="49">
        <v>12</v>
      </c>
      <c r="L49" s="63">
        <f>IF('[2]2021_Base RPA'!$F541="","",'[2]2021_Base RPA'!$F563)</f>
        <v>8272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13</v>
      </c>
      <c r="B50" s="63">
        <f>IF('[1]2021_Base RPA'!$F455="","",'[1]2021_Base RPA'!$F455)</f>
        <v>8585</v>
      </c>
      <c r="C50" s="41">
        <v>11</v>
      </c>
      <c r="D50" s="63">
        <f>IF('[1]2021_Base RPA'!$F476="","",'[1]2021_Base RPA'!$F476)</f>
        <v>8242</v>
      </c>
      <c r="E50" s="41">
        <v>14</v>
      </c>
      <c r="F50" s="63">
        <f>IF('[1]2021_Base RPA'!$F500="","",'[1]2021_Base RPA'!$F500)</f>
        <v>8422</v>
      </c>
      <c r="G50" s="41">
        <v>12</v>
      </c>
      <c r="H50" s="63">
        <f>IF('[1]2021_Base RPA'!$F520="","",'[1]2021_Base RPA'!$F520)</f>
        <v>7994</v>
      </c>
      <c r="I50" s="49">
        <v>13</v>
      </c>
      <c r="J50" s="63">
        <f>IF('[2]2021_Base RPA'!$F542="","",'[2]2021_Base RPA'!$F542)</f>
        <v>8014.5</v>
      </c>
      <c r="K50" s="49">
        <v>13</v>
      </c>
      <c r="L50" s="63">
        <f>IF('[2]2021_Base RPA'!$F542="","",'[2]2021_Base RPA'!$F564)</f>
        <v>8205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14</v>
      </c>
      <c r="B51" s="63">
        <f>IF('[1]2021_Base RPA'!$F456="","",'[1]2021_Base RPA'!$F456)</f>
        <v>8651</v>
      </c>
      <c r="C51" s="41">
        <v>14</v>
      </c>
      <c r="D51" s="63">
        <f>IF('[1]2021_Base RPA'!$F477="","",'[1]2021_Base RPA'!$F477)</f>
        <v>8242</v>
      </c>
      <c r="E51" s="41">
        <v>15</v>
      </c>
      <c r="F51" s="63">
        <f>IF('[1]2021_Base RPA'!$F501="","",'[1]2021_Base RPA'!$F501)</f>
        <v>8376</v>
      </c>
      <c r="G51" s="41">
        <v>13</v>
      </c>
      <c r="H51" s="63">
        <f>IF('[1]2021_Base RPA'!$F521="","",'[1]2021_Base RPA'!$F521)</f>
        <v>7891</v>
      </c>
      <c r="I51" s="49">
        <v>14</v>
      </c>
      <c r="J51" s="63">
        <f>IF('[2]2021_Base RPA'!$F543="","",'[2]2021_Base RPA'!$F543)</f>
        <v>8081</v>
      </c>
      <c r="K51" s="49">
        <v>14</v>
      </c>
      <c r="L51" s="63">
        <f>IF('[2]2021_Base RPA'!$F543="","",'[2]2021_Base RPA'!$F565)</f>
        <v>8461.5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17</v>
      </c>
      <c r="B52" s="63">
        <f>IF('[1]2021_Base RPA'!$F457="","",'[1]2021_Base RPA'!$F457)</f>
        <v>8460</v>
      </c>
      <c r="C52" s="41">
        <v>15</v>
      </c>
      <c r="D52" s="63">
        <f>IF('[1]2021_Base RPA'!$F478="","",'[1]2021_Base RPA'!$F478)</f>
        <v>8126.5</v>
      </c>
      <c r="E52" s="41">
        <v>18</v>
      </c>
      <c r="F52" s="63">
        <f>IF('[1]2021_Base RPA'!$F502="","",'[1]2021_Base RPA'!$F502)</f>
        <v>8319</v>
      </c>
      <c r="G52" s="41">
        <v>16</v>
      </c>
      <c r="H52" s="63">
        <f>IF('[1]2021_Base RPA'!$F522="","",'[1]2021_Base RPA'!$F522)</f>
        <v>7920</v>
      </c>
      <c r="I52" s="49">
        <v>15</v>
      </c>
      <c r="J52" s="63">
        <f>IF('[2]2021_Base RPA'!$F544="","",'[2]2021_Base RPA'!$F544)</f>
        <v>8169</v>
      </c>
      <c r="K52" s="49">
        <v>15</v>
      </c>
      <c r="L52" s="63">
        <f>IF('[2]2021_Base RPA'!$F544="","",'[2]2021_Base RPA'!$F566)</f>
        <v>8471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18</v>
      </c>
      <c r="B53" s="63">
        <f>IF('[1]2021_Base RPA'!$F458="","",'[1]2021_Base RPA'!$F458)</f>
        <v>8410</v>
      </c>
      <c r="C53" s="41">
        <v>16</v>
      </c>
      <c r="D53" s="63">
        <f>IF('[1]2021_Base RPA'!$F479="","",'[1]2021_Base RPA'!$F479)</f>
        <v>8132</v>
      </c>
      <c r="E53" s="41">
        <v>19</v>
      </c>
      <c r="F53" s="63">
        <f>IF('[1]2021_Base RPA'!$F503="","",'[1]2021_Base RPA'!$F503)</f>
        <v>8232.5</v>
      </c>
      <c r="G53" s="41">
        <v>17</v>
      </c>
      <c r="H53" s="63">
        <f>IF('[1]2021_Base RPA'!$F523="","",'[1]2021_Base RPA'!$F523)</f>
        <v>7846.5</v>
      </c>
      <c r="I53" s="49">
        <v>16</v>
      </c>
      <c r="J53" s="63">
        <f>IF('[2]2021_Base RPA'!$F545="","",'[2]2021_Base RPA'!$F545)</f>
        <v>8165.5</v>
      </c>
      <c r="K53" s="49">
        <v>18</v>
      </c>
      <c r="L53" s="63">
        <f>IF('[2]2021_Base RPA'!$F545="","",'[2]2021_Base RPA'!$F567)</f>
        <v>8423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19</v>
      </c>
      <c r="B54" s="63">
        <f>IF('[1]2021_Base RPA'!$F459="","",'[1]2021_Base RPA'!$F459)</f>
        <v>8354</v>
      </c>
      <c r="C54" s="41">
        <v>17</v>
      </c>
      <c r="D54" s="63">
        <f>IF('[1]2021_Base RPA'!$F480="","",'[1]2021_Base RPA'!$F480)</f>
        <v>8215</v>
      </c>
      <c r="E54" s="41">
        <v>20</v>
      </c>
      <c r="F54" s="63">
        <f>IF('[1]2021_Base RPA'!$F504="","",'[1]2021_Base RPA'!$F504)</f>
        <v>8275</v>
      </c>
      <c r="G54" s="41">
        <v>18</v>
      </c>
      <c r="H54" s="63">
        <f>IF('[1]2021_Base RPA'!$F524="","",'[1]2021_Base RPA'!$F524)</f>
        <v>7947.5</v>
      </c>
      <c r="I54" s="49">
        <v>17</v>
      </c>
      <c r="J54" s="63">
        <f>IF('[2]2021_Base RPA'!$F546="","",'[2]2021_Base RPA'!$F546)</f>
        <v>8141</v>
      </c>
      <c r="K54" s="49">
        <v>19</v>
      </c>
      <c r="L54" s="63">
        <f>IF('[2]2021_Base RPA'!$F546="","",'[2]2021_Base RPA'!$F568)</f>
        <v>8439</v>
      </c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</row>
    <row r="55" spans="1:21" x14ac:dyDescent="0.35">
      <c r="A55" s="41">
        <v>20</v>
      </c>
      <c r="B55" s="63">
        <f>IF('[1]2021_Base RPA'!$F460="","",'[1]2021_Base RPA'!$F460)</f>
        <v>8543</v>
      </c>
      <c r="C55" s="41">
        <v>18</v>
      </c>
      <c r="D55" s="63">
        <f>IF('[1]2021_Base RPA'!$F481="","",'[1]2021_Base RPA'!$F481)</f>
        <v>8176</v>
      </c>
      <c r="E55" s="41">
        <v>21</v>
      </c>
      <c r="F55" s="63">
        <f>IF('[1]2021_Base RPA'!$F505="","",'[1]2021_Base RPA'!$F505)</f>
        <v>8100.5</v>
      </c>
      <c r="G55" s="41">
        <v>19</v>
      </c>
      <c r="H55" s="63">
        <f>IF('[1]2021_Base RPA'!$F525="","",'[1]2021_Base RPA'!$F525)</f>
        <v>7938</v>
      </c>
      <c r="I55" s="49">
        <v>20</v>
      </c>
      <c r="J55" s="63">
        <f>IF('[2]2021_Base RPA'!$F547="","",'[2]2021_Base RPA'!$F547)</f>
        <v>8247</v>
      </c>
      <c r="K55" s="49">
        <v>20</v>
      </c>
      <c r="L55" s="63">
        <f>IF('[2]2021_Base RPA'!$F547="","",'[2]2021_Base RPA'!$F569)</f>
        <v>8466.5</v>
      </c>
      <c r="M55" s="106"/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  <c r="U55" s="106"/>
    </row>
    <row r="56" spans="1:21" x14ac:dyDescent="0.35">
      <c r="A56" s="41">
        <v>21</v>
      </c>
      <c r="B56" s="63">
        <f>IF('[1]2021_Base RPA'!$F461="","",'[1]2021_Base RPA'!$F461)</f>
        <v>8422</v>
      </c>
      <c r="C56" s="41">
        <v>21</v>
      </c>
      <c r="D56" s="63">
        <f>IF('[1]2021_Base RPA'!$F482="","",'[1]2021_Base RPA'!$F482)</f>
        <v>8239.5</v>
      </c>
      <c r="E56" s="41">
        <v>22</v>
      </c>
      <c r="F56" s="63">
        <f>IF('[1]2021_Base RPA'!$F506="","",'[1]2021_Base RPA'!$F506)</f>
        <v>8187.5</v>
      </c>
      <c r="G56" s="41">
        <v>20</v>
      </c>
      <c r="H56" s="63">
        <f>IF('[1]2021_Base RPA'!$F526="","",'[1]2021_Base RPA'!$F526)</f>
        <v>7876</v>
      </c>
      <c r="I56" s="49">
        <v>21</v>
      </c>
      <c r="J56" s="63">
        <f>IF('[2]2021_Base RPA'!$F548="","",'[2]2021_Base RPA'!$F548)</f>
        <v>8324</v>
      </c>
      <c r="K56" s="49">
        <v>21</v>
      </c>
      <c r="L56" s="63">
        <f>IF('[2]2021_Base RPA'!$F548="","",'[2]2021_Base RPA'!$F570)</f>
        <v>8460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24</v>
      </c>
      <c r="B57" s="63">
        <f>IF('[1]2021_Base RPA'!$F462="","",'[1]2021_Base RPA'!$F462)</f>
        <v>8430</v>
      </c>
      <c r="C57" s="41">
        <v>22</v>
      </c>
      <c r="D57" s="63">
        <f>IF('[1]2021_Base RPA'!$F483="","",'[1]2021_Base RPA'!$F483)</f>
        <v>8342</v>
      </c>
      <c r="E57" s="41">
        <v>25</v>
      </c>
      <c r="F57" s="63">
        <f>IF('[1]2021_Base RPA'!$F507="","",'[1]2021_Base RPA'!$F507)</f>
        <v>8102</v>
      </c>
      <c r="G57" s="41">
        <v>23</v>
      </c>
      <c r="H57" s="63">
        <f>IF('[1]2021_Base RPA'!$F527="","",'[1]2021_Base RPA'!$F527)</f>
        <v>7824.5</v>
      </c>
      <c r="I57" s="49">
        <v>22</v>
      </c>
      <c r="J57" s="63">
        <f>IF('[2]2021_Base RPA'!$F549="","",'[2]2021_Base RPA'!$F549)</f>
        <v>8296</v>
      </c>
      <c r="K57" s="49">
        <v>22</v>
      </c>
      <c r="L57" s="63">
        <f>IF('[2]2021_Base RPA'!$F549="","",'[2]2021_Base RPA'!$F571)</f>
        <v>8499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25</v>
      </c>
      <c r="B58" s="63">
        <f>IF('[1]2021_Base RPA'!$F462="","",'[1]2021_Base RPA'!$F463)</f>
        <v>8597</v>
      </c>
      <c r="C58" s="41">
        <v>23</v>
      </c>
      <c r="D58" s="63">
        <f>IF('[1]2021_Base RPA'!$F484="","",'[1]2021_Base RPA'!$F484)</f>
        <v>8377.5</v>
      </c>
      <c r="E58" s="41">
        <v>26</v>
      </c>
      <c r="F58" s="63">
        <f>IF('[1]2021_Base RPA'!$F508="","",'[1]2021_Base RPA'!$F508)</f>
        <v>8065</v>
      </c>
      <c r="G58" s="41">
        <v>24</v>
      </c>
      <c r="H58" s="63">
        <f>IF('[1]2021_Base RPA'!$F528="","",'[1]2021_Base RPA'!$F528)</f>
        <v>7900.5</v>
      </c>
      <c r="I58" s="49">
        <v>23</v>
      </c>
      <c r="J58" s="63">
        <f>IF('[2]2021_Base RPA'!$F550="","",'[2]2021_Base RPA'!$F550)</f>
        <v>8307.5</v>
      </c>
      <c r="K58" s="49">
        <v>27</v>
      </c>
      <c r="L58" s="63">
        <f>IF('[2]2021_Base RPA'!$F550="","",'[2]2021_Base RPA'!$F572)</f>
        <v>8511.5</v>
      </c>
      <c r="O58" s="81" t="e">
        <f>#REF!</f>
        <v>#REF!</v>
      </c>
      <c r="P58" s="77" t="e">
        <f>#REF!</f>
        <v>#REF!</v>
      </c>
      <c r="Q58" s="79" t="e">
        <f>#REF!</f>
        <v>#REF!</v>
      </c>
      <c r="R58" s="80" t="e">
        <f>#REF!</f>
        <v>#REF!</v>
      </c>
      <c r="S58" s="79" t="e">
        <f>#REF!</f>
        <v>#REF!</v>
      </c>
      <c r="T58" s="104" t="e">
        <f>#REF!</f>
        <v>#REF!</v>
      </c>
    </row>
    <row r="59" spans="1:21" x14ac:dyDescent="0.35">
      <c r="A59" s="41">
        <v>26</v>
      </c>
      <c r="B59" s="63">
        <f>IF('[1]2021_Base RPA'!$F463="","",'[1]2021_Base RPA'!$F464)</f>
        <v>8534</v>
      </c>
      <c r="C59" s="41">
        <v>24</v>
      </c>
      <c r="D59" s="63">
        <f>IF('[1]2021_Base RPA'!$F485="","",'[1]2021_Base RPA'!$F485)</f>
        <v>8358.5</v>
      </c>
      <c r="E59" s="41">
        <v>27</v>
      </c>
      <c r="F59" s="63">
        <f>IF('[1]2021_Base RPA'!$F509="","",'[1]2021_Base RPA'!$F509)</f>
        <v>8016.5</v>
      </c>
      <c r="G59" s="41">
        <v>25</v>
      </c>
      <c r="H59" s="63">
        <f>IF('[1]2021_Base RPA'!$F529="","",'[1]2021_Base RPA'!$F529)</f>
        <v>7946</v>
      </c>
      <c r="I59" s="49">
        <v>24</v>
      </c>
      <c r="J59" s="63">
        <f>IF('[2]2021_Base RPA'!$F551="","",'[2]2021_Base RPA'!$F551)</f>
        <v>8300</v>
      </c>
      <c r="K59" s="49">
        <v>28</v>
      </c>
      <c r="L59" s="63">
        <f>IF('[2]2021_Base RPA'!$F551="","",'[2]2021_Base RPA'!$F573)</f>
        <v>8530</v>
      </c>
      <c r="O59" s="81" t="e">
        <f>#REF!</f>
        <v>#REF!</v>
      </c>
      <c r="P59" s="115" t="e">
        <f>#REF!</f>
        <v>#REF!</v>
      </c>
      <c r="Q59" s="79" t="e">
        <f>#REF!</f>
        <v>#REF!</v>
      </c>
      <c r="R59" s="80" t="e">
        <f>#REF!</f>
        <v>#REF!</v>
      </c>
      <c r="S59" s="126" t="e">
        <f>#REF!</f>
        <v>#REF!</v>
      </c>
      <c r="T59" t="e">
        <f>#REF!</f>
        <v>#REF!</v>
      </c>
    </row>
    <row r="60" spans="1:21" x14ac:dyDescent="0.35">
      <c r="A60" s="41">
        <v>27</v>
      </c>
      <c r="B60" s="63">
        <f>IF('[1]2021_Base RPA'!$F464="","",'[1]2021_Base RPA'!$F465)</f>
        <v>8578.5</v>
      </c>
      <c r="C60" s="41">
        <v>25</v>
      </c>
      <c r="D60" s="63">
        <f>IF('[1]2021_Base RPA'!$F486="","",'[1]2021_Base RPA'!$F486)</f>
        <v>8381.5</v>
      </c>
      <c r="E60" s="41">
        <v>28</v>
      </c>
      <c r="F60" s="63">
        <f>IF('[1]2021_Base RPA'!$F510="","",'[1]2021_Base RPA'!$F510)</f>
        <v>8111.5</v>
      </c>
      <c r="G60" s="41">
        <v>26</v>
      </c>
      <c r="H60" s="63">
        <f>IF('[1]2021_Base RPA'!$F530="","",'[1]2021_Base RPA'!$F530)</f>
        <v>7939</v>
      </c>
      <c r="I60" s="49">
        <v>27</v>
      </c>
      <c r="J60" s="63">
        <f>IF('[2]2021_Base RPA'!$F552="","",'[2]2021_Base RPA'!$F552)</f>
        <v>8281</v>
      </c>
      <c r="K60" s="323">
        <v>29</v>
      </c>
      <c r="L60" s="63">
        <f>IF('[2]2021_Base RPA'!$F552="","",'[2]2021_Base RPA'!$F574)</f>
        <v>8476</v>
      </c>
      <c r="O60" t="e">
        <f>#REF!</f>
        <v>#REF!</v>
      </c>
      <c r="P60" s="79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1">
        <v>28</v>
      </c>
      <c r="B61" s="63">
        <f>IF('[1]2021_Base RPA'!$F465="","",'[1]2021_Base RPA'!$F466)</f>
        <v>8592</v>
      </c>
      <c r="C61" s="41">
        <v>28</v>
      </c>
      <c r="D61" s="63" t="s">
        <v>65</v>
      </c>
      <c r="E61" s="316">
        <v>29</v>
      </c>
      <c r="F61" s="273">
        <f>IF('[1]2021_Base RPA'!$F511="","",'[1]2021_Base RPA'!$F511)</f>
        <v>8230</v>
      </c>
      <c r="G61" s="41">
        <v>27</v>
      </c>
      <c r="H61" s="63">
        <f>IF('[1]2021_Base RPA'!$F531="","",'[1]2021_Base RPA'!$F531)</f>
        <v>7963.5</v>
      </c>
      <c r="I61" s="49">
        <v>28</v>
      </c>
      <c r="J61" s="63">
        <f>IF('[2]2021_Base RPA'!$F553="","",'[2]2021_Base RPA'!$F553)</f>
        <v>8278</v>
      </c>
      <c r="K61" s="71"/>
      <c r="L61" s="63"/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316">
        <v>31</v>
      </c>
      <c r="B62" s="273">
        <f>IF('[1]2021_Base RPA'!$F466="","",'[1]2021_Base RPA'!$F467)</f>
        <v>8635.5</v>
      </c>
      <c r="C62" s="179">
        <v>29</v>
      </c>
      <c r="D62" s="63">
        <f>IF('[1]2021_Base RPA'!$F488="","",'[1]2021_Base RPA'!$F488)</f>
        <v>8375</v>
      </c>
      <c r="E62" s="314"/>
      <c r="F62" s="213"/>
      <c r="G62" s="41">
        <v>30</v>
      </c>
      <c r="H62" s="63">
        <f>IF('[1]2021_Base RPA'!$F532="","",'[1]2021_Base RPA'!$F532)</f>
        <v>8110</v>
      </c>
      <c r="I62" s="314">
        <v>29</v>
      </c>
      <c r="J62" s="63">
        <f>IF('[2]2021_Base RPA'!$F554="","",'[2]2021_Base RPA'!$F554)</f>
        <v>8384</v>
      </c>
      <c r="K62" s="71"/>
      <c r="L62" s="63"/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314"/>
      <c r="B63" s="213"/>
      <c r="C63" s="41">
        <v>30</v>
      </c>
      <c r="D63" s="63">
        <f>IF('[1]2021_Base RPA'!$F489="","",'[1]2021_Base RPA'!$F489)</f>
        <v>8394.5</v>
      </c>
      <c r="E63" s="314"/>
      <c r="F63" s="213"/>
      <c r="G63" s="316">
        <v>31</v>
      </c>
      <c r="H63" s="273">
        <f>IF('[1]2021_Base RPA'!$F533="","",'[1]2021_Base RPA'!$F533)</f>
        <v>8038</v>
      </c>
      <c r="I63" s="316">
        <v>30</v>
      </c>
      <c r="J63" s="322">
        <f>IF('[2]2021_Base RPA'!$F555="","",'[2]2021_Base RPA'!$F555)</f>
        <v>8332</v>
      </c>
      <c r="K63" s="410"/>
      <c r="L63" s="411"/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x14ac:dyDescent="0.35">
      <c r="A64" s="41"/>
      <c r="B64" s="63"/>
      <c r="C64" s="316">
        <v>31</v>
      </c>
      <c r="D64" s="273">
        <f>IF('[1]2021_Base RPA'!$F490="","",'[1]2021_Base RPA'!$F490)</f>
        <v>8359.5</v>
      </c>
      <c r="E64" s="394"/>
      <c r="F64" s="395"/>
      <c r="G64" s="394"/>
      <c r="H64" s="395"/>
      <c r="I64" s="394"/>
      <c r="J64" s="395"/>
      <c r="K64" s="410"/>
      <c r="L64" s="411"/>
      <c r="O64" t="e">
        <f>#REF!</f>
        <v>#REF!</v>
      </c>
      <c r="P64" t="e">
        <f>#REF!</f>
        <v>#REF!</v>
      </c>
      <c r="Q64" t="e">
        <f>#REF!</f>
        <v>#REF!</v>
      </c>
      <c r="R64" t="e">
        <f>#REF!</f>
        <v>#REF!</v>
      </c>
      <c r="S64" t="e">
        <f>#REF!</f>
        <v>#REF!</v>
      </c>
      <c r="T64" t="e">
        <f>#REF!</f>
        <v>#REF!</v>
      </c>
    </row>
    <row r="65" spans="1:20" ht="15" thickBot="1" x14ac:dyDescent="0.4">
      <c r="A65" s="384">
        <f>B66/L29-1</f>
        <v>7.1403532954503746E-3</v>
      </c>
      <c r="B65" s="385"/>
      <c r="C65" s="384">
        <f>D66/B66-1</f>
        <v>-1.1067227106133171E-2</v>
      </c>
      <c r="D65" s="385"/>
      <c r="E65" s="384">
        <f>F66/D66-1</f>
        <v>-9.5515922041592427E-3</v>
      </c>
      <c r="F65" s="385"/>
      <c r="G65" s="384">
        <f>H66/F66-1</f>
        <v>-4.0215073852646444E-2</v>
      </c>
      <c r="H65" s="385"/>
      <c r="I65" s="384">
        <f>J66/H66-1</f>
        <v>2.9550769900180685E-2</v>
      </c>
      <c r="J65" s="385"/>
      <c r="K65" s="384">
        <f>L66/J66-1</f>
        <v>2.6933195735199478E-2</v>
      </c>
      <c r="L65" s="385"/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65" t="s">
        <v>10</v>
      </c>
      <c r="B66" s="66">
        <f>AVERAGE(B42:B62)</f>
        <v>8445.2380952380954</v>
      </c>
      <c r="C66" s="55" t="s">
        <v>10</v>
      </c>
      <c r="D66" s="66">
        <f>AVERAGE(D42:D64)</f>
        <v>8351.7727272727279</v>
      </c>
      <c r="E66" s="55" t="s">
        <v>10</v>
      </c>
      <c r="F66" s="66">
        <f>AVERAGE(F42:F61)</f>
        <v>8272</v>
      </c>
      <c r="G66" s="55" t="s">
        <v>10</v>
      </c>
      <c r="H66" s="66">
        <f>AVERAGE(H42:H63)</f>
        <v>7939.340909090909</v>
      </c>
      <c r="I66" s="56" t="s">
        <v>10</v>
      </c>
      <c r="J66" s="66">
        <f>AVERAGE(J42:J63)</f>
        <v>8173.954545454545</v>
      </c>
      <c r="K66" s="55" t="s">
        <v>10</v>
      </c>
      <c r="L66" s="66">
        <f>AVERAGE(L42:L60)</f>
        <v>8394.105263157895</v>
      </c>
      <c r="O66" t="e">
        <f>#REF!</f>
        <v>#REF!</v>
      </c>
      <c r="P66" t="e">
        <f>#REF!</f>
        <v>#REF!</v>
      </c>
      <c r="Q66" t="e">
        <f>#REF!</f>
        <v>#REF!</v>
      </c>
      <c r="R66" t="e">
        <f>#REF!</f>
        <v>#REF!</v>
      </c>
      <c r="S66" t="e">
        <f>#REF!</f>
        <v>#REF!</v>
      </c>
      <c r="T66" t="e">
        <f>#REF!</f>
        <v>#REF!</v>
      </c>
    </row>
    <row r="67" spans="1:20" ht="15" thickBot="1" x14ac:dyDescent="0.4">
      <c r="A67" s="386"/>
      <c r="B67" s="387"/>
      <c r="C67" s="407"/>
      <c r="D67" s="412"/>
      <c r="E67" s="388"/>
      <c r="F67" s="390"/>
      <c r="G67" s="388"/>
      <c r="H67" s="390"/>
      <c r="I67" s="391"/>
      <c r="J67" s="391"/>
      <c r="K67" s="403"/>
      <c r="L67" s="400"/>
    </row>
    <row r="68" spans="1:20" ht="15" thickBot="1" x14ac:dyDescent="0.4">
      <c r="A68" s="67" t="s">
        <v>11</v>
      </c>
      <c r="B68" s="67">
        <f>B66*A69</f>
        <v>40564.167619047606</v>
      </c>
      <c r="C68" s="67" t="s">
        <v>11</v>
      </c>
      <c r="D68" s="99">
        <f>D66*C69</f>
        <v>40948.269625098808</v>
      </c>
      <c r="E68" s="67" t="s">
        <v>11</v>
      </c>
      <c r="F68" s="67">
        <f>F66*E69</f>
        <v>40833.81807999999</v>
      </c>
      <c r="G68" s="67" t="s">
        <v>11</v>
      </c>
      <c r="H68" s="67">
        <f>H66*G69</f>
        <v>40207.680526363634</v>
      </c>
      <c r="I68" s="67" t="s">
        <v>11</v>
      </c>
      <c r="J68" s="67">
        <f>J66*I69</f>
        <v>40045.578028719006</v>
      </c>
      <c r="K68" s="67" t="s">
        <v>11</v>
      </c>
      <c r="L68" s="67">
        <f>L66*K69</f>
        <v>41102.935578947378</v>
      </c>
      <c r="M68" s="79"/>
    </row>
    <row r="69" spans="1:20" ht="15" thickBot="1" x14ac:dyDescent="0.4">
      <c r="A69" s="67">
        <f>AVERAGE('[2]2021_Base RPA'!$B$447:$B$466)</f>
        <v>4.8031999999999986</v>
      </c>
      <c r="B69" s="73">
        <f>B68/L30-1</f>
        <v>-2.7767912343162893E-3</v>
      </c>
      <c r="C69" s="67">
        <f>AVERAGE('[2]2021_Base RPA'!$B$468:$B$490)</f>
        <v>4.9029434782608687</v>
      </c>
      <c r="D69" s="73">
        <f>D68/B68-1</f>
        <v>9.4689976054345149E-3</v>
      </c>
      <c r="E69" s="67">
        <f>AVERAGE('[2]2021_Base RPA'!$B$491:$B$511)</f>
        <v>4.9363899999999985</v>
      </c>
      <c r="F69" s="73">
        <f>F68/D68-1</f>
        <v>-2.7950276323438494E-3</v>
      </c>
      <c r="G69" s="67">
        <f>AVERAGE('[2]2021_Base RPA'!B$512:B$533)</f>
        <v>5.0643599999999998</v>
      </c>
      <c r="H69" s="73">
        <f>H68/F68-1</f>
        <v>-1.5333798872533833E-2</v>
      </c>
      <c r="I69" s="67">
        <f>AVERAGE('[2]2021_Base RPA'!$B$534:$B$557)</f>
        <v>4.8991681818181823</v>
      </c>
      <c r="J69" s="73">
        <f>J68/H68-1</f>
        <v>-4.0316301642503438E-3</v>
      </c>
      <c r="K69" s="67">
        <f>AVERAGE('[2]2021_Base RPA'!$B$556:$B$576)</f>
        <v>4.896642857142858</v>
      </c>
      <c r="L69" s="73">
        <f>L68/J68-1</f>
        <v>2.6403852866603073E-2</v>
      </c>
      <c r="M69">
        <f>'[2]2021_Base RPA'!$Q$535</f>
        <v>0</v>
      </c>
      <c r="O69" s="125"/>
    </row>
    <row r="70" spans="1:20" x14ac:dyDescent="0.35">
      <c r="A70" s="318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20"/>
      <c r="N70" s="106"/>
      <c r="O70" s="80"/>
      <c r="P70" s="106"/>
    </row>
    <row r="71" spans="1:20" x14ac:dyDescent="0.35">
      <c r="A71" s="90"/>
      <c r="B71" s="75"/>
      <c r="C71" s="38"/>
      <c r="D71" s="113"/>
      <c r="E71" s="37"/>
      <c r="F71" s="37"/>
      <c r="G71" s="36"/>
      <c r="H71" s="37"/>
      <c r="I71" s="36"/>
      <c r="J71" s="39"/>
      <c r="K71" s="38"/>
      <c r="L71" s="100"/>
    </row>
    <row r="72" spans="1:20" ht="23.5" x14ac:dyDescent="0.35">
      <c r="A72" s="74"/>
      <c r="B72" s="75"/>
      <c r="C72" s="38"/>
      <c r="D72" s="36"/>
      <c r="E72" s="108" t="s">
        <v>66</v>
      </c>
      <c r="G72" s="78"/>
      <c r="J72" s="78"/>
      <c r="K72" s="78"/>
      <c r="L72" s="100"/>
    </row>
    <row r="73" spans="1:20" x14ac:dyDescent="0.35">
      <c r="A73" s="74"/>
      <c r="B73" s="75"/>
      <c r="C73" s="38"/>
      <c r="D73" s="36"/>
      <c r="E73" s="37"/>
      <c r="F73" s="81"/>
      <c r="G73" s="81"/>
      <c r="H73" s="94"/>
      <c r="I73" s="36"/>
      <c r="J73" s="97"/>
      <c r="K73" s="38"/>
      <c r="L73" s="38"/>
    </row>
    <row r="74" spans="1:20" x14ac:dyDescent="0.35">
      <c r="F74" s="81"/>
      <c r="G74" s="81"/>
      <c r="H74" s="95"/>
      <c r="I74" s="96"/>
      <c r="J74" s="97"/>
      <c r="K74" s="96"/>
    </row>
  </sheetData>
  <mergeCells count="56">
    <mergeCell ref="K67:L67"/>
    <mergeCell ref="A65:B65"/>
    <mergeCell ref="C65:D65"/>
    <mergeCell ref="E65:F65"/>
    <mergeCell ref="G65:H65"/>
    <mergeCell ref="I65:J65"/>
    <mergeCell ref="K65:L65"/>
    <mergeCell ref="A67:B67"/>
    <mergeCell ref="C67:D67"/>
    <mergeCell ref="E67:F67"/>
    <mergeCell ref="G67:H67"/>
    <mergeCell ref="I67:J67"/>
    <mergeCell ref="K63:L63"/>
    <mergeCell ref="E64:F64"/>
    <mergeCell ref="G64:H64"/>
    <mergeCell ref="I64:J64"/>
    <mergeCell ref="K64:L64"/>
    <mergeCell ref="K40:L40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28:L28"/>
    <mergeCell ref="A32:L32"/>
    <mergeCell ref="A33:B33"/>
    <mergeCell ref="C33:D33"/>
    <mergeCell ref="E33:F33"/>
    <mergeCell ref="G33:H33"/>
    <mergeCell ref="I33:J33"/>
    <mergeCell ref="K33:L33"/>
    <mergeCell ref="A28:B28"/>
    <mergeCell ref="C28:D28"/>
    <mergeCell ref="E28:F28"/>
    <mergeCell ref="G28:H28"/>
    <mergeCell ref="I28:J28"/>
    <mergeCell ref="C25:D25"/>
    <mergeCell ref="C26:D26"/>
    <mergeCell ref="A27:B27"/>
    <mergeCell ref="C27:D27"/>
    <mergeCell ref="A1:L1"/>
    <mergeCell ref="A2:B2"/>
    <mergeCell ref="C2:D2"/>
    <mergeCell ref="E2:F2"/>
    <mergeCell ref="G2:H2"/>
    <mergeCell ref="I2:J2"/>
    <mergeCell ref="K2:L2"/>
    <mergeCell ref="G27:H27"/>
    <mergeCell ref="I27:J27"/>
    <mergeCell ref="K27:L2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30D8C-618B-4759-B568-C2DA47463A5F}">
  <dimension ref="A1:X74"/>
  <sheetViews>
    <sheetView topLeftCell="A52" workbookViewId="0">
      <selection activeCell="X74" sqref="X74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9.1796875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  <col min="21" max="21" width="9.7265625" bestFit="1" customWidth="1"/>
  </cols>
  <sheetData>
    <row r="1" spans="1:20" ht="15" thickBot="1" x14ac:dyDescent="0.4">
      <c r="A1" s="381" t="s">
        <v>280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396" t="s">
        <v>330</v>
      </c>
      <c r="B2" s="397"/>
      <c r="C2" s="405" t="s">
        <v>331</v>
      </c>
      <c r="D2" s="406"/>
      <c r="E2" s="405" t="s">
        <v>332</v>
      </c>
      <c r="F2" s="406"/>
      <c r="G2" s="405" t="s">
        <v>333</v>
      </c>
      <c r="H2" s="406"/>
      <c r="I2" s="401" t="s">
        <v>334</v>
      </c>
      <c r="J2" s="402"/>
      <c r="K2" s="405" t="s">
        <v>335</v>
      </c>
      <c r="L2" s="406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4">
        <v>2</v>
      </c>
      <c r="B4" s="63">
        <f>IF('[2]2021_Base RPA'!$F575="","",'[2]2021_Base RPA'!$F575)</f>
        <v>8430</v>
      </c>
      <c r="C4" s="41">
        <v>1</v>
      </c>
      <c r="D4" s="63">
        <f>IF('[2]2021_Base RPA'!$F597="","",'[2]2021_Base RPA'!$F597)</f>
        <v>8437</v>
      </c>
      <c r="E4" s="41">
        <v>1</v>
      </c>
      <c r="F4" s="63">
        <f>IF('[2]2021_Base RPA'!$F618="","",'[2]2021_Base RPA'!$F618)</f>
        <v>8394</v>
      </c>
      <c r="G4" s="41">
        <v>1</v>
      </c>
      <c r="H4" s="63" t="str">
        <f>IF('[2]2021_Base RPA'!$F639="","",'[2]2021_Base RPA'!$F639)</f>
        <v>Feriado</v>
      </c>
      <c r="I4" s="49">
        <v>1</v>
      </c>
      <c r="J4" s="63">
        <f>IF('[2]2021_Base RPA'!$F661="","",'[2]2021_Base RPA'!$F661)</f>
        <v>9790</v>
      </c>
      <c r="K4" s="41">
        <v>3</v>
      </c>
      <c r="L4" s="63">
        <f>IF('[2]2021_Base RPA'!$F684="","",'[2]2021_Base RPA'!$F684)</f>
        <v>9885.5</v>
      </c>
      <c r="O4" s="81"/>
      <c r="P4" s="77"/>
      <c r="Q4" s="79"/>
      <c r="R4" s="80"/>
      <c r="S4" s="79"/>
      <c r="T4" s="79"/>
    </row>
    <row r="5" spans="1:20" x14ac:dyDescent="0.35">
      <c r="A5" s="41">
        <v>3</v>
      </c>
      <c r="B5" s="63">
        <f>IF('[2]2021_Base RPA'!$F576="","",'[2]2021_Base RPA'!$F576)</f>
        <v>8381</v>
      </c>
      <c r="C5" s="41">
        <v>2</v>
      </c>
      <c r="D5" s="63">
        <f>IF('[2]2021_Base RPA'!$F598="","",'[2]2021_Base RPA'!$F598)</f>
        <v>8400</v>
      </c>
      <c r="E5" s="41">
        <v>4</v>
      </c>
      <c r="F5" s="63">
        <f>IF('[2]2021_Base RPA'!$F619="","",'[2]2021_Base RPA'!$F619)</f>
        <v>8437</v>
      </c>
      <c r="G5" s="41">
        <v>2</v>
      </c>
      <c r="H5" s="63">
        <f>IF('[2]2021_Base RPA'!$F640="","",'[2]2021_Base RPA'!$F640)</f>
        <v>8920</v>
      </c>
      <c r="I5" s="49">
        <v>2</v>
      </c>
      <c r="J5" s="63">
        <f>IF('[2]2021_Base RPA'!$F662="","",'[2]2021_Base RPA'!$F662)</f>
        <v>9655</v>
      </c>
      <c r="K5" s="41">
        <v>4</v>
      </c>
      <c r="L5" s="63">
        <f>IF('[2]2021_Base RPA'!$F685="","",'[2]2021_Base RPA'!$F685)</f>
        <v>9858.5</v>
      </c>
      <c r="O5" s="81">
        <v>41306</v>
      </c>
      <c r="P5" s="77">
        <v>8070.4750000000004</v>
      </c>
      <c r="Q5" s="79">
        <v>2.6374578306040952E-3</v>
      </c>
      <c r="R5" s="80">
        <v>15912.555557500002</v>
      </c>
      <c r="S5" s="79">
        <v>-2.7642380795532939E-2</v>
      </c>
      <c r="T5" s="79"/>
    </row>
    <row r="6" spans="1:20" x14ac:dyDescent="0.35">
      <c r="A6" s="41">
        <v>4</v>
      </c>
      <c r="B6" s="63">
        <f>IF('[2]2021_Base RPA'!$F577="","",'[2]2021_Base RPA'!$F577)</f>
        <v>8375</v>
      </c>
      <c r="C6" s="41">
        <v>5</v>
      </c>
      <c r="D6" s="63">
        <f>IF('[2]2021_Base RPA'!$F599="","",'[2]2021_Base RPA'!$F599)</f>
        <v>8329</v>
      </c>
      <c r="E6" s="41">
        <v>5</v>
      </c>
      <c r="F6" s="63">
        <f>IF('[2]2021_Base RPA'!$F620="","",'[2]2021_Base RPA'!$F620)</f>
        <v>8429.5</v>
      </c>
      <c r="G6" s="41">
        <v>3</v>
      </c>
      <c r="H6" s="63">
        <f>IF('[2]2021_Base RPA'!$F641="","",'[2]2021_Base RPA'!$F641)</f>
        <v>8930</v>
      </c>
      <c r="I6" s="49">
        <v>3</v>
      </c>
      <c r="J6" s="63">
        <f>IF('[2]2021_Base RPA'!$F663="","",'[2]2021_Base RPA'!$F663)</f>
        <v>9736</v>
      </c>
      <c r="K6" s="41">
        <v>5</v>
      </c>
      <c r="L6" s="63">
        <f>IF('[2]2021_Base RPA'!$F686="","",'[2]2021_Base RPA'!$F686)</f>
        <v>9769</v>
      </c>
      <c r="O6" s="81">
        <v>41334</v>
      </c>
      <c r="P6" s="77">
        <v>7662.4</v>
      </c>
      <c r="Q6" s="79">
        <v>-5.0563938305985823E-2</v>
      </c>
      <c r="R6" s="80">
        <v>15212.928959999999</v>
      </c>
      <c r="S6" s="79">
        <v>-4.396695395481276E-2</v>
      </c>
      <c r="T6" s="79"/>
    </row>
    <row r="7" spans="1:20" x14ac:dyDescent="0.35">
      <c r="A7" s="41">
        <v>5</v>
      </c>
      <c r="B7" s="63">
        <f>IF('[2]2021_Base RPA'!$F578="","",'[2]2021_Base RPA'!$F578)</f>
        <v>8346.5</v>
      </c>
      <c r="C7" s="41">
        <v>6</v>
      </c>
      <c r="D7" s="63">
        <f>IF('[2]2021_Base RPA'!$F600="","",'[2]2021_Base RPA'!$F600)</f>
        <v>8280</v>
      </c>
      <c r="E7" s="41">
        <v>6</v>
      </c>
      <c r="F7" s="63">
        <f>IF('[2]2021_Base RPA'!$F621="","",'[2]2021_Base RPA'!$F621)</f>
        <v>8441</v>
      </c>
      <c r="G7" s="41">
        <v>4</v>
      </c>
      <c r="H7" s="63">
        <f>IF('[2]2021_Base RPA'!$F642="","",'[2]2021_Base RPA'!$F642)</f>
        <v>9256</v>
      </c>
      <c r="I7" s="49">
        <v>6</v>
      </c>
      <c r="J7" s="63" t="str">
        <f>IF('[2]2021_Base RPA'!$F664="","",'[2]2021_Base RPA'!$F664)</f>
        <v>FERIADO</v>
      </c>
      <c r="K7" s="41">
        <v>6</v>
      </c>
      <c r="L7" s="63">
        <f>IF('[2]2021_Base RPA'!$F687="","",'[2]2021_Base RPA'!$F687)</f>
        <v>9930</v>
      </c>
      <c r="O7" s="81">
        <v>41365</v>
      </c>
      <c r="P7" s="77">
        <v>7203.3571428571431</v>
      </c>
      <c r="Q7" s="79">
        <v>-5.9908495659696248E-2</v>
      </c>
      <c r="R7" s="80">
        <v>14413.917642857143</v>
      </c>
      <c r="S7" s="79">
        <v>-5.2521859481742816E-2</v>
      </c>
      <c r="T7" s="79"/>
    </row>
    <row r="8" spans="1:20" x14ac:dyDescent="0.35">
      <c r="A8" s="41">
        <v>8</v>
      </c>
      <c r="B8" s="63">
        <f>IF('[2]2021_Base RPA'!$F579="","",'[2]2021_Base RPA'!$F579)</f>
        <v>8295</v>
      </c>
      <c r="C8" s="41">
        <v>8</v>
      </c>
      <c r="D8" s="63">
        <f>IF('[2]2021_Base RPA'!$F602="","",'[2]2021_Base RPA'!$F602)</f>
        <v>8202</v>
      </c>
      <c r="E8" s="41">
        <v>7</v>
      </c>
      <c r="F8" s="63">
        <f>IF('[2]2021_Base RPA'!$F622="","",'[2]2021_Base RPA'!$F622)</f>
        <v>8559</v>
      </c>
      <c r="G8" s="41">
        <v>5</v>
      </c>
      <c r="H8" s="63">
        <f>IF('[2]2021_Base RPA'!$F643="","",'[2]2021_Base RPA'!$F643)</f>
        <v>9197</v>
      </c>
      <c r="I8" s="49">
        <v>7</v>
      </c>
      <c r="J8" s="63">
        <f>IF('[2]2021_Base RPA'!$F665="","",'[2]2021_Base RPA'!$F665)</f>
        <v>9846</v>
      </c>
      <c r="K8" s="41">
        <v>7</v>
      </c>
      <c r="L8" s="63">
        <f>IF('[2]2021_Base RPA'!$F688="","",'[2]2021_Base RPA'!$F688)</f>
        <v>9840</v>
      </c>
      <c r="O8" s="81">
        <v>41395</v>
      </c>
      <c r="P8" s="77">
        <v>7229.1428571428569</v>
      </c>
      <c r="Q8" s="79">
        <v>3.5796801094727382E-3</v>
      </c>
      <c r="R8" s="80">
        <v>14704.07657142857</v>
      </c>
      <c r="S8" s="79">
        <v>2.0130469436615339E-2</v>
      </c>
      <c r="T8" s="79"/>
    </row>
    <row r="9" spans="1:20" x14ac:dyDescent="0.35">
      <c r="A9" s="41">
        <v>9</v>
      </c>
      <c r="B9" s="63">
        <f>IF('[2]2021_Base RPA'!$F580="","",'[2]2021_Base RPA'!$F580)</f>
        <v>8301.5</v>
      </c>
      <c r="C9" s="41">
        <v>9</v>
      </c>
      <c r="D9" s="63">
        <f>IF('[2]2021_Base RPA'!$F603="","",'[2]2021_Base RPA'!$F603)</f>
        <v>8091.5</v>
      </c>
      <c r="E9" s="41">
        <v>8</v>
      </c>
      <c r="F9" s="63">
        <f>IF('[2]2021_Base RPA'!$F623="","",'[2]2021_Base RPA'!$F623)</f>
        <v>8552.5</v>
      </c>
      <c r="G9" s="41">
        <v>8</v>
      </c>
      <c r="H9" s="63">
        <f>IF('[2]2021_Base RPA'!$F644="","",'[2]2021_Base RPA'!$F644)</f>
        <v>9301</v>
      </c>
      <c r="I9" s="49">
        <v>8</v>
      </c>
      <c r="J9" s="63">
        <f>IF('[2]2021_Base RPA'!$F666="","",'[2]2021_Base RPA'!$F666)</f>
        <v>9739.5</v>
      </c>
      <c r="K9" s="41">
        <v>10</v>
      </c>
      <c r="L9" s="63">
        <f>IF('[2]2021_Base RPA'!$F689="","",'[2]2021_Base RPA'!$F689)</f>
        <v>9694.5</v>
      </c>
      <c r="O9" s="81">
        <v>41426</v>
      </c>
      <c r="P9" s="77">
        <v>7004.05</v>
      </c>
      <c r="Q9" s="79">
        <v>-3.1136866650857575E-2</v>
      </c>
      <c r="R9" s="80">
        <v>15198.788500000001</v>
      </c>
      <c r="S9" s="79">
        <v>3.3644542461966243E-2</v>
      </c>
      <c r="T9" s="79"/>
    </row>
    <row r="10" spans="1:20" x14ac:dyDescent="0.35">
      <c r="A10" s="41">
        <v>10</v>
      </c>
      <c r="B10" s="63">
        <f>IF('[2]2021_Base RPA'!$F581="","",'[2]2021_Base RPA'!$F581)</f>
        <v>8285</v>
      </c>
      <c r="C10" s="41">
        <v>13</v>
      </c>
      <c r="D10" s="63">
        <f>IF('[2]2021_Base RPA'!$F605="","",'[2]2021_Base RPA'!$F605)</f>
        <v>8185</v>
      </c>
      <c r="E10" s="41">
        <v>11</v>
      </c>
      <c r="F10" s="63">
        <f>IF('[2]2021_Base RPA'!$F624="","",'[2]2021_Base RPA'!$F624)</f>
        <v>8522</v>
      </c>
      <c r="G10" s="41">
        <v>9</v>
      </c>
      <c r="H10" s="63">
        <f>IF('[2]2021_Base RPA'!$F645="","",'[2]2021_Base RPA'!$F645)</f>
        <v>9295.5</v>
      </c>
      <c r="I10" s="49">
        <v>9</v>
      </c>
      <c r="J10" s="63">
        <f>IF('[2]2021_Base RPA'!$F667="","",'[2]2021_Base RPA'!$F667)</f>
        <v>9726</v>
      </c>
      <c r="K10" s="41">
        <v>11</v>
      </c>
      <c r="L10" s="63">
        <f>IF('[2]2021_Base RPA'!$F690="","",'[2]2021_Base RPA'!$F690)</f>
        <v>9567</v>
      </c>
      <c r="O10" s="81">
        <v>41456</v>
      </c>
      <c r="P10" s="77">
        <v>6896.977272727273</v>
      </c>
      <c r="Q10" s="79">
        <v>-1.528725912475315E-2</v>
      </c>
      <c r="R10" s="80">
        <v>15536.682762727272</v>
      </c>
      <c r="S10" s="79">
        <v>2.223165765661328E-2</v>
      </c>
      <c r="T10" s="79"/>
    </row>
    <row r="11" spans="1:20" x14ac:dyDescent="0.35">
      <c r="A11" s="41">
        <v>11</v>
      </c>
      <c r="B11" s="63">
        <f>IF('[2]2021_Base RPA'!$F582="","",'[2]2021_Base RPA'!$F582)</f>
        <v>8332</v>
      </c>
      <c r="C11" s="41">
        <v>14</v>
      </c>
      <c r="D11" s="63">
        <f>IF('[2]2021_Base RPA'!$F606="","",'[2]2021_Base RPA'!$F606)</f>
        <v>8133.5</v>
      </c>
      <c r="E11" s="41">
        <v>12</v>
      </c>
      <c r="F11" s="63">
        <f>IF('[2]2021_Base RPA'!$F625="","",'[2]2021_Base RPA'!$F625)</f>
        <v>8566</v>
      </c>
      <c r="G11" s="41">
        <v>10</v>
      </c>
      <c r="H11" s="63">
        <f>IF('[2]2021_Base RPA'!$F646="","",'[2]2021_Base RPA'!$F646)</f>
        <v>9360</v>
      </c>
      <c r="I11" s="49">
        <v>10</v>
      </c>
      <c r="J11" s="63">
        <f>IF('[2]2021_Base RPA'!$F668="","",'[2]2021_Base RPA'!$F668)</f>
        <v>9941.5</v>
      </c>
      <c r="K11" s="41">
        <v>12</v>
      </c>
      <c r="L11" s="63">
        <f>IF('[2]2021_Base RPA'!$F691="","",'[2]2021_Base RPA'!$F691)</f>
        <v>9697.5</v>
      </c>
      <c r="O11" s="81">
        <v>41487</v>
      </c>
      <c r="P11" s="77">
        <v>7182.2619047619046</v>
      </c>
      <c r="Q11" s="79">
        <v>4.1363719315522962E-2</v>
      </c>
      <c r="R11" s="80">
        <v>16802.901726190477</v>
      </c>
      <c r="S11" s="79">
        <v>8.1498668847180378E-2</v>
      </c>
      <c r="T11" s="79"/>
    </row>
    <row r="12" spans="1:20" x14ac:dyDescent="0.35">
      <c r="A12" s="41">
        <v>12</v>
      </c>
      <c r="B12" s="63">
        <f>IF('[2]2021_Base RPA'!$F583="","",'[2]2021_Base RPA'!$F583)</f>
        <v>8289</v>
      </c>
      <c r="C12" s="41">
        <v>15</v>
      </c>
      <c r="D12" s="63">
        <f>IF('[2]2021_Base RPA'!$F607="","",'[2]2021_Base RPA'!$F607)</f>
        <v>8153</v>
      </c>
      <c r="E12" s="41">
        <v>13</v>
      </c>
      <c r="F12" s="63">
        <f>IF('[2]2021_Base RPA'!$F626="","",'[2]2021_Base RPA'!$F626)</f>
        <v>8727</v>
      </c>
      <c r="G12" s="41">
        <v>11</v>
      </c>
      <c r="H12" s="63">
        <f>IF('[2]2021_Base RPA'!$F647="","",'[2]2021_Base RPA'!$F647)</f>
        <v>9239.5</v>
      </c>
      <c r="I12" s="49">
        <v>13</v>
      </c>
      <c r="J12" s="63">
        <f>IF('[2]2021_Base RPA'!$F669="","",'[2]2021_Base RPA'!$F669)</f>
        <v>10008.5</v>
      </c>
      <c r="K12" s="41">
        <v>13</v>
      </c>
      <c r="L12" s="63">
        <f>IF('[2]2021_Base RPA'!$F692="","",'[2]2021_Base RPA'!$F692)</f>
        <v>9733</v>
      </c>
      <c r="O12" s="81">
        <v>41518</v>
      </c>
      <c r="P12" s="77">
        <v>7161.4285714285716</v>
      </c>
      <c r="Q12" s="79">
        <v>-2.9006646665892255E-3</v>
      </c>
      <c r="R12" s="80">
        <v>16264.320428571429</v>
      </c>
      <c r="S12" s="79">
        <v>-3.2052874342505255E-2</v>
      </c>
      <c r="T12" s="79"/>
    </row>
    <row r="13" spans="1:20" x14ac:dyDescent="0.35">
      <c r="A13" s="41">
        <v>15</v>
      </c>
      <c r="B13" s="63">
        <f>IF('[2]2021_Base RPA'!$F584="","",'[2]2021_Base RPA'!$F584)</f>
        <v>8238.5</v>
      </c>
      <c r="C13" s="41">
        <v>16</v>
      </c>
      <c r="D13" s="63">
        <f>IF('[2]2021_Base RPA'!$F608="","",'[2]2021_Base RPA'!$F608)</f>
        <v>8322</v>
      </c>
      <c r="E13" s="41">
        <v>14</v>
      </c>
      <c r="F13" s="63">
        <f>IF('[2]2021_Base RPA'!$F627="","",'[2]2021_Base RPA'!$F627)</f>
        <v>8791.5</v>
      </c>
      <c r="G13" s="41">
        <v>12</v>
      </c>
      <c r="H13" s="63">
        <f>IF('[2]2021_Base RPA'!$F648="","",'[2]2021_Base RPA'!$F648)</f>
        <v>9400</v>
      </c>
      <c r="I13" s="49">
        <v>14</v>
      </c>
      <c r="J13" s="63">
        <f>IF('[2]2021_Base RPA'!$F670="","",'[2]2021_Base RPA'!$F670)</f>
        <v>10076</v>
      </c>
      <c r="K13" s="41">
        <v>14</v>
      </c>
      <c r="L13" s="63">
        <f>IF('[2]2021_Base RPA'!$F693="","",'[2]2021_Base RPA'!$F693)</f>
        <v>9650</v>
      </c>
      <c r="O13" s="81">
        <v>41548</v>
      </c>
      <c r="P13" s="77">
        <v>7188.782608695652</v>
      </c>
      <c r="Q13" s="79">
        <v>3.8196341685530211E-3</v>
      </c>
      <c r="R13" s="80">
        <v>15720.429808695651</v>
      </c>
      <c r="S13" s="79">
        <v>-3.3440722117127564E-2</v>
      </c>
      <c r="T13" s="79"/>
    </row>
    <row r="14" spans="1:20" x14ac:dyDescent="0.35">
      <c r="A14" s="179">
        <v>16</v>
      </c>
      <c r="B14" s="63">
        <f>IF('[2]2021_Base RPA'!$F585="","",'[2]2021_Base RPA'!$F585)</f>
        <v>8280</v>
      </c>
      <c r="C14" s="41">
        <v>19</v>
      </c>
      <c r="D14" s="63">
        <f>IF('[2]2021_Base RPA'!$F609="","",'[2]2021_Base RPA'!$F609)</f>
        <v>8364.5</v>
      </c>
      <c r="E14" s="41">
        <v>15</v>
      </c>
      <c r="F14" s="63">
        <f>IF('[2]2021_Base RPA'!$F628="","",'[2]2021_Base RPA'!$F628)</f>
        <v>8906.5</v>
      </c>
      <c r="G14" s="41">
        <v>15</v>
      </c>
      <c r="H14" s="63">
        <f>IF('[2]2021_Base RPA'!$F649="","",'[2]2021_Base RPA'!$F649)</f>
        <v>9385</v>
      </c>
      <c r="I14" s="49">
        <v>15</v>
      </c>
      <c r="J14" s="63">
        <f>IF('[2]2021_Base RPA'!$F671="","",'[2]2021_Base RPA'!$F671)</f>
        <v>10221</v>
      </c>
      <c r="K14" s="41">
        <v>17</v>
      </c>
      <c r="L14" s="63">
        <f>IF('[2]2021_Base RPA'!$F694="","",'[2]2021_Base RPA'!$F694)</f>
        <v>9477</v>
      </c>
      <c r="O14" s="81">
        <v>41579</v>
      </c>
      <c r="P14" s="77">
        <v>7066.4047619047615</v>
      </c>
      <c r="Q14" s="79">
        <v>-1.7023445199589204E-2</v>
      </c>
      <c r="R14" s="80">
        <v>16235.77158095238</v>
      </c>
      <c r="S14" s="79">
        <v>3.2781659186676304E-2</v>
      </c>
      <c r="T14" s="79"/>
    </row>
    <row r="15" spans="1:20" x14ac:dyDescent="0.35">
      <c r="A15" s="41">
        <v>17</v>
      </c>
      <c r="B15" s="63">
        <f>IF('[2]2021_Base RPA'!$F586="","",'[2]2021_Base RPA'!$F586)</f>
        <v>8229.5</v>
      </c>
      <c r="C15" s="41">
        <v>20</v>
      </c>
      <c r="D15" s="63">
        <f>IF('[2]2021_Base RPA'!$F610="","",'[2]2021_Base RPA'!$F610)</f>
        <v>8366.5</v>
      </c>
      <c r="E15" s="41">
        <v>18</v>
      </c>
      <c r="F15" s="63">
        <f>IF('[2]2021_Base RPA'!$F629="","",'[2]2021_Base RPA'!$F629)</f>
        <v>8973</v>
      </c>
      <c r="G15" s="41">
        <v>16</v>
      </c>
      <c r="H15" s="63">
        <f>IF('[2]2021_Base RPA'!$F650="","",'[2]2021_Base RPA'!$F650)</f>
        <v>9375</v>
      </c>
      <c r="I15" s="49">
        <v>16</v>
      </c>
      <c r="J15" s="63">
        <f>IF('[2]2021_Base RPA'!$F672="","",'[2]2021_Base RPA'!$F672)</f>
        <v>10308</v>
      </c>
      <c r="K15" s="41">
        <v>18</v>
      </c>
      <c r="L15" s="63">
        <f>IF('[2]2021_Base RPA'!$F695="","",'[2]2021_Base RPA'!$F695)</f>
        <v>9426</v>
      </c>
      <c r="O15" s="81">
        <v>41609</v>
      </c>
      <c r="P15" s="77">
        <v>7202.95</v>
      </c>
      <c r="Q15" s="79">
        <v>1.9323155507785073E-2</v>
      </c>
      <c r="R15" s="80">
        <v>16911.086009999999</v>
      </c>
      <c r="S15" s="79">
        <v>4.1594230719523617E-2</v>
      </c>
      <c r="T15" s="79"/>
    </row>
    <row r="16" spans="1:20" x14ac:dyDescent="0.35">
      <c r="A16" s="41">
        <v>18</v>
      </c>
      <c r="B16" s="63">
        <f>IF('[2]2021_Base RPA'!$F587="","",'[2]2021_Base RPA'!$F587)</f>
        <v>8188</v>
      </c>
      <c r="C16" s="41">
        <v>21</v>
      </c>
      <c r="D16" s="63">
        <f>IF('[2]2021_Base RPA'!$F611="","",'[2]2021_Base RPA'!$F611)</f>
        <v>8472</v>
      </c>
      <c r="E16" s="41">
        <v>19</v>
      </c>
      <c r="F16" s="63">
        <f>IF('[2]2021_Base RPA'!$F630="","",'[2]2021_Base RPA'!$F630)</f>
        <v>8875</v>
      </c>
      <c r="G16" s="41">
        <v>17</v>
      </c>
      <c r="H16" s="63">
        <f>IF('[2]2021_Base RPA'!$F651="","",'[2]2021_Base RPA'!$F651)</f>
        <v>9432</v>
      </c>
      <c r="I16" s="49">
        <v>17</v>
      </c>
      <c r="J16" s="63">
        <f>IF('[2]2021_Base RPA'!$F673="","",'[2]2021_Base RPA'!$F673)</f>
        <v>10398</v>
      </c>
      <c r="K16" s="41">
        <v>19</v>
      </c>
      <c r="L16" s="63">
        <f>IF('[2]2021_Base RPA'!$F696="","",'[2]2021_Base RPA'!$F696)</f>
        <v>9652</v>
      </c>
      <c r="O16" s="81">
        <v>41640</v>
      </c>
      <c r="P16" s="77">
        <v>7294.886363636364</v>
      </c>
      <c r="Q16" s="79">
        <v>1.2763709818388813E-2</v>
      </c>
      <c r="R16" s="80">
        <v>17368.394943181818</v>
      </c>
      <c r="S16" s="79">
        <v>2.7041961285715121E-2</v>
      </c>
      <c r="T16" s="79">
        <v>2.7041961285715121E-2</v>
      </c>
    </row>
    <row r="17" spans="1:21" x14ac:dyDescent="0.35">
      <c r="A17" s="41">
        <v>19</v>
      </c>
      <c r="B17" s="63">
        <f>IF('[2]2021_Base RPA'!$F588="","",'[2]2021_Base RPA'!$F588)</f>
        <v>8270</v>
      </c>
      <c r="C17" s="41">
        <v>22</v>
      </c>
      <c r="D17" s="63">
        <f>IF('[2]2021_Base RPA'!$F612="","",'[2]2021_Base RPA'!$F612)</f>
        <v>8482</v>
      </c>
      <c r="E17" s="41">
        <v>20</v>
      </c>
      <c r="F17" s="63">
        <f>IF('[2]2021_Base RPA'!$F631="","",'[2]2021_Base RPA'!$F631)</f>
        <v>8790</v>
      </c>
      <c r="G17" s="179">
        <v>18</v>
      </c>
      <c r="H17" s="63">
        <f>IF('[2]2021_Base RPA'!$F652="","",'[2]2021_Base RPA'!$F652)</f>
        <v>9615</v>
      </c>
      <c r="I17" s="49">
        <v>20</v>
      </c>
      <c r="J17" s="63">
        <f>IF('[2]2021_Base RPA'!$F674="","",'[2]2021_Base RPA'!$F674)</f>
        <v>10857</v>
      </c>
      <c r="K17" s="41">
        <v>20</v>
      </c>
      <c r="L17" s="63">
        <f>IF('[2]2021_Base RPA'!$F697="","",'[2]2021_Base RPA'!$F697)</f>
        <v>9648</v>
      </c>
      <c r="O17" s="81">
        <v>41671</v>
      </c>
      <c r="P17" s="77">
        <v>7152.15</v>
      </c>
      <c r="Q17" s="79">
        <v>-1.9566632915336224E-2</v>
      </c>
      <c r="R17" s="80">
        <v>17062.884254999997</v>
      </c>
      <c r="S17" s="79">
        <v>-1.7590035762156231E-2</v>
      </c>
      <c r="T17" s="79">
        <v>8.976256457464471E-3</v>
      </c>
    </row>
    <row r="18" spans="1:21" x14ac:dyDescent="0.35">
      <c r="A18" s="41">
        <v>22</v>
      </c>
      <c r="B18" s="63">
        <f>IF('[2]2021_Base RPA'!$F589="","",'[2]2021_Base RPA'!$F589)</f>
        <v>8254.5</v>
      </c>
      <c r="C18" s="41">
        <v>26</v>
      </c>
      <c r="D18" s="63">
        <f>IF('[2]2021_Base RPA'!$F614="","",'[2]2021_Base RPA'!$F614)</f>
        <v>8373</v>
      </c>
      <c r="E18" s="41">
        <v>21</v>
      </c>
      <c r="F18" s="63">
        <f>IF('[2]2021_Base RPA'!$F632="","",'[2]2021_Base RPA'!$F632)</f>
        <v>8790</v>
      </c>
      <c r="G18" s="41">
        <v>19</v>
      </c>
      <c r="H18" s="63">
        <f>IF('[2]2021_Base RPA'!$F653="","",'[2]2021_Base RPA'!$F653)</f>
        <v>9748</v>
      </c>
      <c r="I18" s="49">
        <v>21</v>
      </c>
      <c r="J18" s="63">
        <f>IF('[2]2021_Base RPA'!$F675="","",'[2]2021_Base RPA'!$F675)</f>
        <v>10775</v>
      </c>
      <c r="K18" s="41">
        <v>21</v>
      </c>
      <c r="L18" s="63">
        <f>IF('[2]2021_Base RPA'!$F698="","",'[2]2021_Base RPA'!$F698)</f>
        <v>9563</v>
      </c>
      <c r="O18" s="81">
        <v>41699</v>
      </c>
      <c r="P18" s="77">
        <v>6667.8095238095239</v>
      </c>
      <c r="Q18" s="79">
        <v>-6.7719563514534231E-2</v>
      </c>
      <c r="R18" s="80">
        <v>15507.991390476191</v>
      </c>
      <c r="S18" s="79">
        <v>-9.1127199908665579E-2</v>
      </c>
      <c r="T18" s="79">
        <v>-8.2968924567832003E-2</v>
      </c>
    </row>
    <row r="19" spans="1:21" x14ac:dyDescent="0.35">
      <c r="A19" s="41">
        <v>23</v>
      </c>
      <c r="B19" s="63">
        <f>IF('[2]2021_Base RPA'!$F590="","",'[2]2021_Base RPA'!$F590)</f>
        <v>8283.5</v>
      </c>
      <c r="C19" s="41">
        <v>27</v>
      </c>
      <c r="D19" s="63">
        <f>IF('[2]2021_Base RPA'!$F615="","",'[2]2021_Base RPA'!$F615)</f>
        <v>8396.5</v>
      </c>
      <c r="E19" s="41">
        <v>22</v>
      </c>
      <c r="F19" s="63">
        <f>IF('[2]2021_Base RPA'!$F633="","",'[2]2021_Base RPA'!$F633)</f>
        <v>8873.5</v>
      </c>
      <c r="G19" s="41">
        <v>22</v>
      </c>
      <c r="H19" s="63">
        <f>IF('[2]2021_Base RPA'!$F654="","",'[2]2021_Base RPA'!$F654)</f>
        <v>9814</v>
      </c>
      <c r="I19" s="49">
        <v>22</v>
      </c>
      <c r="J19" s="63">
        <f>IF('[2]2021_Base RPA'!$F676="","",'[2]2021_Base RPA'!$F676)</f>
        <v>10447</v>
      </c>
      <c r="K19" s="41">
        <v>24</v>
      </c>
      <c r="L19" s="63">
        <f>IF('[2]2021_Base RPA'!$F699="","",'[2]2021_Base RPA'!$F699)</f>
        <v>9530</v>
      </c>
      <c r="O19" s="81">
        <v>41730</v>
      </c>
      <c r="P19" s="77">
        <v>6670.8249999999998</v>
      </c>
      <c r="Q19" s="79">
        <v>4.5224390104547929E-4</v>
      </c>
      <c r="R19" s="80">
        <v>14896.619307499999</v>
      </c>
      <c r="S19" s="79">
        <v>-3.9423034716904004E-2</v>
      </c>
      <c r="T19" s="104">
        <v>-0.11912107249107418</v>
      </c>
    </row>
    <row r="20" spans="1:21" x14ac:dyDescent="0.35">
      <c r="A20" s="179">
        <v>24</v>
      </c>
      <c r="B20" s="63">
        <f>IF('[2]2021_Base RPA'!$F591="","",'[2]2021_Base RPA'!$F591)</f>
        <v>8458</v>
      </c>
      <c r="C20" s="41">
        <v>28</v>
      </c>
      <c r="D20" s="63">
        <f>IF('[2]2021_Base RPA'!$F616="","",'[2]2021_Base RPA'!$F616)</f>
        <v>8340.5</v>
      </c>
      <c r="E20" s="41">
        <v>25</v>
      </c>
      <c r="F20" s="63">
        <f>IF('[2]2021_Base RPA'!$F634="","",'[2]2021_Base RPA'!$F634)</f>
        <v>8741</v>
      </c>
      <c r="G20" s="41">
        <v>23</v>
      </c>
      <c r="H20" s="63">
        <f>IF('[2]2021_Base RPA'!$F655="","",'[2]2021_Base RPA'!$F655)</f>
        <v>9598</v>
      </c>
      <c r="I20" s="49">
        <v>23</v>
      </c>
      <c r="J20" s="63">
        <f>IF('[2]2021_Base RPA'!$F677="","",'[2]2021_Base RPA'!$F677)</f>
        <v>10290.5</v>
      </c>
      <c r="K20" s="41">
        <v>25</v>
      </c>
      <c r="L20" s="63">
        <f>IF('[2]2021_Base RPA'!$F700="","",'[2]2021_Base RPA'!$F700)</f>
        <v>9492</v>
      </c>
      <c r="O20" s="81">
        <v>41760</v>
      </c>
      <c r="P20" s="77">
        <v>6883.875</v>
      </c>
      <c r="Q20" s="79">
        <v>3.1937578935139266E-2</v>
      </c>
      <c r="R20" s="80">
        <v>15289.774762499999</v>
      </c>
      <c r="S20" s="79">
        <v>2.6392260343396146E-2</v>
      </c>
      <c r="T20" s="104">
        <v>-9.5872686505247051E-2</v>
      </c>
    </row>
    <row r="21" spans="1:21" x14ac:dyDescent="0.35">
      <c r="A21" s="179">
        <v>25</v>
      </c>
      <c r="B21" s="63">
        <f>IF('[2]2021_Base RPA'!$F592="","",'[2]2021_Base RPA'!$F592)</f>
        <v>8485</v>
      </c>
      <c r="C21" s="326">
        <v>29</v>
      </c>
      <c r="D21" s="273">
        <f>IF('[2]2021_Base RPA'!$F617="","",'[2]2021_Base RPA'!$F617)</f>
        <v>8389</v>
      </c>
      <c r="E21" s="41">
        <v>26</v>
      </c>
      <c r="F21" s="63">
        <f>IF('[2]2021_Base RPA'!$F635="","",'[2]2021_Base RPA'!$F635)</f>
        <v>8745</v>
      </c>
      <c r="G21" s="41">
        <v>24</v>
      </c>
      <c r="H21" s="63">
        <f>IF('[2]2021_Base RPA'!$F656="","",'[2]2021_Base RPA'!$F656)</f>
        <v>9670</v>
      </c>
      <c r="I21" s="49">
        <v>24</v>
      </c>
      <c r="J21" s="63">
        <f>IF('[2]2021_Base RPA'!$F678="","",'[2]2021_Base RPA'!$F678)</f>
        <v>10256.5</v>
      </c>
      <c r="K21" s="41">
        <v>26</v>
      </c>
      <c r="L21" s="63">
        <f>IF('[2]2021_Base RPA'!$F701="","",'[2]2021_Base RPA'!$F701)</f>
        <v>9420</v>
      </c>
      <c r="O21" s="81">
        <v>41791</v>
      </c>
      <c r="P21" s="77">
        <v>6806.0952380952385</v>
      </c>
      <c r="Q21" s="79">
        <v>-1.1298834145704539E-2</v>
      </c>
      <c r="R21" s="80">
        <v>15206.177980952381</v>
      </c>
      <c r="S21" s="79">
        <v>-5.4674959472031937E-3</v>
      </c>
      <c r="T21" s="104">
        <v>-0.10081599892753534</v>
      </c>
    </row>
    <row r="22" spans="1:21" x14ac:dyDescent="0.35">
      <c r="A22" s="41">
        <v>26</v>
      </c>
      <c r="B22" s="63">
        <f>IF('[2]2021_Base RPA'!$F593="","",'[2]2021_Base RPA'!$F593)</f>
        <v>8445</v>
      </c>
      <c r="C22" s="41"/>
      <c r="D22" s="63"/>
      <c r="E22" s="41">
        <v>27</v>
      </c>
      <c r="F22" s="63">
        <f>IF('[2]2021_Base RPA'!$F636="","",'[2]2021_Base RPA'!$F636)</f>
        <v>8764</v>
      </c>
      <c r="G22" s="41">
        <v>25</v>
      </c>
      <c r="H22" s="63">
        <f>IF('[2]2021_Base RPA'!$F657="","",'[2]2021_Base RPA'!$F657)</f>
        <v>9790</v>
      </c>
      <c r="I22" s="49">
        <v>27</v>
      </c>
      <c r="J22" s="63" t="str">
        <f>IF('[2]2021_Base RPA'!$F679="","",'[2]2021_Base RPA'!$F679)</f>
        <v>FERIADO</v>
      </c>
      <c r="K22" s="41">
        <v>27</v>
      </c>
      <c r="L22" s="63">
        <f>IF('[2]2021_Base RPA'!$F702="","",'[2]2021_Base RPA'!$F702)</f>
        <v>9422.5</v>
      </c>
      <c r="O22" s="81">
        <v>41821</v>
      </c>
      <c r="P22" s="77">
        <v>7104.847826086957</v>
      </c>
      <c r="Q22" s="79">
        <v>4.389485858492459E-2</v>
      </c>
      <c r="R22" s="80">
        <v>15807.575928260871</v>
      </c>
      <c r="S22" s="79">
        <v>3.9549579655177913E-2</v>
      </c>
      <c r="T22" s="104">
        <v>-6.5253649652458279E-2</v>
      </c>
    </row>
    <row r="23" spans="1:21" x14ac:dyDescent="0.35">
      <c r="A23" s="41">
        <v>29</v>
      </c>
      <c r="B23" s="63">
        <f>IF('[2]2021_Base RPA'!$F594="","",'[2]2021_Base RPA'!$F594)</f>
        <v>8420.5</v>
      </c>
      <c r="C23" s="41"/>
      <c r="D23" s="63"/>
      <c r="E23" s="314">
        <v>28</v>
      </c>
      <c r="F23" s="213">
        <f>IF('[2]2021_Base RPA'!$F637="","",'[2]2021_Base RPA'!$F637)</f>
        <v>8695.5</v>
      </c>
      <c r="G23" s="41">
        <v>26</v>
      </c>
      <c r="H23" s="63">
        <f>IF('[2]2021_Base RPA'!$F658="","",'[2]2021_Base RPA'!$F658)</f>
        <v>9868</v>
      </c>
      <c r="I23" s="49">
        <v>28</v>
      </c>
      <c r="J23" s="63">
        <f>IF('[2]2021_Base RPA'!$F680="","",'[2]2021_Base RPA'!$F680)</f>
        <v>10331</v>
      </c>
      <c r="K23" s="327">
        <v>28</v>
      </c>
      <c r="L23" s="328">
        <f>IF('[2]2021_Base RPA'!$F703="","",'[2]2021_Base RPA'!$F703)</f>
        <v>9476.5</v>
      </c>
      <c r="N23" s="91"/>
      <c r="O23" s="81">
        <v>41852</v>
      </c>
      <c r="P23" s="77">
        <v>7000.55</v>
      </c>
      <c r="Q23" s="79">
        <v>-1.4679811396382747E-2</v>
      </c>
      <c r="R23" s="80">
        <v>15880.047620000001</v>
      </c>
      <c r="S23" s="79">
        <v>4.5846176585218057E-3</v>
      </c>
      <c r="T23" s="104">
        <v>-6.0968195028415995E-2</v>
      </c>
    </row>
    <row r="24" spans="1:21" x14ac:dyDescent="0.35">
      <c r="A24" s="41">
        <v>30</v>
      </c>
      <c r="B24" s="63">
        <f>IF('[2]2021_Base RPA'!$F595="","",'[2]2021_Base RPA'!$F595)</f>
        <v>8461</v>
      </c>
      <c r="C24" s="41"/>
      <c r="D24" s="63"/>
      <c r="E24" s="327">
        <v>29</v>
      </c>
      <c r="F24" s="328">
        <f>IF('[2]2021_Base RPA'!$F638="","",'[2]2021_Base RPA'!$F638)</f>
        <v>8919</v>
      </c>
      <c r="G24" s="41">
        <v>29</v>
      </c>
      <c r="H24" s="63">
        <f>IF('[2]2021_Base RPA'!$F659="","",'[2]2021_Base RPA'!$F659)</f>
        <v>9930</v>
      </c>
      <c r="I24" s="49">
        <v>29</v>
      </c>
      <c r="J24" s="63">
        <f>IF('[2]2021_Base RPA'!$F681="","",'[2]2021_Base RPA'!$F681)</f>
        <v>10294</v>
      </c>
      <c r="K24" s="314"/>
      <c r="L24" s="213"/>
      <c r="N24" s="91"/>
      <c r="O24" s="81">
        <v>41883</v>
      </c>
      <c r="P24" s="77">
        <v>6872.227272727273</v>
      </c>
      <c r="Q24" s="79">
        <v>-1.8330377937837317E-2</v>
      </c>
      <c r="R24" s="98">
        <v>16046.650681818182</v>
      </c>
      <c r="S24" s="79">
        <v>1.0491345227980009E-2</v>
      </c>
      <c r="T24" s="104">
        <v>-5.1116488182405995E-2</v>
      </c>
    </row>
    <row r="25" spans="1:21" x14ac:dyDescent="0.35">
      <c r="A25" s="316">
        <v>31</v>
      </c>
      <c r="B25" s="273">
        <f>IF('[2]2021_Base RPA'!$F596="","",'[2]2021_Base RPA'!$F596)</f>
        <v>8512.5</v>
      </c>
      <c r="C25" s="41"/>
      <c r="D25" s="63"/>
      <c r="E25" s="41"/>
      <c r="F25" s="213"/>
      <c r="G25" s="316">
        <v>30</v>
      </c>
      <c r="H25" s="63">
        <f>IF('[2]2021_Base RPA'!$F660="","",'[2]2021_Base RPA'!$F660)</f>
        <v>9973</v>
      </c>
      <c r="I25" s="333">
        <v>30</v>
      </c>
      <c r="J25" s="334">
        <f>IF('[2]2021_Base RPA'!$F682="","",'[2]2021_Base RPA'!$F682)</f>
        <v>10016.5</v>
      </c>
      <c r="K25" s="333"/>
      <c r="L25" s="334"/>
      <c r="O25" s="81">
        <v>41913</v>
      </c>
      <c r="P25" s="77">
        <v>6739.195652173913</v>
      </c>
      <c r="Q25" s="79">
        <v>-1.9357861036014001E-2</v>
      </c>
      <c r="R25" s="98">
        <v>16515.746784782608</v>
      </c>
      <c r="S25" s="79">
        <v>2.9233271931066618E-2</v>
      </c>
      <c r="T25" s="104">
        <v>-2.3377518450536816E-2</v>
      </c>
      <c r="U25" t="s">
        <v>175</v>
      </c>
    </row>
    <row r="26" spans="1:21" x14ac:dyDescent="0.35">
      <c r="A26" s="314"/>
      <c r="B26" s="63"/>
      <c r="C26" s="394"/>
      <c r="D26" s="395"/>
      <c r="E26" s="41"/>
      <c r="F26" s="213"/>
      <c r="I26" s="335">
        <v>31</v>
      </c>
      <c r="J26" s="336">
        <f>IF('[2]2021_Base RPA'!$F683="","",'[2]2021_Base RPA'!$F683)</f>
        <v>9985</v>
      </c>
      <c r="K26" s="71"/>
      <c r="L26" s="63"/>
      <c r="O26" s="81"/>
      <c r="P26" s="77"/>
      <c r="Q26" s="79"/>
      <c r="R26" s="98"/>
      <c r="S26" s="79"/>
      <c r="T26" s="104"/>
    </row>
    <row r="27" spans="1:21" x14ac:dyDescent="0.35">
      <c r="A27" s="394"/>
      <c r="B27" s="395"/>
      <c r="C27" s="394"/>
      <c r="D27" s="395"/>
      <c r="F27" s="213">
        <f>IF('[2]2021_Base RPA'!$F641="","",'[2]2021_Base RPA'!$F641)</f>
        <v>8930</v>
      </c>
      <c r="G27" s="394"/>
      <c r="H27" s="395"/>
      <c r="I27" s="394"/>
      <c r="J27" s="395"/>
      <c r="K27" s="410"/>
      <c r="L27" s="411"/>
      <c r="O27" s="81">
        <v>41944</v>
      </c>
      <c r="P27" s="77">
        <v>6701.1350000000002</v>
      </c>
      <c r="Q27" s="79">
        <v>-5.6476550226932654E-3</v>
      </c>
      <c r="R27" s="98">
        <v>17154.905600000002</v>
      </c>
      <c r="S27" s="79">
        <v>3.8699964557842748E-2</v>
      </c>
      <c r="T27" s="104">
        <v>1.4417736971819917E-2</v>
      </c>
    </row>
    <row r="28" spans="1:21" ht="15" thickBot="1" x14ac:dyDescent="0.4">
      <c r="A28" s="384">
        <f>B29/'2023'!L66-1</f>
        <v>-6.007006511746682E-3</v>
      </c>
      <c r="B28" s="385"/>
      <c r="C28" s="384">
        <f>D29/B29-1</f>
        <v>-3.9481153404045122E-3</v>
      </c>
      <c r="D28" s="385"/>
      <c r="E28" s="384">
        <f>F29/D29-1</f>
        <v>4.564638505057772E-2</v>
      </c>
      <c r="F28" s="385"/>
      <c r="G28" s="384">
        <f>H29/F29-1</f>
        <v>9.0990289985314332E-2</v>
      </c>
      <c r="H28" s="385"/>
      <c r="I28" s="384">
        <f>J29/H29-1</f>
        <v>6.9070101508310167E-2</v>
      </c>
      <c r="J28" s="385"/>
      <c r="K28" s="384">
        <f>L29/J29-1</f>
        <v>-4.923709875538318E-2</v>
      </c>
      <c r="L28" s="385"/>
      <c r="O28" s="81">
        <v>41974</v>
      </c>
      <c r="P28" s="77">
        <v>6422.9523809523807</v>
      </c>
      <c r="Q28" s="79">
        <v>-4.1512761501987239E-2</v>
      </c>
      <c r="R28" s="98">
        <v>16968.797895238094</v>
      </c>
      <c r="S28" s="79">
        <v>-1.0848658051601734E-2</v>
      </c>
      <c r="T28" s="104">
        <v>3.412665821932892E-3</v>
      </c>
    </row>
    <row r="29" spans="1:21" ht="15" thickBot="1" x14ac:dyDescent="0.4">
      <c r="A29" s="65" t="s">
        <v>10</v>
      </c>
      <c r="B29" s="66">
        <f>AVERAGE(B4:B25)</f>
        <v>8343.681818181818</v>
      </c>
      <c r="C29" s="55" t="s">
        <v>10</v>
      </c>
      <c r="D29" s="66">
        <v>8310.74</v>
      </c>
      <c r="E29" s="55" t="s">
        <v>10</v>
      </c>
      <c r="F29" s="66">
        <f>AVERAGE(F4:F24)</f>
        <v>8690.0952380952385</v>
      </c>
      <c r="G29" s="55" t="s">
        <v>10</v>
      </c>
      <c r="H29" s="66">
        <f>AVERAGE(H4:H25)</f>
        <v>9480.8095238095229</v>
      </c>
      <c r="I29" s="56" t="s">
        <v>10</v>
      </c>
      <c r="J29" s="66">
        <f>AVERAGE(J4:J25)</f>
        <v>10135.65</v>
      </c>
      <c r="K29" s="55" t="s">
        <v>10</v>
      </c>
      <c r="L29" s="66">
        <f>AVERAGE(L4:L23)</f>
        <v>9636.6</v>
      </c>
      <c r="O29" s="81">
        <v>42005</v>
      </c>
      <c r="P29" s="77">
        <v>5791.1750000000002</v>
      </c>
      <c r="Q29" s="79">
        <v>-9.8362457555492888E-2</v>
      </c>
      <c r="R29" s="98">
        <v>15271.907592500002</v>
      </c>
      <c r="S29" s="79">
        <v>-0.10000061956152395</v>
      </c>
      <c r="T29" s="104">
        <v>-0.10000061956152395</v>
      </c>
    </row>
    <row r="30" spans="1:21" ht="15" thickBot="1" x14ac:dyDescent="0.4">
      <c r="A30" s="67" t="s">
        <v>11</v>
      </c>
      <c r="B30" s="67">
        <f>B29*A31</f>
        <v>40959.513303719017</v>
      </c>
      <c r="C30" s="67" t="s">
        <v>11</v>
      </c>
      <c r="D30" s="67">
        <f>D29*C31</f>
        <v>41265.885951578945</v>
      </c>
      <c r="E30" s="67" t="s">
        <v>11</v>
      </c>
      <c r="F30" s="67">
        <f>F29*E31</f>
        <v>43307.04823764172</v>
      </c>
      <c r="G30" s="67" t="s">
        <v>11</v>
      </c>
      <c r="H30" s="67">
        <f>H29*G31</f>
        <v>48622.202359090901</v>
      </c>
      <c r="I30" s="67" t="s">
        <v>11</v>
      </c>
      <c r="J30" s="67">
        <f>J29*I31</f>
        <v>52086.664669565216</v>
      </c>
      <c r="K30" s="67" t="s">
        <v>11</v>
      </c>
      <c r="L30" s="67">
        <f>L29*K31</f>
        <v>51913.279677000006</v>
      </c>
      <c r="O30" s="81">
        <v>42036</v>
      </c>
      <c r="P30" s="77">
        <v>5702.0749999999998</v>
      </c>
      <c r="Q30" s="79">
        <v>-1.5385478767262373E-2</v>
      </c>
      <c r="R30" s="98">
        <v>16059.837216749998</v>
      </c>
      <c r="S30" s="79">
        <v>5.1593399153158082E-2</v>
      </c>
      <c r="T30" s="104">
        <v>-5.3566592288966763E-2</v>
      </c>
    </row>
    <row r="31" spans="1:21" ht="15" thickBot="1" x14ac:dyDescent="0.4">
      <c r="A31" s="67">
        <f>AVERAGE('[2]2021_Base RPA'!$B$575:$B$596)</f>
        <v>4.9090454545454554</v>
      </c>
      <c r="B31" s="73">
        <f>A31/'2023'!K69-1</f>
        <v>2.5328776805735309E-3</v>
      </c>
      <c r="C31" s="67">
        <f>AVERAGE('[2]2021_Base RPA'!$B$597:$B$617)</f>
        <v>4.9653684210526317</v>
      </c>
      <c r="D31" s="22">
        <f>D30/'2023'!L68-1</f>
        <v>3.9644460994419095E-3</v>
      </c>
      <c r="E31" s="67">
        <f>AVERAGE('[2]2021_Base RPA'!$B$618:$B$638)</f>
        <v>4.9834952380952373</v>
      </c>
      <c r="F31" s="22">
        <f>F30/D30-1</f>
        <v>4.9463672934536351E-2</v>
      </c>
      <c r="G31" s="67">
        <f>AVERAGE('[2]2021_Base RPA'!$B$639:$B$660)</f>
        <v>5.1284863636363633</v>
      </c>
      <c r="H31" s="73">
        <f>H30/F30-1</f>
        <v>0.12273184938125947</v>
      </c>
      <c r="I31" s="67">
        <f>AVERAGE('[2]2021_Base RPA'!$B$661:$B$683)</f>
        <v>5.1389565217391304</v>
      </c>
      <c r="J31" s="73">
        <f>J30/H30-1</f>
        <v>7.1252681745843649E-2</v>
      </c>
      <c r="K31" s="67">
        <f>AVERAGE('[2]2021_Base RPA'!$B$684:$B$703)</f>
        <v>5.3870950000000004</v>
      </c>
      <c r="L31" s="73">
        <f>L30/J30-1</f>
        <v>-3.3287789430395121E-3</v>
      </c>
      <c r="O31" s="81">
        <v>42064</v>
      </c>
      <c r="P31" s="77">
        <v>5919.9047619047615</v>
      </c>
      <c r="Q31" s="79">
        <v>3.8201840892089667E-2</v>
      </c>
      <c r="R31" s="98">
        <v>18601.524742857142</v>
      </c>
      <c r="S31" s="79">
        <v>0.15826359207777196</v>
      </c>
      <c r="T31" s="104">
        <v>9.6219358477787953E-2</v>
      </c>
    </row>
    <row r="32" spans="1:21" ht="15" customHeight="1" thickBot="1" x14ac:dyDescent="0.4">
      <c r="A32" s="381" t="s">
        <v>280</v>
      </c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O32" s="116" t="s">
        <v>38</v>
      </c>
    </row>
    <row r="33" spans="1:24" ht="14.5" customHeight="1" x14ac:dyDescent="0.35">
      <c r="A33" s="405" t="s">
        <v>336</v>
      </c>
      <c r="B33" s="406"/>
      <c r="C33" s="405" t="s">
        <v>337</v>
      </c>
      <c r="D33" s="406"/>
      <c r="E33" s="401" t="s">
        <v>338</v>
      </c>
      <c r="F33" s="402"/>
      <c r="G33" s="405" t="s">
        <v>339</v>
      </c>
      <c r="H33" s="406"/>
      <c r="I33" s="401" t="s">
        <v>340</v>
      </c>
      <c r="J33" s="402"/>
      <c r="K33" s="405" t="s">
        <v>341</v>
      </c>
      <c r="L33" s="406"/>
      <c r="O33" s="81">
        <v>42125</v>
      </c>
      <c r="P33" s="77">
        <v>6300.605263157895</v>
      </c>
      <c r="Q33" s="79">
        <v>4.5140379665992825E-2</v>
      </c>
      <c r="R33" s="98">
        <v>19242.048473684212</v>
      </c>
      <c r="S33" s="79">
        <v>4.5653962162143014E-2</v>
      </c>
      <c r="T33" s="104">
        <v>0.13396650678973865</v>
      </c>
    </row>
    <row r="34" spans="1:24" x14ac:dyDescent="0.35">
      <c r="A34" s="44"/>
      <c r="B34" s="50" t="s">
        <v>7</v>
      </c>
      <c r="C34" s="51"/>
      <c r="D34" s="40" t="s">
        <v>8</v>
      </c>
      <c r="E34" s="48"/>
      <c r="F34" s="58" t="s">
        <v>8</v>
      </c>
      <c r="G34" s="51"/>
      <c r="H34" s="40" t="s">
        <v>8</v>
      </c>
      <c r="I34" s="49"/>
      <c r="J34" s="53" t="s">
        <v>18</v>
      </c>
      <c r="K34" s="51"/>
      <c r="L34" s="40" t="s">
        <v>8</v>
      </c>
      <c r="M34" s="106"/>
      <c r="O34" s="81">
        <v>42156</v>
      </c>
      <c r="P34" s="77">
        <v>5833.613636363636</v>
      </c>
      <c r="Q34" s="79">
        <v>-7.4118534218441168E-2</v>
      </c>
      <c r="R34" s="98">
        <v>18168.789670454546</v>
      </c>
      <c r="S34" s="79">
        <v>-5.5776743557084174E-2</v>
      </c>
      <c r="T34" s="104">
        <v>7.0717547738204933E-2</v>
      </c>
    </row>
    <row r="35" spans="1:24" ht="15" hidden="1" thickBot="1" x14ac:dyDescent="0.4">
      <c r="A35" s="61" t="s">
        <v>19</v>
      </c>
      <c r="B35" s="60" t="e">
        <v>#DIV/0!</v>
      </c>
      <c r="C35" s="61" t="s">
        <v>19</v>
      </c>
      <c r="D35" s="60" t="e">
        <v>#DIV/0!</v>
      </c>
      <c r="E35" s="61" t="s">
        <v>19</v>
      </c>
      <c r="F35" s="62" t="e">
        <v>#DIV/0!</v>
      </c>
      <c r="G35" s="65" t="s">
        <v>19</v>
      </c>
      <c r="H35" s="70" t="e">
        <v>#DIV/0!</v>
      </c>
      <c r="I35" s="65" t="s">
        <v>19</v>
      </c>
      <c r="J35" s="70" t="e">
        <v>#DIV/0!</v>
      </c>
      <c r="K35" s="61" t="s">
        <v>19</v>
      </c>
      <c r="L35" s="70" t="e">
        <v>#DIV/0!</v>
      </c>
      <c r="O35" s="81">
        <v>42675</v>
      </c>
      <c r="T35" s="104" t="e">
        <v>#DIV/0!</v>
      </c>
    </row>
    <row r="36" spans="1:24" ht="15" hidden="1" thickBot="1" x14ac:dyDescent="0.4">
      <c r="A36" s="55" t="s">
        <v>10</v>
      </c>
      <c r="B36" s="66" t="e">
        <v>#DIV/0!</v>
      </c>
      <c r="C36" s="55" t="s">
        <v>10</v>
      </c>
      <c r="D36" s="66" t="e">
        <v>#DIV/0!</v>
      </c>
      <c r="E36" s="56" t="s">
        <v>10</v>
      </c>
      <c r="F36" s="66" t="e">
        <v>#DIV/0!</v>
      </c>
      <c r="G36" s="55" t="s">
        <v>10</v>
      </c>
      <c r="H36" s="66" t="e">
        <v>#DIV/0!</v>
      </c>
      <c r="I36" s="56" t="s">
        <v>10</v>
      </c>
      <c r="J36" s="66" t="e">
        <v>#DIV/0!</v>
      </c>
      <c r="K36" s="55" t="s">
        <v>10</v>
      </c>
      <c r="L36" s="66" t="e">
        <v>#DIV/0!</v>
      </c>
      <c r="O36" s="81">
        <v>42705</v>
      </c>
      <c r="T36" s="104" t="e">
        <v>#DIV/0!</v>
      </c>
    </row>
    <row r="37" spans="1:24" ht="15" hidden="1" customHeight="1" thickBot="1" x14ac:dyDescent="0.4">
      <c r="A37" s="407" t="e">
        <v>#DIV/0!</v>
      </c>
      <c r="B37" s="408"/>
      <c r="C37" s="399" t="e">
        <v>#DIV/0!</v>
      </c>
      <c r="D37" s="404"/>
      <c r="E37" s="399" t="e">
        <v>#DIV/0!</v>
      </c>
      <c r="F37" s="404"/>
      <c r="G37" s="399" t="e">
        <v>#DIV/0!</v>
      </c>
      <c r="H37" s="404"/>
      <c r="I37" s="399" t="e">
        <v>#DIV/0!</v>
      </c>
      <c r="J37" s="400"/>
      <c r="K37" s="403" t="e">
        <v>#DIV/0!</v>
      </c>
      <c r="L37" s="400"/>
      <c r="O37" s="81">
        <v>42736</v>
      </c>
      <c r="T37" s="104" t="e">
        <v>#DIV/0!</v>
      </c>
    </row>
    <row r="38" spans="1:24" ht="15" hidden="1" thickBot="1" x14ac:dyDescent="0.4">
      <c r="A38" s="67" t="s">
        <v>11</v>
      </c>
      <c r="B38" s="67" t="e">
        <v>#DIV/0!</v>
      </c>
      <c r="C38" s="67" t="s">
        <v>11</v>
      </c>
      <c r="D38" s="67" t="e">
        <v>#DIV/0!</v>
      </c>
      <c r="E38" s="67" t="s">
        <v>11</v>
      </c>
      <c r="F38" s="67" t="e">
        <v>#DIV/0!</v>
      </c>
      <c r="G38" s="67" t="s">
        <v>11</v>
      </c>
      <c r="H38" s="67" t="e">
        <v>#DIV/0!</v>
      </c>
      <c r="I38" s="67" t="s">
        <v>11</v>
      </c>
      <c r="J38" s="67" t="e">
        <v>#DIV/0!</v>
      </c>
      <c r="K38" s="67" t="s">
        <v>11</v>
      </c>
      <c r="L38" s="67" t="e">
        <v>#DIV/0!</v>
      </c>
      <c r="O38" s="81">
        <v>42767</v>
      </c>
      <c r="T38" s="104" t="e">
        <v>#DIV/0!</v>
      </c>
    </row>
    <row r="39" spans="1:24" ht="15" hidden="1" thickBot="1" x14ac:dyDescent="0.4">
      <c r="A39" s="67"/>
      <c r="B39" s="73" t="e">
        <v>#DIV/0!</v>
      </c>
      <c r="C39" s="67"/>
      <c r="D39" s="73" t="e">
        <v>#DIV/0!</v>
      </c>
      <c r="E39" s="67"/>
      <c r="F39" s="73" t="e">
        <v>#DIV/0!</v>
      </c>
      <c r="G39" s="67"/>
      <c r="H39" s="73" t="e">
        <v>#DIV/0!</v>
      </c>
      <c r="I39" s="67"/>
      <c r="J39" s="73" t="e">
        <v>#DIV/0!</v>
      </c>
      <c r="K39" s="67"/>
      <c r="L39" s="73" t="e">
        <v>#DIV/0!</v>
      </c>
      <c r="O39" s="81">
        <v>42795</v>
      </c>
      <c r="T39" s="104" t="e">
        <v>#DIV/0!</v>
      </c>
    </row>
    <row r="40" spans="1:24" ht="14.5" hidden="1" customHeight="1" x14ac:dyDescent="0.35">
      <c r="A40" s="396" t="s">
        <v>90</v>
      </c>
      <c r="B40" s="397"/>
      <c r="C40" s="396" t="s">
        <v>91</v>
      </c>
      <c r="D40" s="397"/>
      <c r="E40" s="396" t="s">
        <v>92</v>
      </c>
      <c r="F40" s="397"/>
      <c r="G40" s="405" t="s">
        <v>93</v>
      </c>
      <c r="H40" s="406"/>
      <c r="I40" s="405" t="s">
        <v>94</v>
      </c>
      <c r="J40" s="406"/>
      <c r="K40" s="405" t="s">
        <v>95</v>
      </c>
      <c r="L40" s="406"/>
      <c r="O40" s="81">
        <v>42826</v>
      </c>
      <c r="T40" s="104" t="e">
        <v>#DIV/0!</v>
      </c>
    </row>
    <row r="41" spans="1:24" hidden="1" x14ac:dyDescent="0.35">
      <c r="A41" s="44"/>
      <c r="B41" s="50" t="s">
        <v>7</v>
      </c>
      <c r="C41" s="51"/>
      <c r="D41" s="40" t="s">
        <v>8</v>
      </c>
      <c r="E41" s="51"/>
      <c r="F41" s="52" t="s">
        <v>8</v>
      </c>
      <c r="G41" s="51"/>
      <c r="H41" s="40" t="s">
        <v>8</v>
      </c>
      <c r="I41" s="49"/>
      <c r="J41" s="53" t="s">
        <v>8</v>
      </c>
      <c r="K41" s="51"/>
      <c r="L41" s="40" t="s">
        <v>8</v>
      </c>
      <c r="O41" s="81">
        <v>42856</v>
      </c>
      <c r="T41" s="104" t="e">
        <v>#DIV/0!</v>
      </c>
    </row>
    <row r="42" spans="1:24" ht="15" customHeight="1" x14ac:dyDescent="0.35">
      <c r="A42" s="41">
        <v>1</v>
      </c>
      <c r="B42" s="63">
        <f>IF('[2]2021_Base RPA'!$F704="","",'[2]2021_Base RPA'!$F704)</f>
        <v>9517</v>
      </c>
      <c r="C42" s="41">
        <v>1</v>
      </c>
      <c r="D42" s="63">
        <f>IF('[2]2021_Base RPA'!$F727="","",'[2]2021_Base RPA'!$F727)</f>
        <v>8997</v>
      </c>
      <c r="E42" s="250">
        <v>2</v>
      </c>
      <c r="F42" s="63">
        <f>IF('[2]2021_Base RPA'!$F749="","",'[2]2021_Base RPA'!$F749)</f>
        <v>9034</v>
      </c>
      <c r="G42" s="41">
        <v>1</v>
      </c>
      <c r="H42" s="63">
        <f>IF('[2]2021_Base RPA'!$F770="","",'[2]2021_Base RPA'!$F770)</f>
        <v>9741</v>
      </c>
      <c r="I42" s="49">
        <v>1</v>
      </c>
      <c r="J42" s="63">
        <f>IF('[2]2021_Base RPA'!$F793="","",'[2]2021_Base RPA'!$F793)</f>
        <v>9425</v>
      </c>
      <c r="K42" s="49">
        <v>2</v>
      </c>
      <c r="L42" s="63">
        <f>IF('[2]2021_Base RPA'!$F814="","",'[2]2021_Base RPA'!$F814)</f>
        <v>8871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</row>
    <row r="43" spans="1:24" x14ac:dyDescent="0.35">
      <c r="A43" s="41">
        <v>2</v>
      </c>
      <c r="B43" s="63">
        <f>IF('[2]2021_Base RPA'!$F705="","",'[2]2021_Base RPA'!$F705)</f>
        <v>9546.5</v>
      </c>
      <c r="C43" s="41">
        <v>2</v>
      </c>
      <c r="D43" s="63">
        <f>IF('[2]2021_Base RPA'!$F728="","",'[2]2021_Base RPA'!$F728)</f>
        <v>8976.5</v>
      </c>
      <c r="E43" s="41">
        <v>3</v>
      </c>
      <c r="F43" s="63">
        <f>IF('[2]2021_Base RPA'!$F750="","",'[2]2021_Base RPA'!$F750)</f>
        <v>8856</v>
      </c>
      <c r="G43" s="41">
        <v>2</v>
      </c>
      <c r="H43" s="63">
        <f>IF('[2]2021_Base RPA'!$F771="","",'[2]2021_Base RPA'!$F771)</f>
        <v>9882.5</v>
      </c>
      <c r="I43" s="177">
        <v>4</v>
      </c>
      <c r="J43" s="63">
        <f>IF('[2]2021_Base RPA'!$F794="","",'[2]2021_Base RPA'!$F794)</f>
        <v>9505</v>
      </c>
      <c r="K43" s="49">
        <v>3</v>
      </c>
      <c r="L43" s="63">
        <f>IF('[2]2021_Base RPA'!$F815="","",'[2]2021_Base RPA'!$F815)</f>
        <v>8941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  <c r="U43" s="133"/>
    </row>
    <row r="44" spans="1:24" x14ac:dyDescent="0.35">
      <c r="A44" s="41">
        <v>3</v>
      </c>
      <c r="B44" s="63">
        <f>IF('[2]2021_Base RPA'!$F706="","",'[2]2021_Base RPA'!$F706)</f>
        <v>9623</v>
      </c>
      <c r="C44" s="41">
        <v>5</v>
      </c>
      <c r="D44" s="63" t="str">
        <f>IF('[2]2021_Base RPA'!$F729="","",'[2]2021_Base RPA'!$F729)</f>
        <v>FERIADO</v>
      </c>
      <c r="E44" s="41">
        <v>4</v>
      </c>
      <c r="F44" s="63">
        <f>IF('[2]2021_Base RPA'!$F751="","",'[2]2021_Base RPA'!$F751)</f>
        <v>8830.5</v>
      </c>
      <c r="G44" s="41">
        <v>3</v>
      </c>
      <c r="H44" s="63">
        <f>IF('[2]2021_Base RPA'!$F772="","",'[2]2021_Base RPA'!$F772)</f>
        <v>9786</v>
      </c>
      <c r="I44" s="49">
        <v>5</v>
      </c>
      <c r="J44" s="63">
        <f>IF('[2]2021_Base RPA'!$F795="","",'[2]2021_Base RPA'!$F795)</f>
        <v>9587.5</v>
      </c>
      <c r="K44" s="49">
        <v>4</v>
      </c>
      <c r="L44" s="63">
        <f>IF('[2]2021_Base RPA'!$F816="","",'[2]2021_Base RPA'!$F816)</f>
        <v>8951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4</v>
      </c>
      <c r="B45" s="63">
        <f>IF('[2]2021_Base RPA'!$F707="","",'[2]2021_Base RPA'!$F707)</f>
        <v>9726.5</v>
      </c>
      <c r="C45" s="41">
        <v>6</v>
      </c>
      <c r="D45" s="63">
        <f>IF('[2]2021_Base RPA'!$F730="","",'[2]2021_Base RPA'!$F730)</f>
        <v>8714</v>
      </c>
      <c r="E45" s="41">
        <v>5</v>
      </c>
      <c r="F45" s="63">
        <f>IF('[2]2021_Base RPA'!$F752="","",'[2]2021_Base RPA'!$F752)</f>
        <v>8915</v>
      </c>
      <c r="G45" s="41">
        <v>4</v>
      </c>
      <c r="H45" s="63">
        <f>IF('[2]2021_Base RPA'!$F773="","",'[2]2021_Base RPA'!$F773)</f>
        <v>9784</v>
      </c>
      <c r="I45" s="49">
        <v>6</v>
      </c>
      <c r="J45" s="63">
        <f>IF('[2]2021_Base RPA'!$F796="","",'[2]2021_Base RPA'!$F796)</f>
        <v>9250.5</v>
      </c>
      <c r="K45" s="49">
        <v>5</v>
      </c>
      <c r="L45" s="63">
        <f>IF('[2]2021_Base RPA'!$F817="","",'[2]2021_Base RPA'!$F817)</f>
        <v>8967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5</v>
      </c>
      <c r="B46" s="63">
        <f>IF('[2]2021_Base RPA'!$F708="","",'[2]2021_Base RPA'!$F708)</f>
        <v>9809</v>
      </c>
      <c r="C46" s="41">
        <v>7</v>
      </c>
      <c r="D46" s="63">
        <f>IF('[2]2021_Base RPA'!$F731="","",'[2]2021_Base RPA'!$F731)</f>
        <v>8684</v>
      </c>
      <c r="E46" s="41">
        <v>6</v>
      </c>
      <c r="F46" s="63">
        <f>IF('[2]2021_Base RPA'!$F753="","",'[2]2021_Base RPA'!$F753)</f>
        <v>9013</v>
      </c>
      <c r="G46" s="41">
        <v>7</v>
      </c>
      <c r="H46" s="63">
        <f>IF('[2]2021_Base RPA'!$F774="","",'[2]2021_Base RPA'!$F774)</f>
        <v>9816.5</v>
      </c>
      <c r="I46" s="49">
        <v>7</v>
      </c>
      <c r="J46" s="63">
        <f>IF('[2]2021_Base RPA'!$F797="","",'[2]2021_Base RPA'!$F797)</f>
        <v>9386</v>
      </c>
      <c r="K46" s="49">
        <v>6</v>
      </c>
      <c r="L46" s="63">
        <f>IF('[2]2021_Base RPA'!$F818="","",'[2]2021_Base RPA'!$F818)</f>
        <v>9040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8</v>
      </c>
      <c r="B47" s="63">
        <f>IF('[2]2021_Base RPA'!$F709="","",'[2]2021_Base RPA'!$F709)</f>
        <v>9808</v>
      </c>
      <c r="C47" s="41">
        <v>8</v>
      </c>
      <c r="D47" s="63">
        <f>IF('[2]2021_Base RPA'!$F732="","",'[2]2021_Base RPA'!$F732)</f>
        <v>8648.5</v>
      </c>
      <c r="E47" s="41">
        <v>9</v>
      </c>
      <c r="F47" s="63">
        <f>IF('[2]2021_Base RPA'!$F754="","",'[2]2021_Base RPA'!$F754)</f>
        <v>8989.5</v>
      </c>
      <c r="G47" s="41">
        <v>8</v>
      </c>
      <c r="H47" s="63">
        <f>IF('[2]2021_Base RPA'!$F775="","",'[2]2021_Base RPA'!$F775)</f>
        <v>9619</v>
      </c>
      <c r="I47" s="49">
        <v>8</v>
      </c>
      <c r="J47" s="63">
        <f>IF('[2]2021_Base RPA'!$F798="","",'[2]2021_Base RPA'!$F798)</f>
        <v>9323</v>
      </c>
      <c r="K47" s="49">
        <v>9</v>
      </c>
      <c r="L47" s="63">
        <f>IF('[2]2021_Base RPA'!$F819="","",'[2]2021_Base RPA'!$F819)</f>
        <v>9104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98" t="e">
        <f>#REF!</f>
        <v>#REF!</v>
      </c>
      <c r="S47" s="79" t="e">
        <f>#REF!</f>
        <v>#REF!</v>
      </c>
      <c r="T47" s="104" t="e">
        <f>#REF!</f>
        <v>#REF!</v>
      </c>
    </row>
    <row r="48" spans="1:24" x14ac:dyDescent="0.35">
      <c r="A48" s="41">
        <v>9</v>
      </c>
      <c r="B48" s="63">
        <f>IF('[2]2021_Base RPA'!$F710="","",'[2]2021_Base RPA'!$F710)</f>
        <v>9762</v>
      </c>
      <c r="C48" s="41">
        <v>9</v>
      </c>
      <c r="D48" s="63">
        <f>IF('[2]2021_Base RPA'!$F733="","",'[2]2021_Base RPA'!$F733)</f>
        <v>8803</v>
      </c>
      <c r="E48" s="41">
        <v>10</v>
      </c>
      <c r="F48" s="63">
        <f>IF('[2]2021_Base RPA'!$F755="","",'[2]2021_Base RPA'!$F755)</f>
        <v>8935</v>
      </c>
      <c r="G48" s="41">
        <v>9</v>
      </c>
      <c r="H48" s="63">
        <f>IF('[2]2021_Base RPA'!$F776="","",'[2]2021_Base RPA'!$F776)</f>
        <v>9550</v>
      </c>
      <c r="I48" s="49">
        <v>11</v>
      </c>
      <c r="J48" s="63">
        <f>IF('[2]2021_Base RPA'!$F799="","",'[2]2021_Base RPA'!$F799)</f>
        <v>9251</v>
      </c>
      <c r="K48" s="49">
        <v>10</v>
      </c>
      <c r="L48" s="63">
        <f>IF('[2]2021_Base RPA'!$F820="","",'[2]2021_Base RPA'!$F820)</f>
        <v>9067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  <c r="V48" s="81"/>
      <c r="W48" s="81"/>
      <c r="X48" s="81"/>
    </row>
    <row r="49" spans="1:21" x14ac:dyDescent="0.35">
      <c r="A49" s="41">
        <v>10</v>
      </c>
      <c r="B49" s="63">
        <f>IF('[2]2021_Base RPA'!$F711="","",'[2]2021_Base RPA'!$F711)</f>
        <v>9696</v>
      </c>
      <c r="C49" s="41">
        <v>12</v>
      </c>
      <c r="D49" s="63">
        <f>IF('[2]2021_Base RPA'!$F734="","",'[2]2021_Base RPA'!$F734)</f>
        <v>8850.5</v>
      </c>
      <c r="E49" s="41">
        <v>11</v>
      </c>
      <c r="F49" s="63">
        <f>IF('[2]2021_Base RPA'!$F756="","",'[2]2021_Base RPA'!$F756)</f>
        <v>9007.5</v>
      </c>
      <c r="G49" s="41">
        <v>10</v>
      </c>
      <c r="H49" s="63">
        <f>IF('[2]2021_Base RPA'!$F777="","",'[2]2021_Base RPA'!$F777)</f>
        <v>9507</v>
      </c>
      <c r="I49" s="49">
        <v>12</v>
      </c>
      <c r="J49" s="63">
        <f>IF('[2]2021_Base RPA'!$F800="","",'[2]2021_Base RPA'!$F800)</f>
        <v>9005</v>
      </c>
      <c r="K49" s="49">
        <v>11</v>
      </c>
      <c r="L49" s="63">
        <f>IF('[2]2021_Base RPA'!$F821="","",'[2]2021_Base RPA'!$F821)</f>
        <v>9077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11</v>
      </c>
      <c r="B50" s="63">
        <f>IF('[2]2021_Base RPA'!$F712="","",'[2]2021_Base RPA'!$F712)</f>
        <v>9693.5</v>
      </c>
      <c r="C50" s="41">
        <v>13</v>
      </c>
      <c r="D50" s="63">
        <f>IF('[2]2021_Base RPA'!$F735="","",'[2]2021_Base RPA'!$F735)</f>
        <v>8831</v>
      </c>
      <c r="E50" s="41">
        <v>12</v>
      </c>
      <c r="F50" s="63">
        <f>IF('[2]2021_Base RPA'!$F757="","",'[2]2021_Base RPA'!$F757)</f>
        <v>9115.5</v>
      </c>
      <c r="G50" s="41">
        <v>11</v>
      </c>
      <c r="H50" s="63">
        <f>IF('[2]2021_Base RPA'!$F778="","",'[2]2021_Base RPA'!$F778)</f>
        <v>9596.5</v>
      </c>
      <c r="I50" s="49">
        <v>13</v>
      </c>
      <c r="J50" s="63">
        <f>IF('[2]2021_Base RPA'!$F801="","",'[2]2021_Base RPA'!$F801)</f>
        <v>8969</v>
      </c>
      <c r="K50" s="49">
        <v>12</v>
      </c>
      <c r="L50" s="63">
        <f>IF('[2]2021_Base RPA'!$F822="","",'[2]2021_Base RPA'!$F822)</f>
        <v>9038.5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12</v>
      </c>
      <c r="B51" s="63">
        <f>IF('[2]2021_Base RPA'!$F713="","",'[2]2021_Base RPA'!$F713)</f>
        <v>9673</v>
      </c>
      <c r="C51" s="41">
        <v>14</v>
      </c>
      <c r="D51" s="63">
        <f>IF('[2]2021_Base RPA'!$F736="","",'[2]2021_Base RPA'!$F736)</f>
        <v>8905</v>
      </c>
      <c r="E51" s="41">
        <v>13</v>
      </c>
      <c r="F51" s="63">
        <f>IF('[2]2021_Base RPA'!$F758="","",'[2]2021_Base RPA'!$F758)</f>
        <v>9080.5</v>
      </c>
      <c r="G51" s="41">
        <v>14</v>
      </c>
      <c r="H51" s="63">
        <f>IF('[2]2021_Base RPA'!$F779="","",'[2]2021_Base RPA'!$F779)</f>
        <v>9516</v>
      </c>
      <c r="I51" s="49">
        <v>14</v>
      </c>
      <c r="J51" s="63">
        <f>IF('[2]2021_Base RPA'!$F802="","",'[2]2021_Base RPA'!$F802)</f>
        <v>8768</v>
      </c>
      <c r="K51" s="49">
        <v>13</v>
      </c>
      <c r="L51" s="63">
        <f>IF('[2]2021_Base RPA'!$F823="","",'[2]2021_Base RPA'!$F823)</f>
        <v>8989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15</v>
      </c>
      <c r="B52" s="63">
        <f>IF('[2]2021_Base RPA'!$F714="","",'[2]2021_Base RPA'!$F714)</f>
        <v>9679</v>
      </c>
      <c r="C52" s="41">
        <v>15</v>
      </c>
      <c r="D52" s="63">
        <f>IF('[2]2021_Base RPA'!$F737="","",'[2]2021_Base RPA'!$F737)</f>
        <v>9007</v>
      </c>
      <c r="E52" s="41">
        <v>16</v>
      </c>
      <c r="F52" s="63">
        <f>IF('[2]2021_Base RPA'!$F759="","",'[2]2021_Base RPA'!$F759)</f>
        <v>9216</v>
      </c>
      <c r="G52" s="41">
        <v>15</v>
      </c>
      <c r="H52" s="63">
        <f>IF('[2]2021_Base RPA'!$F780="","",'[2]2021_Base RPA'!$F780)</f>
        <v>9401.5</v>
      </c>
      <c r="I52" s="49">
        <v>15</v>
      </c>
      <c r="J52" s="63">
        <f>IF('[2]2021_Base RPA'!$F803="","",'[2]2021_Base RPA'!$F803)</f>
        <v>9055</v>
      </c>
      <c r="K52" s="49">
        <v>16</v>
      </c>
      <c r="L52" s="63">
        <f>IF('[2]2021_Base RPA'!$F824="","",'[2]2021_Base RPA'!$F824)</f>
        <v>8932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16</v>
      </c>
      <c r="B53" s="63">
        <f>IF('[2]2021_Base RPA'!$F715="","",'[2]2021_Base RPA'!$F715)</f>
        <v>9565</v>
      </c>
      <c r="C53" s="41">
        <v>16</v>
      </c>
      <c r="D53" s="63">
        <f>IF('[2]2021_Base RPA'!$F738="","",'[2]2021_Base RPA'!$F738)</f>
        <v>8936</v>
      </c>
      <c r="E53" s="41">
        <v>17</v>
      </c>
      <c r="F53" s="63">
        <f>IF('[2]2021_Base RPA'!$F760="","",'[2]2021_Base RPA'!$F760)</f>
        <v>9242</v>
      </c>
      <c r="G53" s="41">
        <v>16</v>
      </c>
      <c r="H53" s="63">
        <f>IF('[2]2021_Base RPA'!$F781="","",'[2]2021_Base RPA'!$F781)</f>
        <v>9489</v>
      </c>
      <c r="I53" s="49">
        <v>18</v>
      </c>
      <c r="J53" s="63">
        <f>IF('[2]2021_Base RPA'!$F804="","",'[2]2021_Base RPA'!$F804)</f>
        <v>8859.5</v>
      </c>
      <c r="K53" s="49">
        <v>17</v>
      </c>
      <c r="L53" s="63">
        <f>IF('[2]2021_Base RPA'!$F825="","",'[2]2021_Base RPA'!$F825)</f>
        <v>8851.5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17</v>
      </c>
      <c r="B54" s="63">
        <f>IF('[2]2021_Base RPA'!$F716="","",'[2]2021_Base RPA'!$F716)</f>
        <v>9533</v>
      </c>
      <c r="C54" s="41">
        <v>19</v>
      </c>
      <c r="D54" s="63">
        <f>IF('[2]2021_Base RPA'!$F739="","",'[2]2021_Base RPA'!$F739)</f>
        <v>9115</v>
      </c>
      <c r="E54" s="41">
        <v>18</v>
      </c>
      <c r="F54" s="63">
        <f>IF('[2]2021_Base RPA'!$F761="","",'[2]2021_Base RPA'!$F761)</f>
        <v>9289</v>
      </c>
      <c r="G54" s="41">
        <v>17</v>
      </c>
      <c r="H54" s="63">
        <f>IF('[2]2021_Base RPA'!$F782="","",'[2]2021_Base RPA'!$F782)</f>
        <v>9380</v>
      </c>
      <c r="I54" s="49">
        <v>19</v>
      </c>
      <c r="J54" s="63">
        <f>IF('[2]2021_Base RPA'!$F805="","",'[2]2021_Base RPA'!$F805)</f>
        <v>8919.5</v>
      </c>
      <c r="K54" s="49">
        <v>18</v>
      </c>
      <c r="L54" s="63">
        <f>IF('[2]2021_Base RPA'!$F826="","",'[2]2021_Base RPA'!$F826)</f>
        <v>8905.5</v>
      </c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</row>
    <row r="55" spans="1:21" x14ac:dyDescent="0.35">
      <c r="A55" s="41">
        <v>18</v>
      </c>
      <c r="B55" s="63">
        <f>IF('[2]2021_Base RPA'!$F717="","",'[2]2021_Base RPA'!$F717)</f>
        <v>9342</v>
      </c>
      <c r="C55" s="41">
        <v>20</v>
      </c>
      <c r="D55" s="63">
        <f>IF('[2]2021_Base RPA'!$F740="","",'[2]2021_Base RPA'!$F740)</f>
        <v>9151</v>
      </c>
      <c r="E55" s="41">
        <v>19</v>
      </c>
      <c r="F55" s="63">
        <f>IF('[2]2021_Base RPA'!$F762="","",'[2]2021_Base RPA'!$F762)</f>
        <v>9405.5</v>
      </c>
      <c r="G55" s="41">
        <v>18</v>
      </c>
      <c r="H55" s="63">
        <f>IF('[2]2021_Base RPA'!$F783="","",'[2]2021_Base RPA'!$F783)</f>
        <v>9472.5</v>
      </c>
      <c r="I55" s="49">
        <v>20</v>
      </c>
      <c r="J55" s="63">
        <f>IF('[2]2021_Base RPA'!$F806="","",'[2]2021_Base RPA'!$F806)</f>
        <v>9022</v>
      </c>
      <c r="K55" s="49">
        <v>19</v>
      </c>
      <c r="L55" s="63">
        <f>IF('[2]2021_Base RPA'!$F827="","",'[2]2021_Base RPA'!$F827)</f>
        <v>8795.5</v>
      </c>
      <c r="M55" s="106"/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  <c r="U55" s="106"/>
    </row>
    <row r="56" spans="1:21" x14ac:dyDescent="0.35">
      <c r="A56" s="41">
        <v>19</v>
      </c>
      <c r="B56" s="63">
        <f>IF('[2]2021_Base RPA'!$F718="","",'[2]2021_Base RPA'!$F718)</f>
        <v>9214</v>
      </c>
      <c r="C56" s="41">
        <v>21</v>
      </c>
      <c r="D56" s="63">
        <f>IF('[2]2021_Base RPA'!$F741="","",'[2]2021_Base RPA'!$F741)</f>
        <v>9137</v>
      </c>
      <c r="E56" s="41">
        <v>20</v>
      </c>
      <c r="F56" s="63">
        <f>IF('[2]2021_Base RPA'!$F763="","",'[2]2021_Base RPA'!$F763)</f>
        <v>9395</v>
      </c>
      <c r="G56" s="41">
        <v>21</v>
      </c>
      <c r="H56" s="63">
        <f>IF('[2]2021_Base RPA'!$F784="","",'[2]2021_Base RPA'!$F784)</f>
        <v>9592.5</v>
      </c>
      <c r="I56" s="49">
        <v>21</v>
      </c>
      <c r="J56" s="63">
        <f>IF('[2]2021_Base RPA'!$F807="","",'[2]2021_Base RPA'!$F807)</f>
        <v>8945.5</v>
      </c>
      <c r="K56" s="49">
        <v>20</v>
      </c>
      <c r="L56" s="63">
        <f>IF('[2]2021_Base RPA'!$F828="","",'[2]2021_Base RPA'!$F828)</f>
        <v>8793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22</v>
      </c>
      <c r="B57" s="63">
        <f>IF('[2]2021_Base RPA'!$F719="","",'[2]2021_Base RPA'!$F719)</f>
        <v>9127.5</v>
      </c>
      <c r="C57" s="41">
        <v>22</v>
      </c>
      <c r="D57" s="63">
        <f>IF('[2]2021_Base RPA'!$F742="","",'[2]2021_Base RPA'!$F742)</f>
        <v>9060.5</v>
      </c>
      <c r="E57" s="41">
        <v>23</v>
      </c>
      <c r="F57" s="63">
        <f>IF('[2]2021_Base RPA'!$F764="","",'[2]2021_Base RPA'!$F764)</f>
        <v>9329</v>
      </c>
      <c r="G57" s="41">
        <v>22</v>
      </c>
      <c r="H57" s="63">
        <f>IF('[2]2021_Base RPA'!$F785="","",'[2]2021_Base RPA'!$F785)</f>
        <v>9490.5</v>
      </c>
      <c r="I57" s="49">
        <v>22</v>
      </c>
      <c r="J57" s="63">
        <f>IF('[2]2021_Base RPA'!$F808="","",'[2]2021_Base RPA'!$F808)</f>
        <v>8829</v>
      </c>
      <c r="K57" s="49">
        <v>23</v>
      </c>
      <c r="L57" s="63">
        <f>IF('[2]2021_Base RPA'!$F829="","",'[2]2021_Base RPA'!$F829)</f>
        <v>8838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23</v>
      </c>
      <c r="B58" s="63">
        <f>IF('[2]2021_Base RPA'!$F720="","",'[2]2021_Base RPA'!$F720)</f>
        <v>9052.5</v>
      </c>
      <c r="C58" s="41">
        <v>23</v>
      </c>
      <c r="D58" s="63">
        <f>IF('[2]2021_Base RPA'!$F743="","",'[2]2021_Base RPA'!$F743)</f>
        <v>9071</v>
      </c>
      <c r="E58" s="41">
        <v>24</v>
      </c>
      <c r="F58" s="63">
        <f>IF('[2]2021_Base RPA'!$F765="","",'[2]2021_Base RPA'!$F765)</f>
        <v>9602</v>
      </c>
      <c r="G58" s="41">
        <v>23</v>
      </c>
      <c r="H58" s="63">
        <f>IF('[2]2021_Base RPA'!$F786="","",'[2]2021_Base RPA'!$F786)</f>
        <v>9364</v>
      </c>
      <c r="I58" s="49">
        <v>25</v>
      </c>
      <c r="J58" s="63">
        <f>IF('[2]2021_Base RPA'!$F809="","",'[2]2021_Base RPA'!$F809)</f>
        <v>8918</v>
      </c>
      <c r="K58" s="49">
        <v>24</v>
      </c>
      <c r="L58" s="63">
        <f>IF('[2]2021_Base RPA'!$F830="","",'[2]2021_Base RPA'!$F830)</f>
        <v>8847.5</v>
      </c>
      <c r="O58" s="81" t="e">
        <f>#REF!</f>
        <v>#REF!</v>
      </c>
      <c r="P58" s="77" t="e">
        <f>#REF!</f>
        <v>#REF!</v>
      </c>
      <c r="Q58" s="79" t="e">
        <f>#REF!</f>
        <v>#REF!</v>
      </c>
      <c r="R58" s="80" t="e">
        <f>#REF!</f>
        <v>#REF!</v>
      </c>
      <c r="S58" s="79" t="e">
        <f>#REF!</f>
        <v>#REF!</v>
      </c>
      <c r="T58" s="104" t="e">
        <f>#REF!</f>
        <v>#REF!</v>
      </c>
    </row>
    <row r="59" spans="1:21" x14ac:dyDescent="0.35">
      <c r="A59" s="41">
        <v>24</v>
      </c>
      <c r="B59" s="63">
        <f>IF('[2]2021_Base RPA'!$F721="","",'[2]2021_Base RPA'!$F721)</f>
        <v>9018.5</v>
      </c>
      <c r="C59" s="41">
        <v>26</v>
      </c>
      <c r="D59" s="63" t="str">
        <f>IF('[2]2021_Base RPA'!$F744="","",'[2]2021_Base RPA'!$F744)</f>
        <v>FERIADO</v>
      </c>
      <c r="E59" s="41">
        <v>25</v>
      </c>
      <c r="F59" s="63">
        <f>IF('[2]2021_Base RPA'!$F766="","",'[2]2021_Base RPA'!$F766)</f>
        <v>9618.5</v>
      </c>
      <c r="G59" s="41">
        <v>24</v>
      </c>
      <c r="H59" s="63">
        <f>IF('[2]2021_Base RPA'!$F787="","",'[2]2021_Base RPA'!$F787)</f>
        <v>9413</v>
      </c>
      <c r="I59" s="49">
        <v>26</v>
      </c>
      <c r="J59" s="63">
        <f>IF('[2]2021_Base RPA'!$F810="","",'[2]2021_Base RPA'!$F810)</f>
        <v>8925</v>
      </c>
      <c r="K59" s="49">
        <v>25</v>
      </c>
      <c r="L59" s="63" t="str">
        <f>IF('[2]2021_Base RPA'!$F831="","",'[2]2021_Base RPA'!$F831)</f>
        <v>FERIADO</v>
      </c>
      <c r="O59" s="81" t="e">
        <f>#REF!</f>
        <v>#REF!</v>
      </c>
      <c r="P59" s="115" t="e">
        <f>#REF!</f>
        <v>#REF!</v>
      </c>
      <c r="Q59" s="79" t="e">
        <f>#REF!</f>
        <v>#REF!</v>
      </c>
      <c r="R59" s="80" t="e">
        <f>#REF!</f>
        <v>#REF!</v>
      </c>
      <c r="S59" s="126" t="e">
        <f>#REF!</f>
        <v>#REF!</v>
      </c>
      <c r="T59" t="e">
        <f>#REF!</f>
        <v>#REF!</v>
      </c>
    </row>
    <row r="60" spans="1:21" x14ac:dyDescent="0.35">
      <c r="A60" s="41">
        <v>25</v>
      </c>
      <c r="B60" s="63">
        <f>IF('[2]2021_Base RPA'!$F722="","",'[2]2021_Base RPA'!$F722)</f>
        <v>8917</v>
      </c>
      <c r="C60" s="41">
        <v>27</v>
      </c>
      <c r="D60" s="63">
        <f>IF('[2]2021_Base RPA'!$F745="","",'[2]2021_Base RPA'!$F745)</f>
        <v>9247.5</v>
      </c>
      <c r="E60" s="41">
        <v>26</v>
      </c>
      <c r="F60" s="63">
        <f>IF('[2]2021_Base RPA'!$F767="","",'[2]2021_Base RPA'!$F767)</f>
        <v>9844</v>
      </c>
      <c r="G60" s="41">
        <v>25</v>
      </c>
      <c r="H60" s="63">
        <f>IF('[2]2021_Base RPA'!$F788="","",'[2]2021_Base RPA'!$F788)</f>
        <v>9385</v>
      </c>
      <c r="I60" s="49">
        <v>27</v>
      </c>
      <c r="J60" s="63">
        <f>IF('[2]2021_Base RPA'!$F811="","",'[2]2021_Base RPA'!$F811)</f>
        <v>8897.5</v>
      </c>
      <c r="K60" s="71">
        <v>26</v>
      </c>
      <c r="L60" s="63" t="str">
        <f>IF('[2]2021_Base RPA'!$F832="","",'[2]2021_Base RPA'!$F832)</f>
        <v>FERIADO</v>
      </c>
      <c r="O60" t="e">
        <f>#REF!</f>
        <v>#REF!</v>
      </c>
      <c r="P60" s="79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1">
        <v>26</v>
      </c>
      <c r="B61" s="63">
        <f>IF('[2]2021_Base RPA'!$F723="","",'[2]2021_Base RPA'!$F723)</f>
        <v>9018.5</v>
      </c>
      <c r="C61" s="41">
        <v>28</v>
      </c>
      <c r="D61" s="63">
        <f>IF('[2]2021_Base RPA'!$F746="","",'[2]2021_Base RPA'!$F746)</f>
        <v>9135.5</v>
      </c>
      <c r="E61" s="314">
        <v>27</v>
      </c>
      <c r="F61" s="63">
        <f>IF('[2]2021_Base RPA'!$F768="","",'[2]2021_Base RPA'!$F768)</f>
        <v>9860</v>
      </c>
      <c r="G61" s="41">
        <v>28</v>
      </c>
      <c r="H61" s="63">
        <f>IF('[2]2021_Base RPA'!$F789="","",'[2]2021_Base RPA'!$F789)</f>
        <v>9402</v>
      </c>
      <c r="I61" s="49">
        <v>28</v>
      </c>
      <c r="J61" s="63">
        <f>IF('[2]2021_Base RPA'!$F812="","",'[2]2021_Base RPA'!$F812)</f>
        <v>8850.5</v>
      </c>
      <c r="K61" s="71">
        <v>27</v>
      </c>
      <c r="L61" s="63">
        <f>IF('[2]2021_Base RPA'!$F833="","",'[2]2021_Base RPA'!$F833)</f>
        <v>8843</v>
      </c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327">
        <v>29</v>
      </c>
      <c r="B62" s="63">
        <f>IF('[2]2021_Base RPA'!$F724="","",'[2]2021_Base RPA'!$F724)</f>
        <v>8906</v>
      </c>
      <c r="C62" s="179">
        <v>29</v>
      </c>
      <c r="D62" s="63">
        <f>IF('[2]2021_Base RPA'!$F747="","",'[2]2021_Base RPA'!$F747)</f>
        <v>9116</v>
      </c>
      <c r="E62" s="316">
        <v>30</v>
      </c>
      <c r="F62" s="63">
        <f>IF('[2]2021_Base RPA'!$F769="","",'[2]2021_Base RPA'!$F769)</f>
        <v>9767</v>
      </c>
      <c r="G62" s="41">
        <v>29</v>
      </c>
      <c r="H62" s="63">
        <f>IF('[2]2021_Base RPA'!$F790="","",'[2]2021_Base RPA'!$F790)</f>
        <v>9431</v>
      </c>
      <c r="I62" s="314">
        <v>29</v>
      </c>
      <c r="J62" s="63">
        <f>IF('[2]2021_Base RPA'!$F813="","",'[2]2021_Base RPA'!$F813)</f>
        <v>8879</v>
      </c>
      <c r="K62" s="71">
        <v>30</v>
      </c>
      <c r="L62" s="63">
        <f>IF('[2]2021_Base RPA'!$F834="","",'[2]2021_Base RPA'!$F834)</f>
        <v>8833</v>
      </c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327">
        <v>30</v>
      </c>
      <c r="B63" s="63">
        <f>IF('[2]2021_Base RPA'!$F725="","",'[2]2021_Base RPA'!$F725)</f>
        <v>8809</v>
      </c>
      <c r="C63" s="41">
        <v>30</v>
      </c>
      <c r="D63" s="63">
        <f>IF('[2]2021_Base RPA'!$F748="","",'[2]2021_Base RPA'!$F748)</f>
        <v>9215</v>
      </c>
      <c r="E63" s="314"/>
      <c r="F63" s="63">
        <f>IF('[2]2021_Base RPA'!$F770="","",'[2]2021_Base RPA'!$F770)</f>
        <v>9741</v>
      </c>
      <c r="G63" s="314">
        <v>30</v>
      </c>
      <c r="H63" s="63">
        <f>IF('[2]2021_Base RPA'!$F791="","",'[2]2021_Base RPA'!$F791)</f>
        <v>9356</v>
      </c>
      <c r="I63" s="316"/>
      <c r="J63" s="273"/>
      <c r="K63" s="323">
        <v>31</v>
      </c>
      <c r="L63" s="328">
        <f>IF('[2]2021_Base RPA'!$F835="","",'[2]2021_Base RPA'!$F835)</f>
        <v>8706</v>
      </c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x14ac:dyDescent="0.35">
      <c r="A64" s="327">
        <v>31</v>
      </c>
      <c r="B64" s="63">
        <f>IF('[2]2021_Base RPA'!$F726="","",'[2]2021_Base RPA'!$F726)</f>
        <v>9014.5</v>
      </c>
      <c r="C64" s="41"/>
      <c r="D64" s="63"/>
      <c r="E64" s="314"/>
      <c r="F64" s="213"/>
      <c r="G64" s="316">
        <v>31</v>
      </c>
      <c r="H64" s="273">
        <f>IF('[2]2021_Base RPA'!$F792="","",'[2]2021_Base RPA'!$F792)</f>
        <v>9427</v>
      </c>
      <c r="I64" s="316"/>
      <c r="J64" s="273"/>
      <c r="K64" s="337"/>
      <c r="L64" s="338"/>
    </row>
    <row r="65" spans="1:20" ht="15" thickBot="1" x14ac:dyDescent="0.4">
      <c r="A65" s="384">
        <f>B66/L29-1</f>
        <v>-2.522448382931386E-2</v>
      </c>
      <c r="B65" s="385"/>
      <c r="C65" s="384">
        <f>D66/B66-1</f>
        <v>-4.4016690503631106E-2</v>
      </c>
      <c r="D65" s="385"/>
      <c r="E65" s="384">
        <f>F66/D66-1</f>
        <v>3.0562190633682595E-2</v>
      </c>
      <c r="F65" s="385"/>
      <c r="G65" s="384">
        <f>H66/F66-1</f>
        <v>3.0767640654252748E-2</v>
      </c>
      <c r="H65" s="385"/>
      <c r="I65" s="384"/>
      <c r="J65" s="385"/>
      <c r="K65" s="384">
        <f>L66/J66-1</f>
        <v>-1.7109022645162786E-2</v>
      </c>
      <c r="L65" s="385"/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65" t="s">
        <v>10</v>
      </c>
      <c r="B66" s="66">
        <f>AVERAGE(B42:B64)</f>
        <v>9393.5217391304341</v>
      </c>
      <c r="C66" s="55" t="s">
        <v>10</v>
      </c>
      <c r="D66" s="66">
        <f>AVERAGE(D42:D64)</f>
        <v>8980.0499999999993</v>
      </c>
      <c r="E66" s="55" t="s">
        <v>10</v>
      </c>
      <c r="F66" s="66">
        <f>AVERAGE(F42:F62)</f>
        <v>9254.5</v>
      </c>
      <c r="G66" s="55" t="s">
        <v>10</v>
      </c>
      <c r="H66" s="66">
        <f>AVERAGE(H42:H64)</f>
        <v>9539.2391304347821</v>
      </c>
      <c r="I66" s="56" t="s">
        <v>10</v>
      </c>
      <c r="J66" s="66">
        <f>AVERAGE(J42:J62)</f>
        <v>9074.7857142857138</v>
      </c>
      <c r="K66" s="55" t="s">
        <v>10</v>
      </c>
      <c r="L66" s="66">
        <f>AVERAGE(L42:L63)</f>
        <v>8919.5249999999996</v>
      </c>
      <c r="O66" t="e">
        <f>#REF!</f>
        <v>#REF!</v>
      </c>
      <c r="P66" t="e">
        <f>#REF!</f>
        <v>#REF!</v>
      </c>
      <c r="Q66" t="e">
        <f>#REF!</f>
        <v>#REF!</v>
      </c>
      <c r="R66" t="e">
        <f>#REF!</f>
        <v>#REF!</v>
      </c>
      <c r="S66" t="e">
        <f>#REF!</f>
        <v>#REF!</v>
      </c>
      <c r="T66" t="e">
        <f>#REF!</f>
        <v>#REF!</v>
      </c>
    </row>
    <row r="67" spans="1:20" ht="15" thickBot="1" x14ac:dyDescent="0.4">
      <c r="A67" s="386"/>
      <c r="B67" s="387"/>
      <c r="C67" s="407"/>
      <c r="D67" s="412"/>
      <c r="E67" s="388"/>
      <c r="F67" s="390"/>
      <c r="G67" s="388"/>
      <c r="H67" s="390"/>
      <c r="I67" s="391"/>
      <c r="J67" s="391"/>
      <c r="K67" s="403"/>
      <c r="L67" s="400"/>
    </row>
    <row r="68" spans="1:20" ht="15" thickBot="1" x14ac:dyDescent="0.4">
      <c r="A68" s="67" t="s">
        <v>11</v>
      </c>
      <c r="B68" s="67">
        <f>B66*A69</f>
        <v>52017.198410018893</v>
      </c>
      <c r="C68" s="67" t="s">
        <v>11</v>
      </c>
      <c r="D68" s="99">
        <f>D66*C69</f>
        <v>49857.360055227276</v>
      </c>
      <c r="E68" s="67" t="s">
        <v>11</v>
      </c>
      <c r="F68" s="67">
        <f>F66*E69</f>
        <v>51278.876016666669</v>
      </c>
      <c r="G68" s="67" t="s">
        <v>11</v>
      </c>
      <c r="H68" s="67">
        <f>H66*G69</f>
        <v>53453.317252173903</v>
      </c>
      <c r="I68" s="67" t="s">
        <v>11</v>
      </c>
      <c r="J68" s="67">
        <f>J66*I69</f>
        <v>52686.650179591838</v>
      </c>
      <c r="K68" s="67" t="s">
        <v>11</v>
      </c>
      <c r="L68" s="67">
        <f>L66*K69</f>
        <v>54323.644955714284</v>
      </c>
      <c r="M68" s="79"/>
    </row>
    <row r="69" spans="1:20" ht="15" thickBot="1" x14ac:dyDescent="0.4">
      <c r="A69" s="67">
        <f>AVERAGE('[2]2021_Base RPA'!$B$704:$B$726)</f>
        <v>5.5375608695652163</v>
      </c>
      <c r="B69" s="73">
        <f>B68/L30-1</f>
        <v>2.0017755315298036E-3</v>
      </c>
      <c r="C69" s="67">
        <f>AVERAGE('[2]2021_Base RPA'!$B$727:$B$748)</f>
        <v>5.552013636363637</v>
      </c>
      <c r="D69" s="73">
        <f>D68/B68-1</f>
        <v>-4.1521620171985574E-2</v>
      </c>
      <c r="E69" s="67">
        <f>AVERAGE('[2]2021_Base RPA'!$B$749:$B$769)</f>
        <v>5.5409666666666668</v>
      </c>
      <c r="F69" s="73">
        <f>F68/D68-1</f>
        <v>2.8511657253107003E-2</v>
      </c>
      <c r="G69" s="67">
        <f>AVERAGE('[2]2021_Base RPA'!B$770:B$789)</f>
        <v>5.6035199999999996</v>
      </c>
      <c r="H69" s="73">
        <f>H68/F68-1</f>
        <v>4.2404229663701942E-2</v>
      </c>
      <c r="I69" s="339">
        <f>AVERAGE('[2]2021_Base RPA'!$B$793:$B$813)</f>
        <v>5.805828571428572</v>
      </c>
      <c r="J69" s="73">
        <f>J68/H68-1</f>
        <v>-1.4342740768832019E-2</v>
      </c>
      <c r="K69" s="67">
        <f>AVERAGE('[2]2021_Base RPA'!$B$814:$B$835)</f>
        <v>6.0904190476190481</v>
      </c>
      <c r="L69" s="73">
        <f>L68/J68-1</f>
        <v>3.1070390137586168E-2</v>
      </c>
      <c r="M69">
        <f>'[2]2021_Base RPA'!$Q$535</f>
        <v>0</v>
      </c>
      <c r="O69" s="125"/>
    </row>
    <row r="70" spans="1:20" x14ac:dyDescent="0.35">
      <c r="A70" s="318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20"/>
      <c r="N70" s="106"/>
      <c r="O70" s="80"/>
      <c r="P70" s="106"/>
    </row>
    <row r="71" spans="1:20" x14ac:dyDescent="0.35">
      <c r="A71" s="90"/>
      <c r="B71" s="75"/>
      <c r="C71" s="38"/>
      <c r="D71" s="113"/>
      <c r="E71" s="37"/>
      <c r="F71" s="37"/>
      <c r="G71" s="36"/>
      <c r="H71" s="37"/>
      <c r="I71" s="36"/>
      <c r="J71" s="39"/>
      <c r="K71" s="38"/>
      <c r="L71" s="100"/>
    </row>
    <row r="72" spans="1:20" ht="23.5" x14ac:dyDescent="0.35">
      <c r="A72" s="74"/>
      <c r="B72" s="75"/>
      <c r="C72" s="38"/>
      <c r="D72" s="36"/>
      <c r="E72" s="108" t="s">
        <v>66</v>
      </c>
      <c r="G72" s="78"/>
      <c r="J72" s="78"/>
      <c r="K72" s="78"/>
      <c r="L72" s="100"/>
    </row>
    <row r="73" spans="1:20" x14ac:dyDescent="0.35">
      <c r="A73" s="74"/>
      <c r="B73" s="75"/>
      <c r="C73" s="38"/>
      <c r="D73" s="36"/>
      <c r="E73" s="37"/>
      <c r="F73" s="81"/>
      <c r="G73" s="81"/>
      <c r="H73" s="94"/>
      <c r="I73" s="36"/>
      <c r="J73" s="97"/>
      <c r="K73" s="38"/>
      <c r="L73" s="38"/>
    </row>
    <row r="74" spans="1:20" x14ac:dyDescent="0.35">
      <c r="F74" s="81"/>
      <c r="G74" s="81"/>
      <c r="H74" s="95"/>
      <c r="I74" s="96"/>
      <c r="J74" s="97"/>
      <c r="K74" s="96"/>
    </row>
  </sheetData>
  <mergeCells count="50">
    <mergeCell ref="A1:L1"/>
    <mergeCell ref="A2:B2"/>
    <mergeCell ref="C2:D2"/>
    <mergeCell ref="E2:F2"/>
    <mergeCell ref="G2:H2"/>
    <mergeCell ref="I2:J2"/>
    <mergeCell ref="K2:L2"/>
    <mergeCell ref="C26:D26"/>
    <mergeCell ref="A27:B27"/>
    <mergeCell ref="C27:D27"/>
    <mergeCell ref="G27:H27"/>
    <mergeCell ref="K27:L27"/>
    <mergeCell ref="K28:L28"/>
    <mergeCell ref="I27:J27"/>
    <mergeCell ref="A32:L32"/>
    <mergeCell ref="A33:B33"/>
    <mergeCell ref="C33:D33"/>
    <mergeCell ref="E33:F33"/>
    <mergeCell ref="G33:H33"/>
    <mergeCell ref="I33:J33"/>
    <mergeCell ref="K33:L33"/>
    <mergeCell ref="A28:B28"/>
    <mergeCell ref="C28:D28"/>
    <mergeCell ref="E28:F28"/>
    <mergeCell ref="G28:H28"/>
    <mergeCell ref="I28:J28"/>
    <mergeCell ref="K40:L40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65:L65"/>
    <mergeCell ref="A67:B67"/>
    <mergeCell ref="C67:D67"/>
    <mergeCell ref="E67:F67"/>
    <mergeCell ref="G67:H67"/>
    <mergeCell ref="I67:J67"/>
    <mergeCell ref="K67:L67"/>
    <mergeCell ref="A65:B65"/>
    <mergeCell ref="C65:D65"/>
    <mergeCell ref="E65:F65"/>
    <mergeCell ref="G65:H65"/>
    <mergeCell ref="I65:J6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98C-688D-4649-A4C3-997B9CA6C0A8}">
  <dimension ref="A1:X74"/>
  <sheetViews>
    <sheetView topLeftCell="A52" workbookViewId="0">
      <selection activeCell="B69" sqref="B69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9.1796875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  <col min="21" max="21" width="9.7265625" bestFit="1" customWidth="1"/>
  </cols>
  <sheetData>
    <row r="1" spans="1:20" ht="15" thickBot="1" x14ac:dyDescent="0.4">
      <c r="A1" s="381" t="s">
        <v>347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414">
        <v>45658</v>
      </c>
      <c r="B2" s="397"/>
      <c r="C2" s="414">
        <v>45689</v>
      </c>
      <c r="D2" s="397"/>
      <c r="E2" s="414">
        <v>45717</v>
      </c>
      <c r="F2" s="397"/>
      <c r="G2" s="414">
        <v>45748</v>
      </c>
      <c r="H2" s="397"/>
      <c r="I2" s="414">
        <v>45778</v>
      </c>
      <c r="J2" s="397"/>
      <c r="K2" s="414">
        <v>45809</v>
      </c>
      <c r="L2" s="397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4"/>
      <c r="B4" s="63"/>
      <c r="C4" s="41">
        <v>3</v>
      </c>
      <c r="D4" s="63">
        <f>IF('[2]2021_Base RPA'!$F858="","",'[2]2021_Base RPA'!$F858)</f>
        <v>8866.5</v>
      </c>
      <c r="E4" s="41">
        <v>1</v>
      </c>
      <c r="F4" s="63">
        <f>IF('[2]2021_Base RPA'!$F878="","",'[2]2021_Base RPA'!$F878)</f>
        <v>9360.5</v>
      </c>
      <c r="G4" s="41">
        <v>1</v>
      </c>
      <c r="H4" s="63">
        <f>IF('[2]2021_Base RPA'!$F899="","",'[2]2021_Base RPA'!$F899)</f>
        <v>9652</v>
      </c>
      <c r="I4" s="49">
        <v>1</v>
      </c>
      <c r="J4" s="63">
        <f>IF('[2]2021_Base RPA'!$F919="","",'[2]2021_Base RPA'!$F919)</f>
        <v>9195</v>
      </c>
      <c r="K4" s="41">
        <v>2</v>
      </c>
      <c r="L4" s="63">
        <f>IF('[2]2021_Base RPA'!$F941="","",'[2]2021_Base RPA'!$F941)</f>
        <v>9655</v>
      </c>
      <c r="O4" s="81"/>
      <c r="P4" s="77"/>
      <c r="Q4" s="79"/>
      <c r="R4" s="80"/>
      <c r="S4" s="79"/>
      <c r="T4" s="79"/>
    </row>
    <row r="5" spans="1:20" x14ac:dyDescent="0.35">
      <c r="A5" s="41">
        <v>2</v>
      </c>
      <c r="B5" s="63">
        <f>IF('[2]2021_Base RPA'!$F836="","",'[2]2021_Base RPA'!$F836)</f>
        <v>8685.5</v>
      </c>
      <c r="C5" s="41">
        <v>4</v>
      </c>
      <c r="D5" s="63">
        <f>IF('[2]2021_Base RPA'!$F859="","",'[2]2021_Base RPA'!$F859)</f>
        <v>8993</v>
      </c>
      <c r="E5" s="41">
        <v>4</v>
      </c>
      <c r="F5" s="63">
        <f>IF('[2]2021_Base RPA'!$F879="","",'[2]2021_Base RPA'!$F879)</f>
        <v>9395</v>
      </c>
      <c r="G5" s="41">
        <v>2</v>
      </c>
      <c r="H5" s="63">
        <f>IF('[2]2021_Base RPA'!$F900="","",'[2]2021_Base RPA'!$F900)</f>
        <v>9646</v>
      </c>
      <c r="I5" s="49">
        <v>2</v>
      </c>
      <c r="J5" s="63">
        <f>IF('[2]2021_Base RPA'!$F920="","",'[2]2021_Base RPA'!$F920)</f>
        <v>9376</v>
      </c>
      <c r="K5" s="41">
        <v>3</v>
      </c>
      <c r="L5" s="63">
        <f>IF('[2]2021_Base RPA'!$F942="","",'[2]2021_Base RPA'!$F942)</f>
        <v>9643</v>
      </c>
      <c r="O5" s="81">
        <v>41306</v>
      </c>
      <c r="P5" s="77">
        <v>8070.4750000000004</v>
      </c>
      <c r="Q5" s="79">
        <v>2.6374578306040952E-3</v>
      </c>
      <c r="R5" s="80">
        <v>15912.555557500002</v>
      </c>
      <c r="S5" s="79">
        <v>-2.7642380795532939E-2</v>
      </c>
      <c r="T5" s="79"/>
    </row>
    <row r="6" spans="1:20" x14ac:dyDescent="0.35">
      <c r="A6" s="41">
        <v>3</v>
      </c>
      <c r="B6" s="63">
        <f>IF('[2]2021_Base RPA'!$F837="","",'[2]2021_Base RPA'!$F837)</f>
        <v>8701</v>
      </c>
      <c r="C6" s="41">
        <v>5</v>
      </c>
      <c r="D6" s="63">
        <f>IF('[2]2021_Base RPA'!$F860="","",'[2]2021_Base RPA'!$F860)</f>
        <v>9025</v>
      </c>
      <c r="E6" s="41">
        <v>5</v>
      </c>
      <c r="F6" s="63">
        <f>IF('[2]2021_Base RPA'!$F880="","",'[2]2021_Base RPA'!$F880)</f>
        <v>9541</v>
      </c>
      <c r="G6" s="41">
        <v>3</v>
      </c>
      <c r="H6" s="63">
        <f>IF('[2]2021_Base RPA'!$F901="","",'[2]2021_Base RPA'!$F901)</f>
        <v>9397</v>
      </c>
      <c r="I6" s="49">
        <v>3</v>
      </c>
      <c r="J6" s="63" t="str">
        <f>IF('[2]2021_Base RPA'!$F921="","",'[2]2021_Base RPA'!$F921)</f>
        <v>FERIADO</v>
      </c>
      <c r="K6" s="41">
        <v>4</v>
      </c>
      <c r="L6" s="63">
        <f>IF('[2]2021_Base RPA'!$F943="","",'[2]2021_Base RPA'!$F943)</f>
        <v>9673.5</v>
      </c>
      <c r="O6" s="81">
        <v>41334</v>
      </c>
      <c r="P6" s="77">
        <v>7662.4</v>
      </c>
      <c r="Q6" s="79">
        <v>-5.0563938305985823E-2</v>
      </c>
      <c r="R6" s="80">
        <v>15212.928959999999</v>
      </c>
      <c r="S6" s="79">
        <v>-4.396695395481276E-2</v>
      </c>
      <c r="T6" s="79"/>
    </row>
    <row r="7" spans="1:20" x14ac:dyDescent="0.35">
      <c r="A7" s="41">
        <v>6</v>
      </c>
      <c r="B7" s="63">
        <f>IF('[2]2021_Base RPA'!$F838="","",'[2]2021_Base RPA'!$F838)</f>
        <v>8893.5</v>
      </c>
      <c r="C7" s="41">
        <v>6</v>
      </c>
      <c r="D7" s="63">
        <f>IF('[2]2021_Base RPA'!$F861="","",'[2]2021_Base RPA'!$F861)</f>
        <v>9166</v>
      </c>
      <c r="E7" s="41">
        <v>6</v>
      </c>
      <c r="F7" s="63">
        <f>IF('[2]2021_Base RPA'!$F881="","",'[2]2021_Base RPA'!$F881)</f>
        <v>9654</v>
      </c>
      <c r="G7" s="41">
        <v>4</v>
      </c>
      <c r="H7" s="63">
        <f>IF('[2]2021_Base RPA'!$F902="","",'[2]2021_Base RPA'!$F902)</f>
        <v>8830.5</v>
      </c>
      <c r="I7" s="49">
        <v>6</v>
      </c>
      <c r="J7" s="63">
        <f>IF('[2]2021_Base RPA'!$F922="","",'[2]2021_Base RPA'!$F922)</f>
        <v>9500</v>
      </c>
      <c r="K7" s="41">
        <v>5</v>
      </c>
      <c r="L7" s="63">
        <f>IF('[2]2021_Base RPA'!$F944="","",'[2]2021_Base RPA'!$F944)</f>
        <v>9834</v>
      </c>
      <c r="O7" s="81">
        <v>41365</v>
      </c>
      <c r="P7" s="77">
        <v>7203.3571428571431</v>
      </c>
      <c r="Q7" s="79">
        <v>-5.9908495659696248E-2</v>
      </c>
      <c r="R7" s="80">
        <v>14413.917642857143</v>
      </c>
      <c r="S7" s="79">
        <v>-5.2521859481742816E-2</v>
      </c>
      <c r="T7" s="79"/>
    </row>
    <row r="8" spans="1:20" x14ac:dyDescent="0.35">
      <c r="A8" s="41">
        <v>7</v>
      </c>
      <c r="B8" s="63">
        <f>IF('[2]2021_Base RPA'!$F839="","",'[2]2021_Base RPA'!$F839)</f>
        <v>8886</v>
      </c>
      <c r="C8" s="41">
        <v>7</v>
      </c>
      <c r="D8" s="63">
        <f>IF('[2]2021_Base RPA'!$F862="","",'[2]2021_Base RPA'!$F862)</f>
        <v>9288</v>
      </c>
      <c r="E8" s="41">
        <v>7</v>
      </c>
      <c r="F8" s="63">
        <f>IF('[2]2021_Base RPA'!$F882="","",'[2]2021_Base RPA'!$F882)</f>
        <v>9664</v>
      </c>
      <c r="G8" s="41">
        <v>7</v>
      </c>
      <c r="H8" s="63">
        <f>IF('[2]2021_Base RPA'!$F903="","",'[2]2021_Base RPA'!$F903)</f>
        <v>8825</v>
      </c>
      <c r="I8" s="49">
        <v>7</v>
      </c>
      <c r="J8" s="63">
        <f>IF('[2]2021_Base RPA'!$F923="","",'[2]2021_Base RPA'!$F923)</f>
        <v>9486</v>
      </c>
      <c r="K8" s="41">
        <v>6</v>
      </c>
      <c r="L8" s="63">
        <f>IF('[2]2021_Base RPA'!$F945="","",'[2]2021_Base RPA'!$F945)</f>
        <v>9795</v>
      </c>
      <c r="O8" s="81">
        <v>41395</v>
      </c>
      <c r="P8" s="77">
        <v>7229.1428571428569</v>
      </c>
      <c r="Q8" s="79">
        <v>3.5796801094727382E-3</v>
      </c>
      <c r="R8" s="80">
        <v>14704.07657142857</v>
      </c>
      <c r="S8" s="79">
        <v>2.0130469436615339E-2</v>
      </c>
      <c r="T8" s="79"/>
    </row>
    <row r="9" spans="1:20" x14ac:dyDescent="0.35">
      <c r="A9" s="41">
        <v>8</v>
      </c>
      <c r="B9" s="63">
        <f>IF('[2]2021_Base RPA'!$F840="","",'[2]2021_Base RPA'!$F840)</f>
        <v>8847</v>
      </c>
      <c r="C9" s="41">
        <v>10</v>
      </c>
      <c r="D9" s="63">
        <f>IF('[2]2021_Base RPA'!$F863="","",'[2]2021_Base RPA'!$F863)</f>
        <v>9287.5</v>
      </c>
      <c r="E9" s="41">
        <v>8</v>
      </c>
      <c r="F9" s="63">
        <f>IF('[2]2021_Base RPA'!$F883="","",'[2]2021_Base RPA'!$F883)</f>
        <v>9547</v>
      </c>
      <c r="G9" s="41">
        <v>8</v>
      </c>
      <c r="H9" s="63">
        <f>IF('[2]2021_Base RPA'!$F904="","",'[2]2021_Base RPA'!$F904)</f>
        <v>8760</v>
      </c>
      <c r="I9" s="49">
        <v>8</v>
      </c>
      <c r="J9" s="63">
        <f>IF('[2]2021_Base RPA'!$F924="","",'[2]2021_Base RPA'!$F924)</f>
        <v>9413</v>
      </c>
      <c r="K9" s="41">
        <v>9</v>
      </c>
      <c r="L9" s="63">
        <f>IF('[2]2021_Base RPA'!$F946="","",'[2]2021_Base RPA'!$F946)</f>
        <v>9849</v>
      </c>
      <c r="O9" s="81">
        <v>41426</v>
      </c>
      <c r="P9" s="77">
        <v>7004.05</v>
      </c>
      <c r="Q9" s="79">
        <v>-3.1136866650857575E-2</v>
      </c>
      <c r="R9" s="80">
        <v>15198.788500000001</v>
      </c>
      <c r="S9" s="79">
        <v>3.3644542461966243E-2</v>
      </c>
      <c r="T9" s="79"/>
    </row>
    <row r="10" spans="1:20" x14ac:dyDescent="0.35">
      <c r="A10" s="41">
        <v>9</v>
      </c>
      <c r="B10" s="63">
        <f>IF('[2]2021_Base RPA'!$F841="","",'[2]2021_Base RPA'!$F841)</f>
        <v>8960.5</v>
      </c>
      <c r="C10" s="41">
        <v>11</v>
      </c>
      <c r="D10" s="63">
        <f>IF('[2]2021_Base RPA'!$F864="","",'[2]2021_Base RPA'!$F864)</f>
        <v>9245</v>
      </c>
      <c r="E10" s="41">
        <v>11</v>
      </c>
      <c r="F10" s="63">
        <f>IF('[2]2021_Base RPA'!$F884="","",'[2]2021_Base RPA'!$F884)</f>
        <v>9628</v>
      </c>
      <c r="G10" s="41">
        <v>9</v>
      </c>
      <c r="H10" s="63">
        <f>IF('[2]2021_Base RPA'!$F905="","",'[2]2021_Base RPA'!$F905)</f>
        <v>8539</v>
      </c>
      <c r="I10" s="49">
        <v>9</v>
      </c>
      <c r="J10" s="63">
        <f>IF('[2]2021_Base RPA'!$F925="","",'[2]2021_Base RPA'!$F925)</f>
        <v>9485.5</v>
      </c>
      <c r="K10" s="41">
        <v>10</v>
      </c>
      <c r="L10" s="63">
        <f>IF('[2]2021_Base RPA'!$F947="","",'[2]2021_Base RPA'!$F947)</f>
        <v>9854</v>
      </c>
      <c r="O10" s="81">
        <v>41456</v>
      </c>
      <c r="P10" s="77">
        <v>6896.977272727273</v>
      </c>
      <c r="Q10" s="79">
        <v>-1.528725912475315E-2</v>
      </c>
      <c r="R10" s="80">
        <v>15536.682762727272</v>
      </c>
      <c r="S10" s="79">
        <v>2.223165765661328E-2</v>
      </c>
      <c r="T10" s="79"/>
    </row>
    <row r="11" spans="1:20" x14ac:dyDescent="0.35">
      <c r="A11" s="41">
        <v>10</v>
      </c>
      <c r="B11" s="63">
        <f>IF('[2]2021_Base RPA'!$F842="","",'[2]2021_Base RPA'!$F842)</f>
        <v>8995.5</v>
      </c>
      <c r="C11" s="41">
        <v>12</v>
      </c>
      <c r="D11" s="63">
        <f>IF('[2]2021_Base RPA'!$F865="","",'[2]2021_Base RPA'!$F865)</f>
        <v>9277.5</v>
      </c>
      <c r="E11" s="41">
        <v>12</v>
      </c>
      <c r="F11" s="63">
        <f>IF('[2]2021_Base RPA'!$F885="","",'[2]2021_Base RPA'!$F885)</f>
        <v>9766</v>
      </c>
      <c r="G11" s="41">
        <v>10</v>
      </c>
      <c r="H11" s="63">
        <f>IF('[2]2021_Base RPA'!$F906="","",'[2]2021_Base RPA'!$F906)</f>
        <v>8978</v>
      </c>
      <c r="I11" s="49">
        <v>10</v>
      </c>
      <c r="J11" s="63">
        <f>IF('[2]2021_Base RPA'!$F926="","",'[2]2021_Base RPA'!$F926)</f>
        <v>9590</v>
      </c>
      <c r="K11" s="41">
        <v>11</v>
      </c>
      <c r="L11" s="63">
        <f>IF('[2]2021_Base RPA'!$F948="","",'[2]2021_Base RPA'!$F948)</f>
        <v>9730</v>
      </c>
      <c r="O11" s="81">
        <v>41487</v>
      </c>
      <c r="P11" s="77">
        <v>7182.2619047619046</v>
      </c>
      <c r="Q11" s="79">
        <v>4.1363719315522962E-2</v>
      </c>
      <c r="R11" s="80">
        <v>16802.901726190477</v>
      </c>
      <c r="S11" s="79">
        <v>8.1498668847180378E-2</v>
      </c>
      <c r="T11" s="79"/>
    </row>
    <row r="12" spans="1:20" x14ac:dyDescent="0.35">
      <c r="A12" s="41">
        <v>13</v>
      </c>
      <c r="B12" s="63">
        <f>IF('[2]2021_Base RPA'!$F843="","",'[2]2021_Base RPA'!$F843)</f>
        <v>8980</v>
      </c>
      <c r="C12" s="41">
        <v>13</v>
      </c>
      <c r="D12" s="63">
        <f>IF('[2]2021_Base RPA'!$F866="","",'[2]2021_Base RPA'!$F866)</f>
        <v>9362</v>
      </c>
      <c r="E12" s="41">
        <v>13</v>
      </c>
      <c r="F12" s="63">
        <f>IF('[2]2021_Base RPA'!$F886="","",'[2]2021_Base RPA'!$F886)</f>
        <v>9702.5</v>
      </c>
      <c r="G12" s="41">
        <v>11</v>
      </c>
      <c r="H12" s="63">
        <f>IF('[2]2021_Base RPA'!$F907="","",'[2]2021_Base RPA'!$F907)</f>
        <v>9180</v>
      </c>
      <c r="I12" s="49">
        <v>13</v>
      </c>
      <c r="J12" s="63">
        <f>IF('[2]2021_Base RPA'!$F927="","",'[2]2021_Base RPA'!$F927)</f>
        <v>9534</v>
      </c>
      <c r="K12" s="41">
        <v>12</v>
      </c>
      <c r="L12" s="63">
        <f>IF('[2]2021_Base RPA'!$F949="","",'[2]2021_Base RPA'!$F949)</f>
        <v>9779</v>
      </c>
      <c r="O12" s="81">
        <v>41518</v>
      </c>
      <c r="P12" s="77">
        <v>7161.4285714285716</v>
      </c>
      <c r="Q12" s="79">
        <v>-2.9006646665892255E-3</v>
      </c>
      <c r="R12" s="80">
        <v>16264.320428571429</v>
      </c>
      <c r="S12" s="79">
        <v>-3.2052874342505255E-2</v>
      </c>
      <c r="T12" s="79"/>
    </row>
    <row r="13" spans="1:20" x14ac:dyDescent="0.35">
      <c r="A13" s="41">
        <v>14</v>
      </c>
      <c r="B13" s="63">
        <f>IF('[2]2021_Base RPA'!$F844="","",'[2]2021_Base RPA'!$F844)</f>
        <v>9016</v>
      </c>
      <c r="C13" s="41">
        <v>14</v>
      </c>
      <c r="D13" s="63">
        <f>IF('[2]2021_Base RPA'!$F867="","",'[2]2021_Base RPA'!$F867)</f>
        <v>9812</v>
      </c>
      <c r="E13" s="41">
        <v>14</v>
      </c>
      <c r="F13" s="63">
        <f>IF('[2]2021_Base RPA'!$F887="","",'[2]2021_Base RPA'!$F887)</f>
        <v>9759</v>
      </c>
      <c r="G13" s="41">
        <v>14</v>
      </c>
      <c r="H13" s="63">
        <f>IF('[2]2021_Base RPA'!$F908="","",'[2]2021_Base RPA'!$F908)</f>
        <v>9212.5</v>
      </c>
      <c r="I13" s="49">
        <v>14</v>
      </c>
      <c r="J13" s="63">
        <f>IF('[2]2021_Base RPA'!$F928="","",'[2]2021_Base RPA'!$F928)</f>
        <v>9649.5</v>
      </c>
      <c r="K13" s="41">
        <v>13</v>
      </c>
      <c r="L13" s="63">
        <f>IF('[2]2021_Base RPA'!$F950="","",'[2]2021_Base RPA'!$F950)</f>
        <v>9658</v>
      </c>
      <c r="O13" s="81">
        <v>41548</v>
      </c>
      <c r="P13" s="77">
        <v>7188.782608695652</v>
      </c>
      <c r="Q13" s="79">
        <v>3.8196341685530211E-3</v>
      </c>
      <c r="R13" s="80">
        <v>15720.429808695651</v>
      </c>
      <c r="S13" s="79">
        <v>-3.3440722117127564E-2</v>
      </c>
      <c r="T13" s="79"/>
    </row>
    <row r="14" spans="1:20" x14ac:dyDescent="0.35">
      <c r="A14" s="179">
        <v>15</v>
      </c>
      <c r="B14" s="63">
        <f>IF('[2]2021_Base RPA'!$F845="","",'[2]2021_Base RPA'!$F845)</f>
        <v>9020</v>
      </c>
      <c r="C14" s="41">
        <v>17</v>
      </c>
      <c r="D14" s="63">
        <f>IF('[2]2021_Base RPA'!$F868="","",'[2]2021_Base RPA'!$F868)</f>
        <v>9291</v>
      </c>
      <c r="E14" s="41">
        <v>15</v>
      </c>
      <c r="F14" s="63">
        <f>IF('[2]2021_Base RPA'!$F888="","",'[2]2021_Base RPA'!$F888)</f>
        <v>9748</v>
      </c>
      <c r="G14" s="41">
        <v>15</v>
      </c>
      <c r="H14" s="63">
        <f>IF('[2]2021_Base RPA'!$F909="","",'[2]2021_Base RPA'!$F909)</f>
        <v>9094</v>
      </c>
      <c r="I14" s="49">
        <v>15</v>
      </c>
      <c r="J14" s="63">
        <f>IF('[2]2021_Base RPA'!$F929="","",'[2]2021_Base RPA'!$F929)</f>
        <v>9537.5</v>
      </c>
      <c r="K14" s="41">
        <v>16</v>
      </c>
      <c r="L14" s="63">
        <f>IF('[2]2021_Base RPA'!$F951="","",'[2]2021_Base RPA'!$F951)</f>
        <v>9738</v>
      </c>
      <c r="O14" s="81">
        <v>41579</v>
      </c>
      <c r="P14" s="77">
        <v>7066.4047619047615</v>
      </c>
      <c r="Q14" s="79">
        <v>-1.7023445199589204E-2</v>
      </c>
      <c r="R14" s="80">
        <v>16235.77158095238</v>
      </c>
      <c r="S14" s="79">
        <v>3.2781659186676304E-2</v>
      </c>
      <c r="T14" s="79"/>
    </row>
    <row r="15" spans="1:20" x14ac:dyDescent="0.35">
      <c r="A15" s="41">
        <v>16</v>
      </c>
      <c r="B15" s="63">
        <f>IF('[2]2021_Base RPA'!$F846="","",'[2]2021_Base RPA'!$F846)</f>
        <v>9135</v>
      </c>
      <c r="C15" s="41">
        <v>18</v>
      </c>
      <c r="D15" s="63">
        <f>IF('[2]2021_Base RPA'!$F869="","",'[2]2021_Base RPA'!$F869)</f>
        <v>9285</v>
      </c>
      <c r="E15" s="41">
        <v>18</v>
      </c>
      <c r="F15" s="63">
        <f>IF('[2]2021_Base RPA'!$F889="","",'[2]2021_Base RPA'!$F889)</f>
        <v>9834</v>
      </c>
      <c r="G15" s="41">
        <v>16</v>
      </c>
      <c r="H15" s="63">
        <f>IF('[2]2021_Base RPA'!$F910="","",'[2]2021_Base RPA'!$F910)</f>
        <v>9083</v>
      </c>
      <c r="I15" s="49">
        <v>16</v>
      </c>
      <c r="J15" s="63">
        <f>IF('[2]2021_Base RPA'!$F930="","",'[2]2021_Base RPA'!$F930)</f>
        <v>9534</v>
      </c>
      <c r="K15" s="41">
        <v>17</v>
      </c>
      <c r="L15" s="63">
        <f>IF('[2]2021_Base RPA'!$F952="","",'[2]2021_Base RPA'!$F952)</f>
        <v>9820.5</v>
      </c>
      <c r="O15" s="81">
        <v>41609</v>
      </c>
      <c r="P15" s="77">
        <v>7202.95</v>
      </c>
      <c r="Q15" s="79">
        <v>1.9323155507785073E-2</v>
      </c>
      <c r="R15" s="80">
        <v>16911.086009999999</v>
      </c>
      <c r="S15" s="79">
        <v>4.1594230719523617E-2</v>
      </c>
      <c r="T15" s="79"/>
    </row>
    <row r="16" spans="1:20" x14ac:dyDescent="0.35">
      <c r="A16" s="41">
        <v>17</v>
      </c>
      <c r="B16" s="63">
        <f>IF('[2]2021_Base RPA'!$F847="","",'[2]2021_Base RPA'!$F847)</f>
        <v>9132</v>
      </c>
      <c r="C16" s="41">
        <v>19</v>
      </c>
      <c r="D16" s="63">
        <f>IF('[2]2021_Base RPA'!$F870="","",'[2]2021_Base RPA'!$F870)</f>
        <v>9433</v>
      </c>
      <c r="E16" s="41">
        <v>19</v>
      </c>
      <c r="F16" s="63">
        <f>IF('[2]2021_Base RPA'!$F890="","",'[2]2021_Base RPA'!$F890)</f>
        <v>9914</v>
      </c>
      <c r="G16" s="41">
        <v>17</v>
      </c>
      <c r="H16" s="63">
        <f>IF('[2]2021_Base RPA'!$F911="","",'[2]2021_Base RPA'!$F911)</f>
        <v>9104</v>
      </c>
      <c r="I16" s="49">
        <v>17</v>
      </c>
      <c r="J16" s="63">
        <f>IF('[2]2021_Base RPA'!$F931="","",'[2]2021_Base RPA'!$F931)</f>
        <v>9545</v>
      </c>
      <c r="K16" s="41">
        <v>18</v>
      </c>
      <c r="L16" s="63">
        <f>IF('[2]2021_Base RPA'!$F953="","",'[2]2021_Base RPA'!$F953)</f>
        <v>9841</v>
      </c>
      <c r="O16" s="81">
        <v>41640</v>
      </c>
      <c r="P16" s="77">
        <v>7294.886363636364</v>
      </c>
      <c r="Q16" s="79">
        <v>1.2763709818388813E-2</v>
      </c>
      <c r="R16" s="80">
        <v>17368.394943181818</v>
      </c>
      <c r="S16" s="79">
        <v>2.7041961285715121E-2</v>
      </c>
      <c r="T16" s="79">
        <v>2.7041961285715121E-2</v>
      </c>
    </row>
    <row r="17" spans="1:21" x14ac:dyDescent="0.35">
      <c r="A17" s="41">
        <v>20</v>
      </c>
      <c r="B17" s="63">
        <f>IF('[2]2021_Base RPA'!$F848="","",'[2]2021_Base RPA'!$F848)</f>
        <v>9043.5</v>
      </c>
      <c r="C17" s="41">
        <v>20</v>
      </c>
      <c r="D17" s="63">
        <f>IF('[2]2021_Base RPA'!$F871="","",'[2]2021_Base RPA'!$F871)</f>
        <v>9514.5</v>
      </c>
      <c r="E17" s="41">
        <v>20</v>
      </c>
      <c r="F17" s="63">
        <f>IF('[2]2021_Base RPA'!$F891="","",'[2]2021_Base RPA'!$F891)</f>
        <v>9911.5</v>
      </c>
      <c r="G17" s="179">
        <v>22</v>
      </c>
      <c r="H17" s="63">
        <f>IF('[2]2021_Base RPA'!$F912="","",'[2]2021_Base RPA'!$F912)</f>
        <v>9293.5</v>
      </c>
      <c r="I17" s="49">
        <v>20</v>
      </c>
      <c r="J17" s="63">
        <f>IF('[2]2021_Base RPA'!$F932="","",'[2]2021_Base RPA'!$F932)</f>
        <v>9530</v>
      </c>
      <c r="K17" s="41">
        <v>19</v>
      </c>
      <c r="L17" s="63">
        <f>IF('[2]2021_Base RPA'!$F954="","",'[2]2021_Base RPA'!$F954)</f>
        <v>9712</v>
      </c>
      <c r="O17" s="81">
        <v>41671</v>
      </c>
      <c r="P17" s="77">
        <v>7152.15</v>
      </c>
      <c r="Q17" s="79">
        <v>-1.9566632915336224E-2</v>
      </c>
      <c r="R17" s="80">
        <v>17062.884254999997</v>
      </c>
      <c r="S17" s="79">
        <v>-1.7590035762156231E-2</v>
      </c>
      <c r="T17" s="79">
        <v>8.976256457464471E-3</v>
      </c>
    </row>
    <row r="18" spans="1:21" x14ac:dyDescent="0.35">
      <c r="A18" s="41">
        <v>21</v>
      </c>
      <c r="B18" s="63">
        <f>IF('[2]2021_Base RPA'!$F849="","",'[2]2021_Base RPA'!$F849)</f>
        <v>9067</v>
      </c>
      <c r="C18" s="41">
        <v>21</v>
      </c>
      <c r="D18" s="63">
        <f>IF('[2]2021_Base RPA'!$F872="","",'[2]2021_Base RPA'!$F872)</f>
        <v>9494</v>
      </c>
      <c r="E18" s="41">
        <v>21</v>
      </c>
      <c r="F18" s="63">
        <f>IF('[2]2021_Base RPA'!$F892="","",'[2]2021_Base RPA'!$F892)</f>
        <v>9829</v>
      </c>
      <c r="G18" s="41">
        <v>23</v>
      </c>
      <c r="H18" s="63">
        <f>IF('[2]2021_Base RPA'!$F913="","",'[2]2021_Base RPA'!$F913)</f>
        <v>9416.5</v>
      </c>
      <c r="I18" s="49">
        <v>21</v>
      </c>
      <c r="J18" s="63">
        <f>IF('[2]2021_Base RPA'!$F933="","",'[2]2021_Base RPA'!$F933)</f>
        <v>9532.5</v>
      </c>
      <c r="K18" s="41">
        <v>20</v>
      </c>
      <c r="L18" s="63">
        <f>IF('[2]2021_Base RPA'!$F955="","",'[2]2021_Base RPA'!$F955)</f>
        <v>9945</v>
      </c>
      <c r="O18" s="81">
        <v>41699</v>
      </c>
      <c r="P18" s="77">
        <v>6667.8095238095239</v>
      </c>
      <c r="Q18" s="79">
        <v>-6.7719563514534231E-2</v>
      </c>
      <c r="R18" s="80">
        <v>15507.991390476191</v>
      </c>
      <c r="S18" s="79">
        <v>-9.1127199908665579E-2</v>
      </c>
      <c r="T18" s="79">
        <v>-8.2968924567832003E-2</v>
      </c>
    </row>
    <row r="19" spans="1:21" x14ac:dyDescent="0.35">
      <c r="A19" s="41">
        <v>22</v>
      </c>
      <c r="B19" s="63">
        <f>IF('[2]2021_Base RPA'!$F850="","",'[2]2021_Base RPA'!$F850)</f>
        <v>9123</v>
      </c>
      <c r="C19" s="41">
        <v>24</v>
      </c>
      <c r="D19" s="63">
        <f>IF('[2]2021_Base RPA'!$F873="","",'[2]2021_Base RPA'!$F873)</f>
        <v>9490</v>
      </c>
      <c r="E19" s="41">
        <v>22</v>
      </c>
      <c r="F19" s="63">
        <f>IF('[2]2021_Base RPA'!$F893="","",'[2]2021_Base RPA'!$F893)</f>
        <v>9978</v>
      </c>
      <c r="G19" s="41">
        <v>24</v>
      </c>
      <c r="H19" s="63">
        <f>IF('[2]2021_Base RPA'!$F914="","",'[2]2021_Base RPA'!$F914)</f>
        <v>9410.5</v>
      </c>
      <c r="I19" s="49">
        <v>22</v>
      </c>
      <c r="J19" s="63">
        <f>IF('[2]2021_Base RPA'!$F934="","",'[2]2021_Base RPA'!$F934)</f>
        <v>9493</v>
      </c>
      <c r="K19" s="41">
        <v>23</v>
      </c>
      <c r="L19" s="63">
        <f>IF('[2]2021_Base RPA'!$F956="","",'[2]2021_Base RPA'!$F956)</f>
        <v>10035</v>
      </c>
      <c r="O19" s="81">
        <v>41730</v>
      </c>
      <c r="P19" s="77">
        <v>6670.8249999999998</v>
      </c>
      <c r="Q19" s="79">
        <v>4.5224390104547929E-4</v>
      </c>
      <c r="R19" s="80">
        <v>14896.619307499999</v>
      </c>
      <c r="S19" s="79">
        <v>-3.9423034716904004E-2</v>
      </c>
      <c r="T19" s="104">
        <v>-0.11912107249107418</v>
      </c>
    </row>
    <row r="20" spans="1:21" x14ac:dyDescent="0.35">
      <c r="A20" s="179">
        <v>23</v>
      </c>
      <c r="B20" s="63">
        <f>IF('[2]2021_Base RPA'!$F851="","",'[2]2021_Base RPA'!$F851)</f>
        <v>9056</v>
      </c>
      <c r="C20" s="41">
        <v>25</v>
      </c>
      <c r="D20" s="63">
        <f>IF('[2]2021_Base RPA'!$F874="","",'[2]2021_Base RPA'!$F874)</f>
        <v>9463</v>
      </c>
      <c r="E20" s="41">
        <v>25</v>
      </c>
      <c r="F20" s="63">
        <f>IF('[2]2021_Base RPA'!$F894="","",'[2]2021_Base RPA'!$F894)</f>
        <v>9982</v>
      </c>
      <c r="G20" s="41">
        <v>25</v>
      </c>
      <c r="H20" s="63">
        <f>IF('[2]2021_Base RPA'!$F915="","",'[2]2021_Base RPA'!$F915)</f>
        <v>9364</v>
      </c>
      <c r="I20" s="49">
        <v>23</v>
      </c>
      <c r="J20" s="63">
        <f>IF('[2]2021_Base RPA'!$F935="","",'[2]2021_Base RPA'!$F935)</f>
        <v>9595</v>
      </c>
      <c r="K20" s="41">
        <v>24</v>
      </c>
      <c r="L20" s="63">
        <f>IF('[2]2021_Base RPA'!$F957="","",'[2]2021_Base RPA'!$F957)</f>
        <v>9930.5</v>
      </c>
      <c r="O20" s="81">
        <v>41760</v>
      </c>
      <c r="P20" s="77">
        <v>6883.875</v>
      </c>
      <c r="Q20" s="79">
        <v>3.1937578935139266E-2</v>
      </c>
      <c r="R20" s="80">
        <v>15289.774762499999</v>
      </c>
      <c r="S20" s="79">
        <v>2.6392260343396146E-2</v>
      </c>
      <c r="T20" s="104">
        <v>-9.5872686505247051E-2</v>
      </c>
    </row>
    <row r="21" spans="1:21" x14ac:dyDescent="0.35">
      <c r="A21" s="179">
        <v>24</v>
      </c>
      <c r="B21" s="63">
        <f>IF('[2]2021_Base RPA'!$F852="","",'[2]2021_Base RPA'!$F852)</f>
        <v>9218</v>
      </c>
      <c r="C21" s="340">
        <v>26</v>
      </c>
      <c r="D21" s="63">
        <f>IF('[2]2021_Base RPA'!$F875="","",'[2]2021_Base RPA'!$F875)</f>
        <v>9504</v>
      </c>
      <c r="E21" s="41">
        <v>26</v>
      </c>
      <c r="F21" s="63">
        <f>IF('[2]2021_Base RPA'!$F895="","",'[2]2021_Base RPA'!$F895)</f>
        <v>9884</v>
      </c>
      <c r="G21" s="41">
        <v>28</v>
      </c>
      <c r="H21" s="63">
        <f>IF('[2]2021_Base RPA'!$F916="","",'[2]2021_Base RPA'!$F916)</f>
        <v>9365.5</v>
      </c>
      <c r="I21" s="49">
        <v>24</v>
      </c>
      <c r="J21" s="63" t="str">
        <f>IF('[2]2021_Base RPA'!$F936="","",'[2]2021_Base RPA'!$F936)</f>
        <v>FERIADO</v>
      </c>
      <c r="K21" s="41">
        <v>25</v>
      </c>
      <c r="L21" s="63">
        <f>IF('[2]2021_Base RPA'!$F958="","",'[2]2021_Base RPA'!$F958)</f>
        <v>9810</v>
      </c>
      <c r="O21" s="81">
        <v>41791</v>
      </c>
      <c r="P21" s="77">
        <v>6806.0952380952385</v>
      </c>
      <c r="Q21" s="79">
        <v>-1.1298834145704539E-2</v>
      </c>
      <c r="R21" s="80">
        <v>15206.177980952381</v>
      </c>
      <c r="S21" s="79">
        <v>-5.4674959472031937E-3</v>
      </c>
      <c r="T21" s="104">
        <v>-0.10081599892753534</v>
      </c>
    </row>
    <row r="22" spans="1:21" x14ac:dyDescent="0.35">
      <c r="A22" s="41">
        <v>27</v>
      </c>
      <c r="B22" s="63">
        <f>IF('[2]2021_Base RPA'!$F853="","",'[2]2021_Base RPA'!$F853)</f>
        <v>9051</v>
      </c>
      <c r="C22" s="41">
        <v>27</v>
      </c>
      <c r="D22" s="63">
        <f>IF('[2]2021_Base RPA'!$F876="","",'[2]2021_Base RPA'!$F876)</f>
        <v>9415.5</v>
      </c>
      <c r="E22" s="41">
        <v>27</v>
      </c>
      <c r="F22" s="63">
        <f>IF('[2]2021_Base RPA'!$F896="","",'[2]2021_Base RPA'!$F896)</f>
        <v>9787</v>
      </c>
      <c r="G22" s="41">
        <v>29</v>
      </c>
      <c r="H22" s="63">
        <f>IF('[2]2021_Base RPA'!$F917="","",'[2]2021_Base RPA'!$F917)</f>
        <v>9487.5</v>
      </c>
      <c r="I22" s="49">
        <v>27</v>
      </c>
      <c r="J22" s="63">
        <f>IF('[2]2021_Base RPA'!$F937="","",'[2]2021_Base RPA'!$F937)</f>
        <v>9653</v>
      </c>
      <c r="K22" s="41">
        <v>26</v>
      </c>
      <c r="L22" s="63">
        <f>IF('[2]2021_Base RPA'!$F959="","",'[2]2021_Base RPA'!$F959)</f>
        <v>10115</v>
      </c>
      <c r="O22" s="81">
        <v>41821</v>
      </c>
      <c r="P22" s="77">
        <v>7104.847826086957</v>
      </c>
      <c r="Q22" s="79">
        <v>4.389485858492459E-2</v>
      </c>
      <c r="R22" s="80">
        <v>15807.575928260871</v>
      </c>
      <c r="S22" s="79">
        <v>3.9549579655177913E-2</v>
      </c>
      <c r="T22" s="104">
        <v>-6.5253649652458279E-2</v>
      </c>
    </row>
    <row r="23" spans="1:21" x14ac:dyDescent="0.35">
      <c r="A23" s="41">
        <v>28</v>
      </c>
      <c r="B23" s="63">
        <f>IF('[2]2021_Base RPA'!$F854="","",'[2]2021_Base RPA'!$F854)</f>
        <v>8890.5</v>
      </c>
      <c r="C23" s="314">
        <v>28</v>
      </c>
      <c r="D23" s="213">
        <f>IF('[2]2021_Base RPA'!$F877="","",'[2]2021_Base RPA'!$F877)</f>
        <v>9363.5</v>
      </c>
      <c r="E23" s="314">
        <v>28</v>
      </c>
      <c r="F23" s="63">
        <f>IF('[2]2021_Base RPA'!$F897="","",'[2]2021_Base RPA'!$F897)</f>
        <v>9795</v>
      </c>
      <c r="G23" s="342">
        <v>30</v>
      </c>
      <c r="H23" s="341">
        <f>IF('[2]2021_Base RPA'!$F918="","",'[2]2021_Base RPA'!$F918)</f>
        <v>9204</v>
      </c>
      <c r="I23" s="49">
        <v>28</v>
      </c>
      <c r="J23" s="63">
        <f>IF('[2]2021_Base RPA'!$F938="","",'[2]2021_Base RPA'!$F938)</f>
        <v>9682</v>
      </c>
      <c r="K23" s="314">
        <v>27</v>
      </c>
      <c r="L23" s="63">
        <f>IF('[2]2021_Base RPA'!$F960="","",'[2]2021_Base RPA'!$F960)</f>
        <v>10051</v>
      </c>
      <c r="N23" s="91"/>
      <c r="O23" s="81">
        <v>41852</v>
      </c>
      <c r="P23" s="77">
        <v>7000.55</v>
      </c>
      <c r="Q23" s="79">
        <v>-1.4679811396382747E-2</v>
      </c>
      <c r="R23" s="80">
        <v>15880.047620000001</v>
      </c>
      <c r="S23" s="79">
        <v>4.5846176585218057E-3</v>
      </c>
      <c r="T23" s="104">
        <v>-6.0968195028415995E-2</v>
      </c>
    </row>
    <row r="24" spans="1:21" x14ac:dyDescent="0.35">
      <c r="A24" s="41">
        <v>29</v>
      </c>
      <c r="B24" s="63">
        <f>IF('[2]2021_Base RPA'!$F855="","",'[2]2021_Base RPA'!$F855)</f>
        <v>8881</v>
      </c>
      <c r="C24" s="316">
        <v>29</v>
      </c>
      <c r="D24" s="64">
        <f>IF('[2]2021_Base RPA'!$F878="","",'[2]2021_Base RPA'!$F878)</f>
        <v>9360.5</v>
      </c>
      <c r="E24" s="316">
        <v>31</v>
      </c>
      <c r="F24" s="64">
        <f>IF('[2]2021_Base RPA'!$F898="","",'[2]2021_Base RPA'!$F898)</f>
        <v>9673</v>
      </c>
      <c r="G24" s="41"/>
      <c r="H24" s="63"/>
      <c r="I24" s="49">
        <v>29</v>
      </c>
      <c r="J24" s="63">
        <f>IF('[2]2021_Base RPA'!$F939="","",'[2]2021_Base RPA'!$F939)</f>
        <v>9641.5</v>
      </c>
      <c r="K24" s="316">
        <v>30</v>
      </c>
      <c r="L24" s="63">
        <f>IF('[2]2021_Base RPA'!$F961="","",'[2]2021_Base RPA'!$F961)</f>
        <v>10040</v>
      </c>
      <c r="N24" s="91"/>
      <c r="O24" s="81">
        <v>41883</v>
      </c>
      <c r="P24" s="77">
        <v>6872.227272727273</v>
      </c>
      <c r="Q24" s="79">
        <v>-1.8330377937837317E-2</v>
      </c>
      <c r="R24" s="98">
        <v>16046.650681818182</v>
      </c>
      <c r="S24" s="79">
        <v>1.0491345227980009E-2</v>
      </c>
      <c r="T24" s="104">
        <v>-5.1116488182405995E-2</v>
      </c>
    </row>
    <row r="25" spans="1:21" x14ac:dyDescent="0.35">
      <c r="A25" s="314">
        <v>30</v>
      </c>
      <c r="B25" s="63">
        <f>IF('[2]2021_Base RPA'!$F856="","",'[2]2021_Base RPA'!$F856)</f>
        <v>8975</v>
      </c>
      <c r="C25" s="41"/>
      <c r="D25" s="63"/>
      <c r="E25" s="314"/>
      <c r="F25" s="213"/>
      <c r="G25" s="314"/>
      <c r="H25" s="63"/>
      <c r="I25" s="333">
        <v>30</v>
      </c>
      <c r="J25" s="63">
        <f>IF('[2]2021_Base RPA'!$F940="","",'[2]2021_Base RPA'!$F940)</f>
        <v>9623</v>
      </c>
      <c r="K25" s="333"/>
      <c r="L25" s="334"/>
      <c r="O25" s="81">
        <v>41913</v>
      </c>
      <c r="P25" s="77">
        <v>6739.195652173913</v>
      </c>
      <c r="Q25" s="79">
        <v>-1.9357861036014001E-2</v>
      </c>
      <c r="R25" s="98">
        <v>16515.746784782608</v>
      </c>
      <c r="S25" s="79">
        <v>2.9233271931066618E-2</v>
      </c>
      <c r="T25" s="104">
        <v>-2.3377518450536816E-2</v>
      </c>
      <c r="U25" t="s">
        <v>175</v>
      </c>
    </row>
    <row r="26" spans="1:21" x14ac:dyDescent="0.35">
      <c r="A26" s="316">
        <v>31</v>
      </c>
      <c r="B26" s="64">
        <f>IF('[2]2021_Base RPA'!$F857="","",'[2]2021_Base RPA'!$F857)</f>
        <v>8949.5</v>
      </c>
      <c r="C26" s="394"/>
      <c r="D26" s="395"/>
      <c r="E26" s="41"/>
      <c r="F26" s="213"/>
      <c r="I26" s="335"/>
      <c r="J26" s="63"/>
      <c r="K26" s="71"/>
      <c r="L26" s="63"/>
      <c r="O26" s="81"/>
      <c r="P26" s="77"/>
      <c r="Q26" s="79"/>
      <c r="R26" s="98"/>
      <c r="S26" s="79"/>
      <c r="T26" s="104"/>
    </row>
    <row r="27" spans="1:21" x14ac:dyDescent="0.35">
      <c r="A27" s="394"/>
      <c r="B27" s="395"/>
      <c r="C27" s="394"/>
      <c r="D27" s="395"/>
      <c r="F27" s="213"/>
      <c r="G27" s="394"/>
      <c r="H27" s="395"/>
      <c r="I27" s="394"/>
      <c r="J27" s="395"/>
      <c r="K27" s="410"/>
      <c r="L27" s="411"/>
      <c r="O27" s="81">
        <v>41944</v>
      </c>
      <c r="P27" s="77">
        <v>6701.1350000000002</v>
      </c>
      <c r="Q27" s="79">
        <v>-5.6476550226932654E-3</v>
      </c>
      <c r="R27" s="98">
        <v>17154.905600000002</v>
      </c>
      <c r="S27" s="79">
        <v>3.8699964557842748E-2</v>
      </c>
      <c r="T27" s="104">
        <v>1.4417736971819917E-2</v>
      </c>
    </row>
    <row r="28" spans="1:21" ht="15" thickBot="1" x14ac:dyDescent="0.4">
      <c r="A28" s="384">
        <f>B29/'2024'!L66-1</f>
        <v>6.5074296913998353E-3</v>
      </c>
      <c r="B28" s="385"/>
      <c r="C28" s="384">
        <f>D29/B29-1</f>
        <v>3.9123269360755053E-2</v>
      </c>
      <c r="D28" s="385"/>
      <c r="E28" s="384">
        <f>F29/D29-1</f>
        <v>4.312145491075281E-2</v>
      </c>
      <c r="F28" s="385"/>
      <c r="G28" s="384">
        <f>H29/F29-1</f>
        <v>-5.5384078981172369E-2</v>
      </c>
      <c r="H28" s="385"/>
      <c r="I28" s="384">
        <f>J29/H29-1</f>
        <v>3.6732529202986308E-2</v>
      </c>
      <c r="J28" s="385"/>
      <c r="K28" s="384">
        <f>L29/J29-1</f>
        <v>3.1896146051517027E-2</v>
      </c>
      <c r="L28" s="385"/>
      <c r="O28" s="81">
        <v>41974</v>
      </c>
      <c r="P28" s="77">
        <v>6422.9523809523807</v>
      </c>
      <c r="Q28" s="79">
        <v>-4.1512761501987239E-2</v>
      </c>
      <c r="R28" s="98">
        <v>16968.797895238094</v>
      </c>
      <c r="S28" s="79">
        <v>-1.0848658051601734E-2</v>
      </c>
      <c r="T28" s="104">
        <v>3.412665821932892E-3</v>
      </c>
    </row>
    <row r="29" spans="1:21" ht="15" thickBot="1" x14ac:dyDescent="0.4">
      <c r="A29" s="65" t="s">
        <v>10</v>
      </c>
      <c r="B29" s="66">
        <f>AVERAGE(B5:B26)</f>
        <v>8977.568181818182</v>
      </c>
      <c r="C29" s="55" t="s">
        <v>10</v>
      </c>
      <c r="D29" s="66">
        <f>AVERAGE(D4:D23)</f>
        <v>9328.7999999999993</v>
      </c>
      <c r="E29" s="55" t="s">
        <v>10</v>
      </c>
      <c r="F29" s="66">
        <f>AVERAGE(F4:F24)</f>
        <v>9731.0714285714294</v>
      </c>
      <c r="G29" s="55" t="s">
        <v>10</v>
      </c>
      <c r="H29" s="66">
        <f>AVERAGE(H4:H23)</f>
        <v>9192.125</v>
      </c>
      <c r="I29" s="56" t="s">
        <v>10</v>
      </c>
      <c r="J29" s="66">
        <f>AVERAGE(J4:J25)</f>
        <v>9529.7749999999996</v>
      </c>
      <c r="K29" s="55" t="s">
        <v>10</v>
      </c>
      <c r="L29" s="66">
        <f>AVERAGE(L4:L24)</f>
        <v>9833.7380952380954</v>
      </c>
      <c r="O29" s="81">
        <v>42005</v>
      </c>
      <c r="P29" s="77">
        <v>5791.1750000000002</v>
      </c>
      <c r="Q29" s="79">
        <v>-9.8362457555492888E-2</v>
      </c>
      <c r="R29" s="98">
        <v>15271.907592500002</v>
      </c>
      <c r="S29" s="79">
        <v>-0.10000061956152395</v>
      </c>
      <c r="T29" s="104">
        <v>-0.10000061956152395</v>
      </c>
    </row>
    <row r="30" spans="1:21" ht="15" thickBot="1" x14ac:dyDescent="0.4">
      <c r="A30" s="67" t="s">
        <v>11</v>
      </c>
      <c r="B30" s="67">
        <f>B29*A31</f>
        <v>54249.485780578521</v>
      </c>
      <c r="C30" s="67" t="s">
        <v>11</v>
      </c>
      <c r="D30" s="67">
        <f>D29*C31</f>
        <v>53819.806247999986</v>
      </c>
      <c r="E30" s="67" t="s">
        <v>11</v>
      </c>
      <c r="F30" s="67">
        <f>F29*E31</f>
        <v>55977.220150375957</v>
      </c>
      <c r="G30" s="67" t="s">
        <v>11</v>
      </c>
      <c r="H30" s="67">
        <f>H29*G31</f>
        <v>53198.274421874994</v>
      </c>
      <c r="I30" s="67" t="s">
        <v>11</v>
      </c>
      <c r="J30" s="67">
        <f>J29*I31</f>
        <v>53987.17373238095</v>
      </c>
      <c r="K30" s="67" t="s">
        <v>11</v>
      </c>
      <c r="L30" s="67">
        <f>L29*K31</f>
        <v>54671.994495119034</v>
      </c>
      <c r="O30" s="81">
        <v>42036</v>
      </c>
      <c r="P30" s="77">
        <v>5702.0749999999998</v>
      </c>
      <c r="Q30" s="79">
        <v>-1.5385478767262373E-2</v>
      </c>
      <c r="R30" s="98">
        <v>16059.837216749998</v>
      </c>
      <c r="S30" s="79">
        <v>5.1593399153158082E-2</v>
      </c>
      <c r="T30" s="104">
        <v>-5.3566592288966763E-2</v>
      </c>
    </row>
    <row r="31" spans="1:21" ht="15" thickBot="1" x14ac:dyDescent="0.4">
      <c r="A31" s="67">
        <f>AVERAGE('[2]2021_Base RPA'!$B$836:$B$857)</f>
        <v>6.0427818181818189</v>
      </c>
      <c r="B31" s="73">
        <f>B30/'2024'!L68-1</f>
        <v>-1.3651362163974445E-3</v>
      </c>
      <c r="C31" s="67">
        <f>AVERAGE('[2]2021_Base RPA'!$B$858:$B$877)</f>
        <v>5.7692099999999993</v>
      </c>
      <c r="D31" s="73">
        <f>D30/B30-1</f>
        <v>-7.9204351229511527E-3</v>
      </c>
      <c r="E31" s="67">
        <f>AVERAGE('[2]2021_Base RPA'!$B$878:$B$898)</f>
        <v>5.75242105263158</v>
      </c>
      <c r="F31" s="22">
        <f>F30/D30-1</f>
        <v>4.00858727070601E-2</v>
      </c>
      <c r="G31" s="67">
        <f>AVERAGE('[2]2021_Base RPA'!$B$899:$B$918)</f>
        <v>5.787374999999999</v>
      </c>
      <c r="H31" s="73">
        <f>H30/F30-1</f>
        <v>-4.9644225294426247E-2</v>
      </c>
      <c r="I31" s="67">
        <f>AVERAGE('[2]2021_Base RPA'!$B$919:$B$940)</f>
        <v>5.6651047619047619</v>
      </c>
      <c r="J31" s="73">
        <f>J30/H30-1</f>
        <v>1.4829415410165359E-2</v>
      </c>
      <c r="K31" s="67">
        <f>AVERAGE('[2]2021_Base RPA'!$B$941:$B$961)</f>
        <v>5.5596349999999983</v>
      </c>
      <c r="L31" s="73">
        <f>L30/J30-1</f>
        <v>1.2684878933147958E-2</v>
      </c>
      <c r="O31" s="81">
        <v>42064</v>
      </c>
      <c r="P31" s="77">
        <v>5919.9047619047615</v>
      </c>
      <c r="Q31" s="79">
        <v>3.8201840892089667E-2</v>
      </c>
      <c r="R31" s="98">
        <v>18601.524742857142</v>
      </c>
      <c r="S31" s="79">
        <v>0.15826359207777196</v>
      </c>
      <c r="T31" s="104">
        <v>9.6219358477787953E-2</v>
      </c>
    </row>
    <row r="32" spans="1:21" ht="15" customHeight="1" thickBot="1" x14ac:dyDescent="0.4">
      <c r="A32" s="381" t="s">
        <v>280</v>
      </c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O32" s="116" t="s">
        <v>38</v>
      </c>
    </row>
    <row r="33" spans="1:24" ht="14.5" customHeight="1" x14ac:dyDescent="0.35">
      <c r="A33" s="413">
        <v>45839</v>
      </c>
      <c r="B33" s="406"/>
      <c r="C33" s="413">
        <v>45870</v>
      </c>
      <c r="D33" s="406"/>
      <c r="E33" s="413">
        <v>45901</v>
      </c>
      <c r="F33" s="406"/>
      <c r="G33" s="413">
        <v>45931</v>
      </c>
      <c r="H33" s="406"/>
      <c r="I33" s="413">
        <v>45962</v>
      </c>
      <c r="J33" s="406"/>
      <c r="K33" s="413">
        <v>45992</v>
      </c>
      <c r="L33" s="406"/>
      <c r="O33" s="81">
        <v>42125</v>
      </c>
      <c r="P33" s="77">
        <v>6300.605263157895</v>
      </c>
      <c r="Q33" s="79">
        <v>4.5140379665992825E-2</v>
      </c>
      <c r="R33" s="98">
        <v>19242.048473684212</v>
      </c>
      <c r="S33" s="79">
        <v>4.5653962162143014E-2</v>
      </c>
      <c r="T33" s="104">
        <v>0.13396650678973865</v>
      </c>
    </row>
    <row r="34" spans="1:24" x14ac:dyDescent="0.35">
      <c r="A34" s="44"/>
      <c r="B34" s="50" t="s">
        <v>7</v>
      </c>
      <c r="C34" s="51"/>
      <c r="D34" s="40" t="s">
        <v>8</v>
      </c>
      <c r="E34" s="48"/>
      <c r="F34" s="58" t="s">
        <v>8</v>
      </c>
      <c r="G34" s="51"/>
      <c r="H34" s="40" t="s">
        <v>8</v>
      </c>
      <c r="I34" s="49"/>
      <c r="J34" s="53" t="s">
        <v>18</v>
      </c>
      <c r="K34" s="51"/>
      <c r="L34" s="40" t="s">
        <v>8</v>
      </c>
      <c r="M34" s="106"/>
      <c r="O34" s="81">
        <v>42156</v>
      </c>
      <c r="P34" s="77">
        <v>5833.613636363636</v>
      </c>
      <c r="Q34" s="79">
        <v>-7.4118534218441168E-2</v>
      </c>
      <c r="R34" s="98">
        <v>18168.789670454546</v>
      </c>
      <c r="S34" s="79">
        <v>-5.5776743557084174E-2</v>
      </c>
      <c r="T34" s="104">
        <v>7.0717547738204933E-2</v>
      </c>
    </row>
    <row r="35" spans="1:24" ht="15" hidden="1" thickBot="1" x14ac:dyDescent="0.4">
      <c r="A35" s="61" t="s">
        <v>19</v>
      </c>
      <c r="B35" s="60" t="e">
        <v>#DIV/0!</v>
      </c>
      <c r="C35" s="61" t="s">
        <v>19</v>
      </c>
      <c r="D35" s="60" t="e">
        <v>#DIV/0!</v>
      </c>
      <c r="E35" s="61" t="s">
        <v>19</v>
      </c>
      <c r="F35" s="62" t="e">
        <v>#DIV/0!</v>
      </c>
      <c r="G35" s="65" t="s">
        <v>19</v>
      </c>
      <c r="H35" s="70" t="e">
        <v>#DIV/0!</v>
      </c>
      <c r="I35" s="65" t="s">
        <v>19</v>
      </c>
      <c r="J35" s="70" t="e">
        <v>#DIV/0!</v>
      </c>
      <c r="K35" s="61" t="s">
        <v>19</v>
      </c>
      <c r="L35" s="70" t="e">
        <v>#DIV/0!</v>
      </c>
      <c r="O35" s="81">
        <v>42675</v>
      </c>
      <c r="T35" s="104" t="e">
        <v>#DIV/0!</v>
      </c>
    </row>
    <row r="36" spans="1:24" ht="15" hidden="1" thickBot="1" x14ac:dyDescent="0.4">
      <c r="A36" s="55" t="s">
        <v>10</v>
      </c>
      <c r="B36" s="66" t="e">
        <v>#DIV/0!</v>
      </c>
      <c r="C36" s="55" t="s">
        <v>10</v>
      </c>
      <c r="D36" s="66" t="e">
        <v>#DIV/0!</v>
      </c>
      <c r="E36" s="56" t="s">
        <v>10</v>
      </c>
      <c r="F36" s="66" t="e">
        <v>#DIV/0!</v>
      </c>
      <c r="G36" s="55" t="s">
        <v>10</v>
      </c>
      <c r="H36" s="66" t="e">
        <v>#DIV/0!</v>
      </c>
      <c r="I36" s="56" t="s">
        <v>10</v>
      </c>
      <c r="J36" s="66" t="e">
        <v>#DIV/0!</v>
      </c>
      <c r="K36" s="55" t="s">
        <v>10</v>
      </c>
      <c r="L36" s="66" t="e">
        <v>#DIV/0!</v>
      </c>
      <c r="O36" s="81">
        <v>42705</v>
      </c>
      <c r="T36" s="104" t="e">
        <v>#DIV/0!</v>
      </c>
    </row>
    <row r="37" spans="1:24" ht="15" hidden="1" customHeight="1" thickBot="1" x14ac:dyDescent="0.4">
      <c r="A37" s="407" t="e">
        <v>#DIV/0!</v>
      </c>
      <c r="B37" s="408"/>
      <c r="C37" s="399" t="e">
        <v>#DIV/0!</v>
      </c>
      <c r="D37" s="404"/>
      <c r="E37" s="399" t="e">
        <v>#DIV/0!</v>
      </c>
      <c r="F37" s="404"/>
      <c r="G37" s="399" t="e">
        <v>#DIV/0!</v>
      </c>
      <c r="H37" s="404"/>
      <c r="I37" s="399" t="e">
        <v>#DIV/0!</v>
      </c>
      <c r="J37" s="400"/>
      <c r="K37" s="403" t="e">
        <v>#DIV/0!</v>
      </c>
      <c r="L37" s="400"/>
      <c r="O37" s="81">
        <v>42736</v>
      </c>
      <c r="T37" s="104" t="e">
        <v>#DIV/0!</v>
      </c>
    </row>
    <row r="38" spans="1:24" ht="15" hidden="1" thickBot="1" x14ac:dyDescent="0.4">
      <c r="A38" s="67" t="s">
        <v>11</v>
      </c>
      <c r="B38" s="67" t="e">
        <v>#DIV/0!</v>
      </c>
      <c r="C38" s="67" t="s">
        <v>11</v>
      </c>
      <c r="D38" s="67" t="e">
        <v>#DIV/0!</v>
      </c>
      <c r="E38" s="67" t="s">
        <v>11</v>
      </c>
      <c r="F38" s="67" t="e">
        <v>#DIV/0!</v>
      </c>
      <c r="G38" s="67" t="s">
        <v>11</v>
      </c>
      <c r="H38" s="67" t="e">
        <v>#DIV/0!</v>
      </c>
      <c r="I38" s="67" t="s">
        <v>11</v>
      </c>
      <c r="J38" s="67" t="e">
        <v>#DIV/0!</v>
      </c>
      <c r="K38" s="67" t="s">
        <v>11</v>
      </c>
      <c r="L38" s="67" t="e">
        <v>#DIV/0!</v>
      </c>
      <c r="O38" s="81">
        <v>42767</v>
      </c>
      <c r="T38" s="104" t="e">
        <v>#DIV/0!</v>
      </c>
    </row>
    <row r="39" spans="1:24" ht="15" hidden="1" thickBot="1" x14ac:dyDescent="0.4">
      <c r="A39" s="67"/>
      <c r="B39" s="73" t="e">
        <v>#DIV/0!</v>
      </c>
      <c r="C39" s="67"/>
      <c r="D39" s="73" t="e">
        <v>#DIV/0!</v>
      </c>
      <c r="E39" s="67"/>
      <c r="F39" s="73" t="e">
        <v>#DIV/0!</v>
      </c>
      <c r="G39" s="67"/>
      <c r="H39" s="73" t="e">
        <v>#DIV/0!</v>
      </c>
      <c r="I39" s="67"/>
      <c r="J39" s="73" t="e">
        <v>#DIV/0!</v>
      </c>
      <c r="K39" s="67"/>
      <c r="L39" s="73" t="e">
        <v>#DIV/0!</v>
      </c>
      <c r="O39" s="81">
        <v>42795</v>
      </c>
      <c r="T39" s="104" t="e">
        <v>#DIV/0!</v>
      </c>
    </row>
    <row r="40" spans="1:24" ht="14.5" hidden="1" customHeight="1" x14ac:dyDescent="0.35">
      <c r="A40" s="396" t="s">
        <v>90</v>
      </c>
      <c r="B40" s="397"/>
      <c r="C40" s="396" t="s">
        <v>91</v>
      </c>
      <c r="D40" s="397"/>
      <c r="E40" s="396" t="s">
        <v>92</v>
      </c>
      <c r="F40" s="397"/>
      <c r="G40" s="405" t="s">
        <v>93</v>
      </c>
      <c r="H40" s="406"/>
      <c r="I40" s="405" t="s">
        <v>94</v>
      </c>
      <c r="J40" s="406"/>
      <c r="K40" s="405" t="s">
        <v>95</v>
      </c>
      <c r="L40" s="406"/>
      <c r="O40" s="81">
        <v>42826</v>
      </c>
      <c r="T40" s="104" t="e">
        <v>#DIV/0!</v>
      </c>
    </row>
    <row r="41" spans="1:24" hidden="1" x14ac:dyDescent="0.35">
      <c r="A41" s="44"/>
      <c r="B41" s="50" t="s">
        <v>7</v>
      </c>
      <c r="C41" s="51"/>
      <c r="D41" s="40" t="s">
        <v>8</v>
      </c>
      <c r="E41" s="51"/>
      <c r="F41" s="52" t="s">
        <v>8</v>
      </c>
      <c r="G41" s="51"/>
      <c r="H41" s="40" t="s">
        <v>8</v>
      </c>
      <c r="I41" s="49"/>
      <c r="J41" s="53" t="s">
        <v>8</v>
      </c>
      <c r="K41" s="51"/>
      <c r="L41" s="40" t="s">
        <v>8</v>
      </c>
      <c r="O41" s="81">
        <v>42856</v>
      </c>
      <c r="T41" s="104" t="e">
        <v>#DIV/0!</v>
      </c>
    </row>
    <row r="42" spans="1:24" ht="15" customHeight="1" x14ac:dyDescent="0.35">
      <c r="A42" s="41">
        <v>1</v>
      </c>
      <c r="B42" s="63">
        <f>IF('[2]2021_Base RPA'!$F962="","",'[2]2021_Base RPA'!$F962)</f>
        <v>10061</v>
      </c>
      <c r="C42" s="41">
        <v>1</v>
      </c>
      <c r="D42" s="63">
        <f>IF('[2]2021_Base RPA'!$F985="","",'[2]2021_Base RPA'!$F985)</f>
        <v>9535.5</v>
      </c>
      <c r="E42" s="250">
        <v>1</v>
      </c>
      <c r="F42" s="63">
        <f>IF('[2]2021_Base RPA'!$F1006="","",'[2]2021_Base RPA'!$F1006)</f>
        <v>9804.5</v>
      </c>
      <c r="G42" s="41">
        <v>1</v>
      </c>
      <c r="H42" s="63">
        <f>IF('[2]2021_Base RPA'!$F1028="","",'[2]2021_Base RPA'!$F1028)</f>
        <v>10263</v>
      </c>
      <c r="I42" s="49">
        <v>3</v>
      </c>
      <c r="J42" s="63">
        <f>IF('[2]2021_Base RPA'!$F1051="","",'[2]2021_Base RPA'!$F1051)</f>
        <v>10872.5</v>
      </c>
      <c r="K42" s="49">
        <v>2</v>
      </c>
      <c r="L42" s="63">
        <f>IF('[2]2021_Base RPA'!$F1071="","",'[2]2021_Base RPA'!$F1071)</f>
        <v>11299</v>
      </c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</row>
    <row r="43" spans="1:24" x14ac:dyDescent="0.35">
      <c r="A43" s="41">
        <v>2</v>
      </c>
      <c r="B43" s="63">
        <f>IF('[2]2021_Base RPA'!$F963="","",'[2]2021_Base RPA'!$F963)</f>
        <v>10045</v>
      </c>
      <c r="C43" s="41">
        <v>4</v>
      </c>
      <c r="D43" s="63">
        <f>IF('[2]2021_Base RPA'!$F986="","",'[2]2021_Base RPA'!$F986)</f>
        <v>9622.5</v>
      </c>
      <c r="E43" s="41">
        <v>2</v>
      </c>
      <c r="F43" s="63">
        <f>IF('[2]2021_Base RPA'!$F1007="","",'[2]2021_Base RPA'!$F1007)</f>
        <v>9773.5</v>
      </c>
      <c r="G43" s="41">
        <v>2</v>
      </c>
      <c r="H43" s="63">
        <f>IF('[2]2021_Base RPA'!$F1029="","",'[2]2021_Base RPA'!$F1029)</f>
        <v>10455</v>
      </c>
      <c r="I43" s="49">
        <v>4</v>
      </c>
      <c r="J43" s="63">
        <f>IF('[2]2021_Base RPA'!$F1052="","",'[2]2021_Base RPA'!$F1052)</f>
        <v>10600.5</v>
      </c>
      <c r="K43" s="49">
        <v>3</v>
      </c>
      <c r="L43" s="63">
        <f>IF('[2]2021_Base RPA'!$F1072="","",'[2]2021_Base RPA'!$F1072)</f>
        <v>11285</v>
      </c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  <c r="U43" s="133"/>
    </row>
    <row r="44" spans="1:24" x14ac:dyDescent="0.35">
      <c r="A44" s="41">
        <v>3</v>
      </c>
      <c r="B44" s="63">
        <f>IF('[2]2021_Base RPA'!$F964="","",'[2]2021_Base RPA'!$F964)</f>
        <v>10120</v>
      </c>
      <c r="C44" s="41">
        <v>5</v>
      </c>
      <c r="D44" s="63">
        <f>IF('[2]2021_Base RPA'!$F987="","",'[2]2021_Base RPA'!$F987)</f>
        <v>9576.5</v>
      </c>
      <c r="E44" s="41">
        <v>3</v>
      </c>
      <c r="F44" s="63">
        <f>IF('[2]2021_Base RPA'!$F1008="","",'[2]2021_Base RPA'!$F1008)</f>
        <v>9873</v>
      </c>
      <c r="G44" s="41">
        <v>3</v>
      </c>
      <c r="H44" s="63">
        <f>IF('[2]2021_Base RPA'!$F1030="","",'[2]2021_Base RPA'!$F1030)</f>
        <v>10537.5</v>
      </c>
      <c r="I44" s="49">
        <v>5</v>
      </c>
      <c r="J44" s="63">
        <f>IF('[2]2021_Base RPA'!$F1053="","",'[2]2021_Base RPA'!$F1053)</f>
        <v>10603</v>
      </c>
      <c r="K44" s="49">
        <v>4</v>
      </c>
      <c r="L44" s="63">
        <f>IF('[2]2021_Base RPA'!$F1073="","",'[2]2021_Base RPA'!$F1073)</f>
        <v>11437</v>
      </c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4</v>
      </c>
      <c r="B45" s="63">
        <f>IF('[2]2021_Base RPA'!$F965="","",'[2]2021_Base RPA'!$F965)</f>
        <v>9970.5</v>
      </c>
      <c r="C45" s="41">
        <v>6</v>
      </c>
      <c r="D45" s="63">
        <f>IF('[2]2021_Base RPA'!$F988="","",'[2]2021_Base RPA'!$F988)</f>
        <v>9604.5</v>
      </c>
      <c r="E45" s="41">
        <v>4</v>
      </c>
      <c r="F45" s="63">
        <f>IF('[2]2021_Base RPA'!$F1009="","",'[2]2021_Base RPA'!$F1009)</f>
        <v>9813</v>
      </c>
      <c r="G45" s="41">
        <v>6</v>
      </c>
      <c r="H45" s="63">
        <f>IF('[2]2021_Base RPA'!$F1031="","",'[2]2021_Base RPA'!$F1031)</f>
        <v>10609.5</v>
      </c>
      <c r="I45" s="49">
        <v>6</v>
      </c>
      <c r="J45" s="63">
        <f>IF('[2]2021_Base RPA'!$F1054="","",'[2]2021_Base RPA'!$F1054)</f>
        <v>10723</v>
      </c>
      <c r="K45" s="49">
        <v>5</v>
      </c>
      <c r="L45" s="63">
        <f>IF('[2]2021_Base RPA'!$F1074="","",'[2]2021_Base RPA'!$F1074)</f>
        <v>11472</v>
      </c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7</v>
      </c>
      <c r="B46" s="63">
        <f>IF('[2]2021_Base RPA'!$F966="","",'[2]2021_Base RPA'!$F966)</f>
        <v>9893</v>
      </c>
      <c r="C46" s="41">
        <v>7</v>
      </c>
      <c r="D46" s="63">
        <f>IF('[2]2021_Base RPA'!$F989="","",'[2]2021_Base RPA'!$F989)</f>
        <v>9636.5</v>
      </c>
      <c r="E46" s="41">
        <v>5</v>
      </c>
      <c r="F46" s="63">
        <f>IF('[2]2021_Base RPA'!$F1010="","",'[2]2021_Base RPA'!$F1010)</f>
        <v>9881</v>
      </c>
      <c r="G46" s="41">
        <v>7</v>
      </c>
      <c r="H46" s="63">
        <f>IF('[2]2021_Base RPA'!$F1032="","",'[2]2021_Base RPA'!$F1032)</f>
        <v>10643</v>
      </c>
      <c r="I46" s="49">
        <v>7</v>
      </c>
      <c r="J46" s="63">
        <f>IF('[2]2021_Base RPA'!$F1055="","",'[2]2021_Base RPA'!$F1055)</f>
        <v>10720</v>
      </c>
      <c r="K46" s="49">
        <v>6</v>
      </c>
      <c r="L46" s="63">
        <f>IF('[2]2021_Base RPA'!$F1075="","",'[2]2021_Base RPA'!$F1075)</f>
        <v>11645</v>
      </c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8</v>
      </c>
      <c r="B47" s="63">
        <f>IF('[2]2021_Base RPA'!$F967="","",'[2]2021_Base RPA'!$F967)</f>
        <v>9925</v>
      </c>
      <c r="C47" s="41">
        <v>8</v>
      </c>
      <c r="D47" s="63">
        <f>IF('[2]2021_Base RPA'!$F990="","",'[2]2021_Base RPA'!$F990)</f>
        <v>9627</v>
      </c>
      <c r="E47" s="41">
        <v>8</v>
      </c>
      <c r="F47" s="63">
        <f>IF('[2]2021_Base RPA'!$F1011="","",'[2]2021_Base RPA'!$F1011)</f>
        <v>9810.5</v>
      </c>
      <c r="G47" s="41">
        <v>8</v>
      </c>
      <c r="H47" s="63">
        <f>IF('[2]2021_Base RPA'!$F1033="","",'[2]2021_Base RPA'!$F1033)</f>
        <v>10738</v>
      </c>
      <c r="I47" s="49">
        <v>10</v>
      </c>
      <c r="J47" s="63">
        <f>IF('[2]2021_Base RPA'!$F1056="","",'[2]2021_Base RPA'!$F1056)</f>
        <v>10800</v>
      </c>
      <c r="K47" s="49">
        <v>9</v>
      </c>
      <c r="L47" s="63">
        <f>IF('[2]2021_Base RPA'!$F1076="","",'[2]2021_Base RPA'!$F1076)</f>
        <v>11695</v>
      </c>
      <c r="O47" s="81" t="e">
        <f>#REF!</f>
        <v>#REF!</v>
      </c>
      <c r="P47" s="77" t="e">
        <f>#REF!</f>
        <v>#REF!</v>
      </c>
      <c r="Q47" s="79" t="e">
        <f>#REF!</f>
        <v>#REF!</v>
      </c>
      <c r="R47" s="98" t="e">
        <f>#REF!</f>
        <v>#REF!</v>
      </c>
      <c r="S47" s="79" t="e">
        <f>#REF!</f>
        <v>#REF!</v>
      </c>
      <c r="T47" s="104" t="e">
        <f>#REF!</f>
        <v>#REF!</v>
      </c>
    </row>
    <row r="48" spans="1:24" x14ac:dyDescent="0.35">
      <c r="A48" s="41">
        <v>9</v>
      </c>
      <c r="B48" s="63">
        <f>IF('[2]2021_Base RPA'!$F968="","",'[2]2021_Base RPA'!$F968)</f>
        <v>9635</v>
      </c>
      <c r="C48" s="41">
        <v>11</v>
      </c>
      <c r="D48" s="63">
        <f>IF('[2]2021_Base RPA'!$F991="","",'[2]2021_Base RPA'!$F991)</f>
        <v>9643.5</v>
      </c>
      <c r="E48" s="41">
        <v>9</v>
      </c>
      <c r="F48" s="63">
        <f>IF('[2]2021_Base RPA'!$F1012="","",'[2]2021_Base RPA'!$F1012)</f>
        <v>9822.5</v>
      </c>
      <c r="G48" s="41">
        <v>9</v>
      </c>
      <c r="H48" s="63">
        <f>IF('[2]2021_Base RPA'!$F1034="","",'[2]2021_Base RPA'!$F1034)</f>
        <v>10866.5</v>
      </c>
      <c r="I48" s="49">
        <v>11</v>
      </c>
      <c r="J48" s="63">
        <f>IF('[2]2021_Base RPA'!$F1057="","",'[2]2021_Base RPA'!$F1057)</f>
        <v>10777</v>
      </c>
      <c r="K48" s="49">
        <v>10</v>
      </c>
      <c r="L48" s="63">
        <f>IF('[2]2021_Base RPA'!$F1077="","",'[2]2021_Base RPA'!$F1077)</f>
        <v>11563.5</v>
      </c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  <c r="V48" s="81"/>
      <c r="W48" s="81"/>
      <c r="X48" s="81"/>
    </row>
    <row r="49" spans="1:21" x14ac:dyDescent="0.35">
      <c r="A49" s="41">
        <v>10</v>
      </c>
      <c r="B49" s="63">
        <f>IF('[2]2021_Base RPA'!$F969="","",'[2]2021_Base RPA'!$F969)</f>
        <v>9752</v>
      </c>
      <c r="C49" s="41">
        <v>12</v>
      </c>
      <c r="D49" s="63">
        <f>IF('[2]2021_Base RPA'!$F992="","",'[2]2021_Base RPA'!$F992)</f>
        <v>9661.5</v>
      </c>
      <c r="E49" s="41">
        <v>10</v>
      </c>
      <c r="F49" s="63">
        <f>IF('[2]2021_Base RPA'!$F1013="","",'[2]2021_Base RPA'!$F1013)</f>
        <v>9847</v>
      </c>
      <c r="G49" s="41">
        <v>10</v>
      </c>
      <c r="H49" s="63">
        <f>IF('[2]2021_Base RPA'!$F1035="","",'[2]2021_Base RPA'!$F1035)</f>
        <v>10735</v>
      </c>
      <c r="I49" s="49">
        <v>12</v>
      </c>
      <c r="J49" s="63">
        <f>IF('[2]2021_Base RPA'!$F1058="","",'[2]2021_Base RPA'!$F1058)</f>
        <v>10833</v>
      </c>
      <c r="K49" s="49">
        <v>11</v>
      </c>
      <c r="L49" s="63">
        <f>IF('[2]2021_Base RPA'!$F1078="","",'[2]2021_Base RPA'!$F1078)</f>
        <v>11645</v>
      </c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11</v>
      </c>
      <c r="B50" s="63">
        <f>IF('[2]2021_Base RPA'!$F970="","",'[2]2021_Base RPA'!$F970)</f>
        <v>9637.5</v>
      </c>
      <c r="C50" s="41">
        <v>13</v>
      </c>
      <c r="D50" s="63">
        <f>IF('[2]2021_Base RPA'!$F993="","",'[2]2021_Base RPA'!$F993)</f>
        <v>9746.5</v>
      </c>
      <c r="E50" s="41">
        <v>11</v>
      </c>
      <c r="F50" s="63">
        <f>IF('[2]2021_Base RPA'!$F1014="","",'[2]2021_Base RPA'!$F1014)</f>
        <v>9926</v>
      </c>
      <c r="G50" s="41">
        <v>13</v>
      </c>
      <c r="H50" s="63">
        <f>IF('[2]2021_Base RPA'!$F1036="","",'[2]2021_Base RPA'!$F1036)</f>
        <v>10617.5</v>
      </c>
      <c r="I50" s="49">
        <v>13</v>
      </c>
      <c r="J50" s="63">
        <f>IF('[2]2021_Base RPA'!$F1059="","",'[2]2021_Base RPA'!$F1059)</f>
        <v>10942</v>
      </c>
      <c r="K50" s="49">
        <v>12</v>
      </c>
      <c r="L50" s="63">
        <f>IF('[2]2021_Base RPA'!$F1079="","",'[2]2021_Base RPA'!$F1079)</f>
        <v>11740</v>
      </c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14</v>
      </c>
      <c r="B51" s="63">
        <f>IF('[2]2021_Base RPA'!$F971="","",'[2]2021_Base RPA'!$F971)</f>
        <v>9555</v>
      </c>
      <c r="C51" s="41">
        <v>14</v>
      </c>
      <c r="D51" s="63">
        <f>IF('[2]2021_Base RPA'!$F994="","",'[2]2021_Base RPA'!$F994)</f>
        <v>9665.5</v>
      </c>
      <c r="E51" s="41">
        <v>12</v>
      </c>
      <c r="F51" s="63">
        <f>IF('[2]2021_Base RPA'!$F1015="","",'[2]2021_Base RPA'!$F1015)</f>
        <v>10004.5</v>
      </c>
      <c r="G51" s="41">
        <v>14</v>
      </c>
      <c r="H51" s="63">
        <f>IF('[2]2021_Base RPA'!$F1037="","",'[2]2021_Base RPA'!$F1037)</f>
        <v>10600</v>
      </c>
      <c r="I51" s="49">
        <v>14</v>
      </c>
      <c r="J51" s="63">
        <f>IF('[2]2021_Base RPA'!$F1060="","",'[2]2021_Base RPA'!$F1060)</f>
        <v>10851</v>
      </c>
      <c r="K51" s="49">
        <v>13</v>
      </c>
      <c r="L51" s="63">
        <f>IF('[2]2021_Base RPA'!$F1080="","",'[2]2021_Base RPA'!$F1080)</f>
        <v>11816</v>
      </c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15</v>
      </c>
      <c r="B52" s="63">
        <f>IF('[2]2021_Base RPA'!$F972="","",'[2]2021_Base RPA'!$F972)</f>
        <v>9564</v>
      </c>
      <c r="C52" s="41">
        <v>15</v>
      </c>
      <c r="D52" s="63">
        <f>IF('[2]2021_Base RPA'!$F995="","",'[2]2021_Base RPA'!$F995)</f>
        <v>9621</v>
      </c>
      <c r="E52" s="41">
        <v>15</v>
      </c>
      <c r="F52" s="63">
        <f>IF('[2]2021_Base RPA'!$F1016="","",'[2]2021_Base RPA'!$F1016)</f>
        <v>9986</v>
      </c>
      <c r="G52" s="41">
        <v>15</v>
      </c>
      <c r="H52" s="63">
        <f>IF('[2]2021_Base RPA'!$F1038="","",'[2]2021_Base RPA'!$F1038)</f>
        <v>10702</v>
      </c>
      <c r="I52" s="49">
        <v>17</v>
      </c>
      <c r="J52" s="63">
        <f>IF('[2]2021_Base RPA'!$F1061="","",'[2]2021_Base RPA'!$F1061)</f>
        <v>10799</v>
      </c>
      <c r="K52" s="49">
        <v>16</v>
      </c>
      <c r="L52" s="63">
        <f>IF('[2]2021_Base RPA'!$F1081="","",'[2]2021_Base RPA'!$F1081)</f>
        <v>11774.5</v>
      </c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16</v>
      </c>
      <c r="B53" s="63">
        <f>IF('[2]2021_Base RPA'!$F973="","",'[2]2021_Base RPA'!$F973)</f>
        <v>9563</v>
      </c>
      <c r="C53" s="41">
        <v>18</v>
      </c>
      <c r="D53" s="63">
        <f>IF('[2]2021_Base RPA'!$F996="","",'[2]2021_Base RPA'!$F996)</f>
        <v>9626.5</v>
      </c>
      <c r="E53" s="41">
        <v>16</v>
      </c>
      <c r="F53" s="63">
        <f>IF('[2]2021_Base RPA'!$F1017="","",'[2]2021_Base RPA'!$F1017)</f>
        <v>10071.5</v>
      </c>
      <c r="G53" s="41">
        <v>16</v>
      </c>
      <c r="H53" s="63">
        <f>IF('[2]2021_Base RPA'!$F1039="","",'[2]2021_Base RPA'!$F1039)</f>
        <v>10495</v>
      </c>
      <c r="I53" s="49">
        <v>18</v>
      </c>
      <c r="J53" s="63">
        <f>IF('[2]2021_Base RPA'!$F1062="","",'[2]2021_Base RPA'!$F1062)</f>
        <v>10649</v>
      </c>
      <c r="K53" s="49">
        <v>17</v>
      </c>
      <c r="L53" s="63">
        <f>IF('[2]2021_Base RPA'!$F1082="","",'[2]2021_Base RPA'!$F1082)</f>
        <v>11636</v>
      </c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17</v>
      </c>
      <c r="B54" s="63">
        <f>IF('[2]2021_Base RPA'!$F974="","",'[2]2021_Base RPA'!$F974)</f>
        <v>9586</v>
      </c>
      <c r="C54" s="41">
        <v>19</v>
      </c>
      <c r="D54" s="63">
        <f>IF('[2]2021_Base RPA'!$F997="","",'[2]2021_Base RPA'!$F997)</f>
        <v>9621.5</v>
      </c>
      <c r="E54" s="41">
        <v>17</v>
      </c>
      <c r="F54" s="63">
        <f>IF('[2]2021_Base RPA'!$F1018="","",'[2]2021_Base RPA'!$F1018)</f>
        <v>9894</v>
      </c>
      <c r="G54" s="41">
        <v>17</v>
      </c>
      <c r="H54" s="63">
        <f>IF('[2]2021_Base RPA'!$F1040="","",'[2]2021_Base RPA'!$F1040)</f>
        <v>10527.5</v>
      </c>
      <c r="I54" s="49">
        <v>19</v>
      </c>
      <c r="J54" s="63">
        <f>IF('[2]2021_Base RPA'!$F1063="","",'[2]2021_Base RPA'!$F1063)</f>
        <v>10784</v>
      </c>
      <c r="K54" s="49">
        <v>18</v>
      </c>
      <c r="L54" s="63">
        <f>IF('[2]2021_Base RPA'!$F1083="","",'[2]2021_Base RPA'!$F1083)</f>
        <v>11720</v>
      </c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</row>
    <row r="55" spans="1:21" x14ac:dyDescent="0.35">
      <c r="A55" s="41">
        <v>18</v>
      </c>
      <c r="B55" s="63">
        <f>IF('[2]2021_Base RPA'!$F975="","",'[2]2021_Base RPA'!$F975)</f>
        <v>9667</v>
      </c>
      <c r="C55" s="41">
        <v>20</v>
      </c>
      <c r="D55" s="63">
        <f>IF('[2]2021_Base RPA'!$F998="","",'[2]2021_Base RPA'!$F998)</f>
        <v>9576.5</v>
      </c>
      <c r="E55" s="41">
        <v>18</v>
      </c>
      <c r="F55" s="63">
        <f>IF('[2]2021_Base RPA'!$F1019="","",'[2]2021_Base RPA'!$F1019)</f>
        <v>9895</v>
      </c>
      <c r="G55" s="41">
        <v>20</v>
      </c>
      <c r="H55" s="63">
        <f>IF('[2]2021_Base RPA'!$F1041="","",'[2]2021_Base RPA'!$F1041)</f>
        <v>10581</v>
      </c>
      <c r="I55" s="49">
        <v>20</v>
      </c>
      <c r="J55" s="63">
        <f>IF('[2]2021_Base RPA'!$F1064="","",'[2]2021_Base RPA'!$F1064)</f>
        <v>10789</v>
      </c>
      <c r="K55" s="49">
        <v>19</v>
      </c>
      <c r="L55" s="63">
        <f>IF('[2]2021_Base RPA'!$F1084="","",'[2]2021_Base RPA'!$F1084)</f>
        <v>11721.5</v>
      </c>
      <c r="M55" s="106"/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  <c r="U55" s="106"/>
    </row>
    <row r="56" spans="1:21" x14ac:dyDescent="0.35">
      <c r="A56" s="41">
        <v>21</v>
      </c>
      <c r="B56" s="63">
        <f>IF('[2]2021_Base RPA'!$F976="","",'[2]2021_Base RPA'!$F976)</f>
        <v>9773.5</v>
      </c>
      <c r="C56" s="41">
        <v>21</v>
      </c>
      <c r="D56" s="63">
        <f>IF('[2]2021_Base RPA'!$F999="","",'[2]2021_Base RPA'!$F999)</f>
        <v>9611</v>
      </c>
      <c r="E56" s="41">
        <v>19</v>
      </c>
      <c r="F56" s="63">
        <f>IF('[2]2021_Base RPA'!$F1020="","",'[2]2021_Base RPA'!$F1020)</f>
        <v>9904</v>
      </c>
      <c r="G56" s="41">
        <v>21</v>
      </c>
      <c r="H56" s="63">
        <f>IF('[2]2021_Base RPA'!$F1042="","",'[2]2021_Base RPA'!$F1042)</f>
        <v>10612</v>
      </c>
      <c r="I56" s="49">
        <v>21</v>
      </c>
      <c r="J56" s="63">
        <f>IF('[2]2021_Base RPA'!$F1065="","",'[2]2021_Base RPA'!$F1065)</f>
        <v>10685.5</v>
      </c>
      <c r="K56" s="49">
        <v>20</v>
      </c>
      <c r="L56" s="63">
        <f>IF('[2]2021_Base RPA'!$F1085="","",'[2]2021_Base RPA'!$F1085)</f>
        <v>11845</v>
      </c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22</v>
      </c>
      <c r="B57" s="63">
        <f>IF('[2]2021_Base RPA'!$F977="","",'[2]2021_Base RPA'!$F977)</f>
        <v>9818.5</v>
      </c>
      <c r="C57" s="41">
        <v>22</v>
      </c>
      <c r="D57" s="63">
        <f>IF('[2]2021_Base RPA'!$F1000="","",'[2]2021_Base RPA'!$F1000)</f>
        <v>9643</v>
      </c>
      <c r="E57" s="41">
        <v>22</v>
      </c>
      <c r="F57" s="63">
        <f>IF('[2]2021_Base RPA'!$F1021="","",'[2]2021_Base RPA'!$F1021)</f>
        <v>9921.5</v>
      </c>
      <c r="G57" s="41">
        <v>22</v>
      </c>
      <c r="H57" s="63">
        <f>IF('[2]2021_Base RPA'!$F1043="","",'[2]2021_Base RPA'!$F1043)</f>
        <v>10600</v>
      </c>
      <c r="I57" s="49">
        <v>24</v>
      </c>
      <c r="J57" s="63">
        <f>IF('[2]2021_Base RPA'!$F1066="","",'[2]2021_Base RPA'!$F1066)</f>
        <v>10795</v>
      </c>
      <c r="K57" s="49">
        <v>23</v>
      </c>
      <c r="L57" s="63">
        <f>IF('[2]2021_Base RPA'!$F1086="","",'[2]2021_Base RPA'!$F1086)</f>
        <v>11940</v>
      </c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23</v>
      </c>
      <c r="B58" s="63">
        <f>IF('[2]2021_Base RPA'!$F978="","",'[2]2021_Base RPA'!$F978)</f>
        <v>9862</v>
      </c>
      <c r="C58" s="41">
        <v>25</v>
      </c>
      <c r="D58" s="63" t="str">
        <f>IF('[2]2021_Base RPA'!$F1001="","",'[2]2021_Base RPA'!$F1001)</f>
        <v>FERIADO</v>
      </c>
      <c r="E58" s="41">
        <v>3</v>
      </c>
      <c r="F58" s="63">
        <f>IF('[2]2021_Base RPA'!$F1022="","",'[2]2021_Base RPA'!$F1022)</f>
        <v>9900</v>
      </c>
      <c r="G58" s="41">
        <v>23</v>
      </c>
      <c r="H58" s="63">
        <f>IF('[2]2021_Base RPA'!$F1044="","",'[2]2021_Base RPA'!$F1044)</f>
        <v>10797</v>
      </c>
      <c r="I58" s="49">
        <v>25</v>
      </c>
      <c r="J58" s="63">
        <f>IF('[2]2021_Base RPA'!$F1067="","",'[2]2021_Base RPA'!$F1067)</f>
        <v>10876</v>
      </c>
      <c r="K58" s="49">
        <v>24</v>
      </c>
      <c r="L58" s="63">
        <f>IF('[2]2021_Base RPA'!$F1087="","",'[2]2021_Base RPA'!$F1087)</f>
        <v>12070</v>
      </c>
      <c r="O58" s="81" t="e">
        <f>#REF!</f>
        <v>#REF!</v>
      </c>
      <c r="P58" s="77" t="e">
        <f>#REF!</f>
        <v>#REF!</v>
      </c>
      <c r="Q58" s="79" t="e">
        <f>#REF!</f>
        <v>#REF!</v>
      </c>
      <c r="R58" s="80" t="e">
        <f>#REF!</f>
        <v>#REF!</v>
      </c>
      <c r="S58" s="79" t="e">
        <f>#REF!</f>
        <v>#REF!</v>
      </c>
      <c r="T58" s="104" t="e">
        <f>#REF!</f>
        <v>#REF!</v>
      </c>
    </row>
    <row r="59" spans="1:21" x14ac:dyDescent="0.35">
      <c r="A59" s="41">
        <v>24</v>
      </c>
      <c r="B59" s="63">
        <f>IF('[2]2021_Base RPA'!$F979="","",'[2]2021_Base RPA'!$F979)</f>
        <v>9861</v>
      </c>
      <c r="C59" s="41">
        <v>26</v>
      </c>
      <c r="D59" s="63">
        <f>IF('[2]2021_Base RPA'!$F1002="","",'[2]2021_Base RPA'!$F1002)</f>
        <v>9707.5</v>
      </c>
      <c r="E59" s="41">
        <v>24</v>
      </c>
      <c r="F59" s="63">
        <f>IF('[2]2021_Base RPA'!$F1023="","",'[2]2021_Base RPA'!$F1023)</f>
        <v>9862</v>
      </c>
      <c r="G59" s="41">
        <v>24</v>
      </c>
      <c r="H59" s="63">
        <f>IF('[2]2021_Base RPA'!$F1045="","",'[2]2021_Base RPA'!$F1045)</f>
        <v>10807</v>
      </c>
      <c r="I59" s="49">
        <v>26</v>
      </c>
      <c r="J59" s="63">
        <f>IF('[2]2021_Base RPA'!$F1068="","",'[2]2021_Base RPA'!$F1068)</f>
        <v>10978</v>
      </c>
      <c r="K59" s="49">
        <v>25</v>
      </c>
      <c r="L59" s="63">
        <f>IF('[2]2021_Base RPA'!$F1088="","",'[2]2021_Base RPA'!$F1088)</f>
        <v>12253</v>
      </c>
      <c r="O59" s="81" t="e">
        <f>#REF!</f>
        <v>#REF!</v>
      </c>
      <c r="P59" s="115" t="e">
        <f>#REF!</f>
        <v>#REF!</v>
      </c>
      <c r="Q59" s="79" t="e">
        <f>#REF!</f>
        <v>#REF!</v>
      </c>
      <c r="R59" s="80" t="e">
        <f>#REF!</f>
        <v>#REF!</v>
      </c>
      <c r="S59" s="126" t="e">
        <f>#REF!</f>
        <v>#REF!</v>
      </c>
      <c r="T59" t="e">
        <f>#REF!</f>
        <v>#REF!</v>
      </c>
    </row>
    <row r="60" spans="1:21" x14ac:dyDescent="0.35">
      <c r="A60" s="41">
        <v>25</v>
      </c>
      <c r="B60" s="63">
        <f>IF('[2]2021_Base RPA'!$F980="","",'[2]2021_Base RPA'!$F980)</f>
        <v>9788</v>
      </c>
      <c r="C60" s="41">
        <v>27</v>
      </c>
      <c r="D60" s="63">
        <f>IF('[2]2021_Base RPA'!$F1003="","",'[2]2021_Base RPA'!$F1003)</f>
        <v>9682</v>
      </c>
      <c r="E60" s="41">
        <v>25</v>
      </c>
      <c r="F60" s="63">
        <f>IF('[2]2021_Base RPA'!$F1024="","",'[2]2021_Base RPA'!$F1024)</f>
        <v>10312</v>
      </c>
      <c r="G60" s="41">
        <v>27</v>
      </c>
      <c r="H60" s="63">
        <f>IF('[2]2021_Base RPA'!$F1046="","",'[2]2021_Base RPA'!$F1046)</f>
        <v>10987</v>
      </c>
      <c r="I60" s="49">
        <v>27</v>
      </c>
      <c r="J60" s="63">
        <f>IF('[2]2021_Base RPA'!$F1069="","",'[2]2021_Base RPA'!$F1069)</f>
        <v>10934</v>
      </c>
      <c r="K60" s="71">
        <v>26</v>
      </c>
      <c r="L60" s="63" t="str">
        <f>IF('[2]2021_Base RPA'!$F1089="","",'[2]2021_Base RPA'!$F1089)</f>
        <v>FERIADO</v>
      </c>
      <c r="O60" t="e">
        <f>#REF!</f>
        <v>#REF!</v>
      </c>
      <c r="P60" s="79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41">
        <v>28</v>
      </c>
      <c r="B61" s="63">
        <f>IF('[2]2021_Base RPA'!$F981="","",'[2]2021_Base RPA'!$F981)</f>
        <v>9783</v>
      </c>
      <c r="C61" s="41">
        <v>28</v>
      </c>
      <c r="D61" s="63">
        <f>IF('[2]2021_Base RPA'!$F1004="","",'[2]2021_Base RPA'!$F1004)</f>
        <v>9703.5</v>
      </c>
      <c r="E61" s="314">
        <v>26</v>
      </c>
      <c r="F61" s="63">
        <f>IF('[2]2021_Base RPA'!$F1025="","",'[2]2021_Base RPA'!$F1025)</f>
        <v>10125.5</v>
      </c>
      <c r="G61" s="41">
        <v>28</v>
      </c>
      <c r="H61" s="63">
        <f>IF('[2]2021_Base RPA'!$F1047="","",'[2]2021_Base RPA'!$F1047)</f>
        <v>10917</v>
      </c>
      <c r="I61" s="49">
        <v>28</v>
      </c>
      <c r="J61" s="63">
        <f>IF('[2]2021_Base RPA'!$F1070="","",'[2]2021_Base RPA'!$F1070)</f>
        <v>11004</v>
      </c>
      <c r="K61" s="71">
        <v>27</v>
      </c>
      <c r="L61" s="63">
        <f>IF('[2]2021_Base RPA'!$F1090="","",'[2]2021_Base RPA'!$F1090)</f>
        <v>12306</v>
      </c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327">
        <v>29</v>
      </c>
      <c r="B62" s="63">
        <f>IF('[2]2021_Base RPA'!$F982="","",'[2]2021_Base RPA'!$F982)</f>
        <v>9733.5</v>
      </c>
      <c r="C62" s="179">
        <v>29</v>
      </c>
      <c r="D62" s="63">
        <f>IF('[2]2021_Base RPA'!$F1005="","",'[2]2021_Base RPA'!$F1005)</f>
        <v>9805</v>
      </c>
      <c r="E62" s="316">
        <v>29</v>
      </c>
      <c r="F62" s="63">
        <f>IF('[2]2021_Base RPA'!$F1026="","",'[2]2021_Base RPA'!$F1026)</f>
        <v>10233</v>
      </c>
      <c r="G62" s="41">
        <v>29</v>
      </c>
      <c r="H62" s="63">
        <f>IF('[2]2021_Base RPA'!$F1048="","",'[2]2021_Base RPA'!$F1048)</f>
        <v>11067.5</v>
      </c>
      <c r="I62" s="314"/>
      <c r="J62" s="63"/>
      <c r="K62" s="71">
        <v>30</v>
      </c>
      <c r="L62" s="63">
        <f>IF('[2]2021_Base RPA'!$F1091="","",'[2]2021_Base RPA'!$F1091)</f>
        <v>12512</v>
      </c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327">
        <v>30</v>
      </c>
      <c r="B63" s="63">
        <f>IF('[2]2021_Base RPA'!$F983="","",'[2]2021_Base RPA'!$F983)</f>
        <v>9699.5</v>
      </c>
      <c r="C63" s="41">
        <v>30</v>
      </c>
      <c r="D63" s="63">
        <f>IF('[2]2021_Base RPA'!$F1006="","",'[2]2021_Base RPA'!$F1006)</f>
        <v>9804.5</v>
      </c>
      <c r="E63" s="316">
        <v>30</v>
      </c>
      <c r="F63" s="63">
        <f>IF('[2]2021_Base RPA'!$F1027="","",'[2]2021_Base RPA'!$F1027)</f>
        <v>10300</v>
      </c>
      <c r="G63" s="314">
        <v>30</v>
      </c>
      <c r="H63" s="63">
        <f>IF('[2]2021_Base RPA'!$F1049="","",'[2]2021_Base RPA'!$F1049)</f>
        <v>10949</v>
      </c>
      <c r="I63" s="316"/>
      <c r="J63" s="273"/>
      <c r="K63" s="323">
        <v>31</v>
      </c>
      <c r="L63" s="63">
        <f>IF('[2]2021_Base RPA'!$F1092="","",'[2]2021_Base RPA'!$F1092)</f>
        <v>12504</v>
      </c>
      <c r="O63" t="e">
        <f>#REF!</f>
        <v>#REF!</v>
      </c>
      <c r="P63" t="e">
        <f>#REF!</f>
        <v>#REF!</v>
      </c>
      <c r="Q63" t="e">
        <f>#REF!</f>
        <v>#REF!</v>
      </c>
      <c r="R63" t="e">
        <f>#REF!</f>
        <v>#REF!</v>
      </c>
      <c r="S63" t="e">
        <f>#REF!</f>
        <v>#REF!</v>
      </c>
      <c r="T63" t="e">
        <f>#REF!</f>
        <v>#REF!</v>
      </c>
    </row>
    <row r="64" spans="1:21" x14ac:dyDescent="0.35">
      <c r="A64" s="327">
        <v>31</v>
      </c>
      <c r="B64" s="63">
        <f>IF('[2]2021_Base RPA'!$F984="","",'[2]2021_Base RPA'!$F984)</f>
        <v>9606</v>
      </c>
      <c r="C64" s="41"/>
      <c r="D64" s="63"/>
      <c r="E64" s="314"/>
      <c r="F64" s="213"/>
      <c r="G64" s="316">
        <v>31</v>
      </c>
      <c r="H64" s="63">
        <f>IF('[2]2021_Base RPA'!$F1050="","",'[2]2021_Base RPA'!$F1050)</f>
        <v>10901.5</v>
      </c>
      <c r="I64" s="316"/>
      <c r="J64" s="273"/>
      <c r="K64" s="337"/>
      <c r="L64" s="338"/>
    </row>
    <row r="65" spans="1:20" ht="15" thickBot="1" x14ac:dyDescent="0.4">
      <c r="A65" s="384">
        <f>B66/L29-1</f>
        <v>-5.6459408818944068E-3</v>
      </c>
      <c r="B65" s="385"/>
      <c r="C65" s="384">
        <f>D66/B66-1</f>
        <v>-1.2764354115360588E-2</v>
      </c>
      <c r="D65" s="385"/>
      <c r="E65" s="384">
        <f>F66/D66-1</f>
        <v>3.1006936744611302E-2</v>
      </c>
      <c r="F65" s="385"/>
      <c r="G65" s="384">
        <f>H66/F66-1</f>
        <v>7.4682491143905683E-2</v>
      </c>
      <c r="H65" s="385"/>
      <c r="I65" s="384"/>
      <c r="J65" s="385"/>
      <c r="K65" s="384">
        <f>L66/J66-1</f>
        <v>9.2864698531884393E-2</v>
      </c>
      <c r="L65" s="385"/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65" t="s">
        <v>10</v>
      </c>
      <c r="B66" s="66">
        <f>AVERAGE(B42:B64)</f>
        <v>9778.217391304348</v>
      </c>
      <c r="C66" s="55" t="s">
        <v>10</v>
      </c>
      <c r="D66" s="66">
        <f>AVERAGE(D42:D64)</f>
        <v>9653.4047619047615</v>
      </c>
      <c r="E66" s="55" t="s">
        <v>10</v>
      </c>
      <c r="F66" s="66">
        <f>AVERAGE(F42:F63)</f>
        <v>9952.7272727272721</v>
      </c>
      <c r="G66" s="55" t="s">
        <v>10</v>
      </c>
      <c r="H66" s="66">
        <f>AVERAGE(H42:H64)</f>
        <v>10696.021739130434</v>
      </c>
      <c r="I66" s="56" t="s">
        <v>10</v>
      </c>
      <c r="J66" s="66">
        <f>AVERAGE(J42:J61)</f>
        <v>10800.775</v>
      </c>
      <c r="K66" s="55" t="s">
        <v>10</v>
      </c>
      <c r="L66" s="66">
        <f>AVERAGE(L42:L63)</f>
        <v>11803.785714285714</v>
      </c>
      <c r="O66" t="e">
        <f>#REF!</f>
        <v>#REF!</v>
      </c>
      <c r="P66" t="e">
        <f>#REF!</f>
        <v>#REF!</v>
      </c>
      <c r="Q66" t="e">
        <f>#REF!</f>
        <v>#REF!</v>
      </c>
      <c r="R66" t="e">
        <f>#REF!</f>
        <v>#REF!</v>
      </c>
      <c r="S66" t="e">
        <f>#REF!</f>
        <v>#REF!</v>
      </c>
      <c r="T66" t="e">
        <f>#REF!</f>
        <v>#REF!</v>
      </c>
    </row>
    <row r="67" spans="1:20" ht="15" thickBot="1" x14ac:dyDescent="0.4">
      <c r="A67" s="386"/>
      <c r="B67" s="387"/>
      <c r="C67" s="407"/>
      <c r="D67" s="412"/>
      <c r="E67" s="388"/>
      <c r="F67" s="390"/>
      <c r="G67" s="388"/>
      <c r="H67" s="390"/>
      <c r="I67" s="391"/>
      <c r="J67" s="391"/>
      <c r="K67" s="403"/>
      <c r="L67" s="400"/>
    </row>
    <row r="68" spans="1:20" ht="15" thickBot="1" x14ac:dyDescent="0.4">
      <c r="A68" s="67" t="s">
        <v>11</v>
      </c>
      <c r="B68" s="67">
        <f>B66*A69</f>
        <v>53997.144536294887</v>
      </c>
      <c r="C68" s="67" t="s">
        <v>11</v>
      </c>
      <c r="D68" s="99">
        <f>D66*C69</f>
        <v>52662.127060430845</v>
      </c>
      <c r="E68" s="67" t="s">
        <v>11</v>
      </c>
      <c r="F68" s="67">
        <f>F66*E69</f>
        <v>53469.127206611578</v>
      </c>
      <c r="G68" s="67" t="s">
        <v>11</v>
      </c>
      <c r="H68" s="67">
        <f>H66*G69</f>
        <v>57573.150684120978</v>
      </c>
      <c r="I68" s="67" t="s">
        <v>11</v>
      </c>
      <c r="J68" s="67">
        <f>J66*I69</f>
        <v>57735.974793499998</v>
      </c>
      <c r="K68" s="67" t="s">
        <v>11</v>
      </c>
      <c r="L68" s="67">
        <f>L66*K69</f>
        <v>64276.656650000004</v>
      </c>
      <c r="M68" s="79"/>
    </row>
    <row r="69" spans="1:20" ht="15" thickBot="1" x14ac:dyDescent="0.4">
      <c r="A69" s="67">
        <f>AVERAGE('[2]2021_Base RPA'!$B$962:$B$984)</f>
        <v>5.5221869565217379</v>
      </c>
      <c r="B69" s="73">
        <f>B68/L30-1</f>
        <v>-1.2343613307987056E-2</v>
      </c>
      <c r="C69" s="67">
        <f>AVERAGE('[2]2021_Base RPA'!$B$985:$B$1005)</f>
        <v>5.455290476190477</v>
      </c>
      <c r="D69" s="73">
        <f>D68/B68-1</f>
        <v>-2.4723853220917857E-2</v>
      </c>
      <c r="E69" s="67">
        <f>AVERAGE('[2]2021_Base RPA'!$B$1006:$B$1027)</f>
        <v>5.3723090909090923</v>
      </c>
      <c r="F69" s="73">
        <f>F68/D68-1</f>
        <v>1.5324108448082407E-2</v>
      </c>
      <c r="G69" s="67">
        <f>AVERAGE('[2]2021_Base RPA'!B$1028:B$1050)</f>
        <v>5.382669565217391</v>
      </c>
      <c r="H69" s="73">
        <f>H68/F68-1</f>
        <v>7.6755011572396281E-2</v>
      </c>
      <c r="I69" s="339">
        <f>AVERAGE('[2]2021_Base RPA'!$B$1051:$B$1070)</f>
        <v>5.3455399999999997</v>
      </c>
      <c r="J69" s="73">
        <f>J68/H68-1</f>
        <v>2.8281257399367377E-3</v>
      </c>
      <c r="K69" s="67">
        <f>AVERAGE('[2]2021_Base RPA'!$B$1071:$B$1092)</f>
        <v>5.4454272727272732</v>
      </c>
      <c r="L69" s="73">
        <f>L68/J68-1</f>
        <v>0.11328607302281779</v>
      </c>
      <c r="M69">
        <f>'[2]2021_Base RPA'!$Q$535</f>
        <v>0</v>
      </c>
      <c r="O69" s="125"/>
    </row>
    <row r="70" spans="1:20" x14ac:dyDescent="0.35">
      <c r="A70" s="318"/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20"/>
      <c r="N70" s="106"/>
      <c r="O70" s="80"/>
      <c r="P70" s="106"/>
    </row>
    <row r="71" spans="1:20" x14ac:dyDescent="0.35">
      <c r="A71" s="90"/>
      <c r="B71" s="75"/>
      <c r="C71" s="38"/>
      <c r="D71" s="113"/>
      <c r="E71" s="37"/>
      <c r="F71" s="37"/>
      <c r="G71" s="36"/>
      <c r="H71" s="37"/>
      <c r="I71" s="36"/>
      <c r="J71" s="39"/>
      <c r="K71" s="38"/>
      <c r="L71" s="100"/>
    </row>
    <row r="72" spans="1:20" ht="23.5" x14ac:dyDescent="0.35">
      <c r="A72" s="74"/>
      <c r="B72" s="75"/>
      <c r="C72" s="38"/>
      <c r="D72" s="36"/>
      <c r="E72" s="108" t="s">
        <v>66</v>
      </c>
      <c r="G72" s="78"/>
      <c r="J72" s="78"/>
      <c r="K72" s="78"/>
      <c r="L72" s="100"/>
    </row>
    <row r="73" spans="1:20" x14ac:dyDescent="0.35">
      <c r="A73" s="74"/>
      <c r="B73" s="75"/>
      <c r="C73" s="38"/>
      <c r="D73" s="36"/>
      <c r="E73" s="37"/>
      <c r="F73" s="81"/>
      <c r="G73" s="81"/>
      <c r="H73" s="94"/>
      <c r="I73" s="36"/>
      <c r="J73" s="97"/>
      <c r="K73" s="38"/>
      <c r="L73" s="38"/>
    </row>
    <row r="74" spans="1:20" x14ac:dyDescent="0.35">
      <c r="F74" s="81"/>
      <c r="G74" s="81"/>
      <c r="H74" s="95"/>
      <c r="I74" s="96"/>
      <c r="J74" s="97"/>
      <c r="K74" s="96"/>
    </row>
  </sheetData>
  <mergeCells count="50">
    <mergeCell ref="A1:L1"/>
    <mergeCell ref="A2:B2"/>
    <mergeCell ref="C2:D2"/>
    <mergeCell ref="E2:F2"/>
    <mergeCell ref="G2:H2"/>
    <mergeCell ref="I2:J2"/>
    <mergeCell ref="K2:L2"/>
    <mergeCell ref="K28:L28"/>
    <mergeCell ref="C26:D26"/>
    <mergeCell ref="A27:B27"/>
    <mergeCell ref="C27:D27"/>
    <mergeCell ref="G27:H27"/>
    <mergeCell ref="I27:J27"/>
    <mergeCell ref="K27:L27"/>
    <mergeCell ref="A28:B28"/>
    <mergeCell ref="C28:D28"/>
    <mergeCell ref="E28:F28"/>
    <mergeCell ref="G28:H28"/>
    <mergeCell ref="I28:J28"/>
    <mergeCell ref="A32:L32"/>
    <mergeCell ref="A33:B33"/>
    <mergeCell ref="C33:D33"/>
    <mergeCell ref="E33:F33"/>
    <mergeCell ref="G33:H33"/>
    <mergeCell ref="I33:J33"/>
    <mergeCell ref="K33:L33"/>
    <mergeCell ref="K40:L40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67:L67"/>
    <mergeCell ref="A65:B65"/>
    <mergeCell ref="C65:D65"/>
    <mergeCell ref="E65:F65"/>
    <mergeCell ref="G65:H65"/>
    <mergeCell ref="I65:J65"/>
    <mergeCell ref="K65:L65"/>
    <mergeCell ref="A67:B67"/>
    <mergeCell ref="C67:D67"/>
    <mergeCell ref="E67:F67"/>
    <mergeCell ref="G67:H67"/>
    <mergeCell ref="I67:J67"/>
  </mergeCells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9563-FC45-4B4C-8BF0-7EADD0E428D7}">
  <dimension ref="A1:X73"/>
  <sheetViews>
    <sheetView topLeftCell="A12" workbookViewId="0">
      <selection activeCell="B28" sqref="B28"/>
    </sheetView>
  </sheetViews>
  <sheetFormatPr defaultRowHeight="14.5" x14ac:dyDescent="0.35"/>
  <cols>
    <col min="1" max="1" width="8.453125" customWidth="1"/>
    <col min="2" max="2" width="12.1796875" customWidth="1"/>
    <col min="3" max="3" width="7" customWidth="1"/>
    <col min="4" max="4" width="11.453125" customWidth="1"/>
    <col min="5" max="5" width="7" customWidth="1"/>
    <col min="6" max="6" width="11.453125" customWidth="1"/>
    <col min="7" max="7" width="7" customWidth="1"/>
    <col min="8" max="8" width="11.453125" customWidth="1"/>
    <col min="9" max="9" width="9.1796875" customWidth="1"/>
    <col min="10" max="10" width="11.81640625" customWidth="1"/>
    <col min="11" max="11" width="7" customWidth="1"/>
    <col min="12" max="12" width="12.26953125" customWidth="1"/>
    <col min="15" max="15" width="15.54296875" hidden="1" customWidth="1"/>
    <col min="16" max="16" width="9.1796875" hidden="1" customWidth="1"/>
    <col min="17" max="17" width="8.81640625" hidden="1" customWidth="1"/>
    <col min="18" max="19" width="11.7265625" hidden="1" customWidth="1"/>
    <col min="20" max="20" width="15.54296875" hidden="1" customWidth="1"/>
    <col min="21" max="21" width="9.7265625" bestFit="1" customWidth="1"/>
  </cols>
  <sheetData>
    <row r="1" spans="1:20" ht="15" thickBot="1" x14ac:dyDescent="0.4">
      <c r="A1" s="381" t="s">
        <v>347</v>
      </c>
      <c r="B1" s="382"/>
      <c r="C1" s="382"/>
      <c r="D1" s="382"/>
      <c r="E1" s="382"/>
      <c r="F1" s="382"/>
      <c r="G1" s="382"/>
      <c r="H1" s="382"/>
      <c r="I1" s="409"/>
      <c r="J1" s="409"/>
      <c r="K1" s="382"/>
      <c r="L1" s="383"/>
      <c r="O1" s="116" t="s">
        <v>38</v>
      </c>
    </row>
    <row r="2" spans="1:20" ht="15" customHeight="1" x14ac:dyDescent="0.35">
      <c r="A2" s="414">
        <v>46023</v>
      </c>
      <c r="B2" s="397"/>
      <c r="C2" s="414">
        <v>46054</v>
      </c>
      <c r="D2" s="397"/>
      <c r="E2" s="414">
        <v>46082</v>
      </c>
      <c r="F2" s="397"/>
      <c r="G2" s="414">
        <v>46113</v>
      </c>
      <c r="H2" s="397"/>
      <c r="I2" s="414">
        <v>46143</v>
      </c>
      <c r="J2" s="397"/>
      <c r="K2" s="414">
        <v>46174</v>
      </c>
      <c r="L2" s="397"/>
      <c r="P2" s="78" t="s">
        <v>35</v>
      </c>
      <c r="Q2" s="78" t="s">
        <v>36</v>
      </c>
      <c r="R2" s="78" t="s">
        <v>37</v>
      </c>
      <c r="S2" s="78" t="s">
        <v>63</v>
      </c>
      <c r="T2" s="78" t="s">
        <v>64</v>
      </c>
    </row>
    <row r="3" spans="1:20" x14ac:dyDescent="0.35">
      <c r="A3" s="44"/>
      <c r="B3" s="50" t="s">
        <v>7</v>
      </c>
      <c r="C3" s="51"/>
      <c r="D3" s="40" t="s">
        <v>8</v>
      </c>
      <c r="E3" s="51"/>
      <c r="F3" s="52" t="s">
        <v>8</v>
      </c>
      <c r="G3" s="51"/>
      <c r="H3" s="40" t="s">
        <v>8</v>
      </c>
      <c r="I3" s="49"/>
      <c r="J3" s="53" t="s">
        <v>8</v>
      </c>
      <c r="K3" s="51"/>
      <c r="L3" s="52" t="s">
        <v>8</v>
      </c>
      <c r="O3" s="81">
        <v>41275</v>
      </c>
      <c r="P3" s="77">
        <v>8049.2454545454557</v>
      </c>
      <c r="Q3" s="79">
        <v>1.0884092159256786E-2</v>
      </c>
      <c r="R3" s="80">
        <v>16364.920933636367</v>
      </c>
      <c r="S3" s="79">
        <v>-1.0958324450971002E-2</v>
      </c>
      <c r="T3" s="79"/>
    </row>
    <row r="4" spans="1:20" x14ac:dyDescent="0.35">
      <c r="A4" s="41">
        <v>2</v>
      </c>
      <c r="B4" s="63">
        <f>IF('[2]2021_Base RPA'!$F1093="","",'[2]2021_Base RPA'!$F1093)</f>
        <v>12571</v>
      </c>
      <c r="C4" s="41"/>
      <c r="D4" s="63"/>
      <c r="E4" s="41"/>
      <c r="F4" s="63"/>
      <c r="G4" s="41"/>
      <c r="H4" s="63"/>
      <c r="I4" s="49"/>
      <c r="J4" s="63"/>
      <c r="K4" s="41"/>
      <c r="L4" s="63"/>
      <c r="O4" s="81">
        <v>41306</v>
      </c>
      <c r="P4" s="77">
        <v>8070.4750000000004</v>
      </c>
      <c r="Q4" s="79">
        <v>2.6374578306040952E-3</v>
      </c>
      <c r="R4" s="80">
        <v>15912.555557500002</v>
      </c>
      <c r="S4" s="79">
        <v>-2.7642380795532939E-2</v>
      </c>
      <c r="T4" s="79"/>
    </row>
    <row r="5" spans="1:20" x14ac:dyDescent="0.35">
      <c r="A5" s="41">
        <v>3</v>
      </c>
      <c r="B5" s="63">
        <f>IF('[2]2021_Base RPA'!$F1094="","",'[2]2021_Base RPA'!$F1094)</f>
        <v>12884</v>
      </c>
      <c r="C5" s="41"/>
      <c r="D5" s="63"/>
      <c r="E5" s="41"/>
      <c r="F5" s="63"/>
      <c r="G5" s="41"/>
      <c r="H5" s="63"/>
      <c r="I5" s="49"/>
      <c r="J5" s="63"/>
      <c r="K5" s="41"/>
      <c r="L5" s="63"/>
      <c r="O5" s="81">
        <v>41334</v>
      </c>
      <c r="P5" s="77">
        <v>7662.4</v>
      </c>
      <c r="Q5" s="79">
        <v>-5.0563938305985823E-2</v>
      </c>
      <c r="R5" s="80">
        <v>15212.928959999999</v>
      </c>
      <c r="S5" s="79">
        <v>-4.396695395481276E-2</v>
      </c>
      <c r="T5" s="79"/>
    </row>
    <row r="6" spans="1:20" x14ac:dyDescent="0.35">
      <c r="A6" s="41">
        <v>6</v>
      </c>
      <c r="B6" s="63">
        <f>IF('[2]2021_Base RPA'!$F1095="","",'[2]2021_Base RPA'!$F1095)</f>
        <v>13269.5</v>
      </c>
      <c r="C6" s="41"/>
      <c r="D6" s="63"/>
      <c r="E6" s="41"/>
      <c r="F6" s="63"/>
      <c r="G6" s="41"/>
      <c r="H6" s="63"/>
      <c r="I6" s="49"/>
      <c r="J6" s="63"/>
      <c r="K6" s="41"/>
      <c r="L6" s="63"/>
      <c r="O6" s="81">
        <v>41365</v>
      </c>
      <c r="P6" s="77">
        <v>7203.3571428571431</v>
      </c>
      <c r="Q6" s="79">
        <v>-5.9908495659696248E-2</v>
      </c>
      <c r="R6" s="80">
        <v>14413.917642857143</v>
      </c>
      <c r="S6" s="79">
        <v>-5.2521859481742816E-2</v>
      </c>
      <c r="T6" s="79"/>
    </row>
    <row r="7" spans="1:20" x14ac:dyDescent="0.35">
      <c r="A7" s="41">
        <v>7</v>
      </c>
      <c r="B7" s="63">
        <f>IF('[2]2021_Base RPA'!$F1096="","",'[2]2021_Base RPA'!$F1096)</f>
        <v>13145</v>
      </c>
      <c r="C7" s="41"/>
      <c r="D7" s="63"/>
      <c r="E7" s="41"/>
      <c r="F7" s="63"/>
      <c r="G7" s="41"/>
      <c r="H7" s="63"/>
      <c r="I7" s="49"/>
      <c r="J7" s="63"/>
      <c r="K7" s="41"/>
      <c r="L7" s="63"/>
      <c r="O7" s="81">
        <v>41395</v>
      </c>
      <c r="P7" s="77">
        <v>7229.1428571428569</v>
      </c>
      <c r="Q7" s="79">
        <v>3.5796801094727382E-3</v>
      </c>
      <c r="R7" s="80">
        <v>14704.07657142857</v>
      </c>
      <c r="S7" s="79">
        <v>2.0130469436615339E-2</v>
      </c>
      <c r="T7" s="79"/>
    </row>
    <row r="8" spans="1:20" x14ac:dyDescent="0.35">
      <c r="A8" s="41">
        <v>8</v>
      </c>
      <c r="B8" s="63">
        <f>IF('[2]2021_Base RPA'!$F1097="","",'[2]2021_Base RPA'!$F1097)</f>
        <v>12885</v>
      </c>
      <c r="C8" s="41"/>
      <c r="D8" s="63"/>
      <c r="E8" s="41"/>
      <c r="F8" s="63"/>
      <c r="G8" s="41"/>
      <c r="H8" s="63"/>
      <c r="I8" s="49"/>
      <c r="J8" s="63"/>
      <c r="K8" s="41"/>
      <c r="L8" s="63"/>
      <c r="O8" s="81">
        <v>41426</v>
      </c>
      <c r="P8" s="77">
        <v>7004.05</v>
      </c>
      <c r="Q8" s="79">
        <v>-3.1136866650857575E-2</v>
      </c>
      <c r="R8" s="80">
        <v>15198.788500000001</v>
      </c>
      <c r="S8" s="79">
        <v>3.3644542461966243E-2</v>
      </c>
      <c r="T8" s="79"/>
    </row>
    <row r="9" spans="1:20" x14ac:dyDescent="0.35">
      <c r="A9" s="41">
        <v>9</v>
      </c>
      <c r="B9" s="63">
        <f>IF('[2]2021_Base RPA'!$F1098="","",'[2]2021_Base RPA'!$F1098)</f>
        <v>13060</v>
      </c>
      <c r="C9" s="41"/>
      <c r="D9" s="63"/>
      <c r="E9" s="41"/>
      <c r="F9" s="63"/>
      <c r="G9" s="41"/>
      <c r="H9" s="63"/>
      <c r="I9" s="49"/>
      <c r="J9" s="63"/>
      <c r="K9" s="41"/>
      <c r="L9" s="63"/>
      <c r="O9" s="81">
        <v>41456</v>
      </c>
      <c r="P9" s="77">
        <v>6896.977272727273</v>
      </c>
      <c r="Q9" s="79">
        <v>-1.528725912475315E-2</v>
      </c>
      <c r="R9" s="80">
        <v>15536.682762727272</v>
      </c>
      <c r="S9" s="79">
        <v>2.223165765661328E-2</v>
      </c>
      <c r="T9" s="79"/>
    </row>
    <row r="10" spans="1:20" x14ac:dyDescent="0.35">
      <c r="A10" s="41">
        <v>10</v>
      </c>
      <c r="B10" s="63">
        <f>IF('[2]2021_Base RPA'!$F1099="","",'[2]2021_Base RPA'!$F1099)</f>
        <v>13310</v>
      </c>
      <c r="C10" s="41"/>
      <c r="D10" s="63"/>
      <c r="E10" s="41"/>
      <c r="F10" s="63"/>
      <c r="G10" s="41"/>
      <c r="H10" s="63"/>
      <c r="I10" s="49"/>
      <c r="J10" s="63"/>
      <c r="K10" s="41"/>
      <c r="L10" s="63"/>
      <c r="O10" s="81">
        <v>41487</v>
      </c>
      <c r="P10" s="77">
        <v>7182.2619047619046</v>
      </c>
      <c r="Q10" s="79">
        <v>4.1363719315522962E-2</v>
      </c>
      <c r="R10" s="80">
        <v>16802.901726190477</v>
      </c>
      <c r="S10" s="79">
        <v>8.1498668847180378E-2</v>
      </c>
      <c r="T10" s="79"/>
    </row>
    <row r="11" spans="1:20" x14ac:dyDescent="0.35">
      <c r="A11" s="41">
        <v>13</v>
      </c>
      <c r="B11" s="63">
        <f>IF('[2]2021_Base RPA'!$F1100="","",'[2]2021_Base RPA'!$F1100)</f>
        <v>13310</v>
      </c>
      <c r="C11" s="41"/>
      <c r="D11" s="63"/>
      <c r="E11" s="41"/>
      <c r="F11" s="63"/>
      <c r="G11" s="41"/>
      <c r="H11" s="63"/>
      <c r="I11" s="49"/>
      <c r="J11" s="63"/>
      <c r="K11" s="41"/>
      <c r="L11" s="63"/>
      <c r="O11" s="81">
        <v>41518</v>
      </c>
      <c r="P11" s="77">
        <v>7161.4285714285716</v>
      </c>
      <c r="Q11" s="79">
        <v>-2.9006646665892255E-3</v>
      </c>
      <c r="R11" s="80">
        <v>16264.320428571429</v>
      </c>
      <c r="S11" s="79">
        <v>-3.2052874342505255E-2</v>
      </c>
      <c r="T11" s="79"/>
    </row>
    <row r="12" spans="1:20" x14ac:dyDescent="0.35">
      <c r="A12" s="41">
        <v>14</v>
      </c>
      <c r="B12" s="63">
        <f>IF('[2]2021_Base RPA'!$F1101="","",'[2]2021_Base RPA'!$F1101)</f>
        <v>13335</v>
      </c>
      <c r="C12" s="41"/>
      <c r="D12" s="63"/>
      <c r="E12" s="41"/>
      <c r="F12" s="63"/>
      <c r="G12" s="41"/>
      <c r="H12" s="63"/>
      <c r="I12" s="49"/>
      <c r="J12" s="63"/>
      <c r="K12" s="41"/>
      <c r="L12" s="63"/>
      <c r="O12" s="81">
        <v>41548</v>
      </c>
      <c r="P12" s="77">
        <v>7188.782608695652</v>
      </c>
      <c r="Q12" s="79">
        <v>3.8196341685530211E-3</v>
      </c>
      <c r="R12" s="80">
        <v>15720.429808695651</v>
      </c>
      <c r="S12" s="79">
        <v>-3.3440722117127564E-2</v>
      </c>
      <c r="T12" s="79"/>
    </row>
    <row r="13" spans="1:20" x14ac:dyDescent="0.35">
      <c r="A13" s="179">
        <v>15</v>
      </c>
      <c r="B13" s="63">
        <f>IF('[2]2021_Base RPA'!$F1102="","",'[2]2021_Base RPA'!$F1102)</f>
        <v>13205</v>
      </c>
      <c r="C13" s="41"/>
      <c r="D13" s="63"/>
      <c r="E13" s="41"/>
      <c r="F13" s="63"/>
      <c r="G13" s="41"/>
      <c r="H13" s="63"/>
      <c r="I13" s="49"/>
      <c r="J13" s="63"/>
      <c r="K13" s="41"/>
      <c r="L13" s="63"/>
      <c r="O13" s="81">
        <v>41579</v>
      </c>
      <c r="P13" s="77">
        <v>7066.4047619047615</v>
      </c>
      <c r="Q13" s="79">
        <v>-1.7023445199589204E-2</v>
      </c>
      <c r="R13" s="80">
        <v>16235.77158095238</v>
      </c>
      <c r="S13" s="79">
        <v>3.2781659186676304E-2</v>
      </c>
      <c r="T13" s="79"/>
    </row>
    <row r="14" spans="1:20" x14ac:dyDescent="0.35">
      <c r="A14" s="41">
        <v>16</v>
      </c>
      <c r="B14" s="63">
        <f>IF('[2]2021_Base RPA'!$F1103="","",'[2]2021_Base RPA'!$F1103)</f>
        <v>13000</v>
      </c>
      <c r="C14" s="41"/>
      <c r="D14" s="63"/>
      <c r="E14" s="41"/>
      <c r="F14" s="63"/>
      <c r="G14" s="41"/>
      <c r="H14" s="63"/>
      <c r="I14" s="49"/>
      <c r="J14" s="63"/>
      <c r="K14" s="41"/>
      <c r="L14" s="63"/>
      <c r="O14" s="81">
        <v>41609</v>
      </c>
      <c r="P14" s="77">
        <v>7202.95</v>
      </c>
      <c r="Q14" s="79">
        <v>1.9323155507785073E-2</v>
      </c>
      <c r="R14" s="80">
        <v>16911.086009999999</v>
      </c>
      <c r="S14" s="79">
        <v>4.1594230719523617E-2</v>
      </c>
      <c r="T14" s="79"/>
    </row>
    <row r="15" spans="1:20" x14ac:dyDescent="0.35">
      <c r="A15" s="41">
        <v>17</v>
      </c>
      <c r="B15" s="63">
        <f>IF('[2]2021_Base RPA'!$F1104="","",'[2]2021_Base RPA'!$F1104)</f>
        <v>13000</v>
      </c>
      <c r="C15" s="41"/>
      <c r="D15" s="63"/>
      <c r="E15" s="41"/>
      <c r="F15" s="63"/>
      <c r="G15" s="41"/>
      <c r="H15" s="63"/>
      <c r="I15" s="49"/>
      <c r="J15" s="63"/>
      <c r="K15" s="41"/>
      <c r="L15" s="63"/>
      <c r="O15" s="81">
        <v>41640</v>
      </c>
      <c r="P15" s="77">
        <v>7294.886363636364</v>
      </c>
      <c r="Q15" s="79">
        <v>1.2763709818388813E-2</v>
      </c>
      <c r="R15" s="80">
        <v>17368.394943181818</v>
      </c>
      <c r="S15" s="79">
        <v>2.7041961285715121E-2</v>
      </c>
      <c r="T15" s="79">
        <v>2.7041961285715121E-2</v>
      </c>
    </row>
    <row r="16" spans="1:20" x14ac:dyDescent="0.35">
      <c r="A16" s="41">
        <v>20</v>
      </c>
      <c r="B16" s="63" t="str">
        <f>IF('[2]2021_Base RPA'!$F1105="","",'[2]2021_Base RPA'!$F1105)</f>
        <v/>
      </c>
      <c r="C16" s="41"/>
      <c r="D16" s="63"/>
      <c r="E16" s="41"/>
      <c r="F16" s="63"/>
      <c r="G16" s="179"/>
      <c r="H16" s="63"/>
      <c r="I16" s="49"/>
      <c r="J16" s="63"/>
      <c r="K16" s="41"/>
      <c r="L16" s="63"/>
      <c r="O16" s="81">
        <v>41671</v>
      </c>
      <c r="P16" s="77">
        <v>7152.15</v>
      </c>
      <c r="Q16" s="79">
        <v>-1.9566632915336224E-2</v>
      </c>
      <c r="R16" s="80">
        <v>17062.884254999997</v>
      </c>
      <c r="S16" s="79">
        <v>-1.7590035762156231E-2</v>
      </c>
      <c r="T16" s="79">
        <v>8.976256457464471E-3</v>
      </c>
    </row>
    <row r="17" spans="1:21" x14ac:dyDescent="0.35">
      <c r="A17" s="41">
        <v>21</v>
      </c>
      <c r="B17" s="63" t="str">
        <f>IF('[2]2021_Base RPA'!$F1106="","",'[2]2021_Base RPA'!$F1106)</f>
        <v/>
      </c>
      <c r="C17" s="41"/>
      <c r="D17" s="63"/>
      <c r="E17" s="41"/>
      <c r="F17" s="63"/>
      <c r="G17" s="41"/>
      <c r="H17" s="63"/>
      <c r="I17" s="49"/>
      <c r="J17" s="63"/>
      <c r="K17" s="41"/>
      <c r="L17" s="63"/>
      <c r="O17" s="81">
        <v>41699</v>
      </c>
      <c r="P17" s="77">
        <v>6667.8095238095239</v>
      </c>
      <c r="Q17" s="79">
        <v>-6.7719563514534231E-2</v>
      </c>
      <c r="R17" s="80">
        <v>15507.991390476191</v>
      </c>
      <c r="S17" s="79">
        <v>-9.1127199908665579E-2</v>
      </c>
      <c r="T17" s="79">
        <v>-8.2968924567832003E-2</v>
      </c>
    </row>
    <row r="18" spans="1:21" x14ac:dyDescent="0.35">
      <c r="A18" s="41">
        <v>22</v>
      </c>
      <c r="B18" s="63" t="str">
        <f>IF('[2]2021_Base RPA'!$F1107="","",'[2]2021_Base RPA'!$F1107)</f>
        <v/>
      </c>
      <c r="C18" s="41"/>
      <c r="D18" s="63"/>
      <c r="E18" s="41"/>
      <c r="F18" s="63"/>
      <c r="G18" s="41"/>
      <c r="H18" s="63"/>
      <c r="I18" s="49"/>
      <c r="J18" s="63"/>
      <c r="K18" s="41"/>
      <c r="L18" s="63"/>
      <c r="O18" s="81">
        <v>41730</v>
      </c>
      <c r="P18" s="77">
        <v>6670.8249999999998</v>
      </c>
      <c r="Q18" s="79">
        <v>4.5224390104547929E-4</v>
      </c>
      <c r="R18" s="80">
        <v>14896.619307499999</v>
      </c>
      <c r="S18" s="79">
        <v>-3.9423034716904004E-2</v>
      </c>
      <c r="T18" s="104">
        <v>-0.11912107249107418</v>
      </c>
    </row>
    <row r="19" spans="1:21" x14ac:dyDescent="0.35">
      <c r="A19" s="179">
        <v>23</v>
      </c>
      <c r="B19" s="63" t="str">
        <f>IF('[2]2021_Base RPA'!$F1108="","",'[2]2021_Base RPA'!$F1108)</f>
        <v/>
      </c>
      <c r="C19" s="41"/>
      <c r="D19" s="63"/>
      <c r="E19" s="41"/>
      <c r="F19" s="63"/>
      <c r="G19" s="41"/>
      <c r="H19" s="63"/>
      <c r="I19" s="49"/>
      <c r="J19" s="63"/>
      <c r="K19" s="41"/>
      <c r="L19" s="63"/>
      <c r="O19" s="81">
        <v>41760</v>
      </c>
      <c r="P19" s="77">
        <v>6883.875</v>
      </c>
      <c r="Q19" s="79">
        <v>3.1937578935139266E-2</v>
      </c>
      <c r="R19" s="80">
        <v>15289.774762499999</v>
      </c>
      <c r="S19" s="79">
        <v>2.6392260343396146E-2</v>
      </c>
      <c r="T19" s="104">
        <v>-9.5872686505247051E-2</v>
      </c>
    </row>
    <row r="20" spans="1:21" x14ac:dyDescent="0.35">
      <c r="A20" s="179">
        <v>24</v>
      </c>
      <c r="B20" s="63" t="str">
        <f>IF('[2]2021_Base RPA'!$F1109="","",'[2]2021_Base RPA'!$F1109)</f>
        <v/>
      </c>
      <c r="C20" s="340"/>
      <c r="D20" s="63"/>
      <c r="E20" s="41"/>
      <c r="F20" s="63"/>
      <c r="G20" s="41"/>
      <c r="H20" s="63"/>
      <c r="I20" s="49"/>
      <c r="J20" s="63"/>
      <c r="K20" s="41"/>
      <c r="L20" s="63"/>
      <c r="O20" s="81">
        <v>41791</v>
      </c>
      <c r="P20" s="77">
        <v>6806.0952380952385</v>
      </c>
      <c r="Q20" s="79">
        <v>-1.1298834145704539E-2</v>
      </c>
      <c r="R20" s="80">
        <v>15206.177980952381</v>
      </c>
      <c r="S20" s="79">
        <v>-5.4674959472031937E-3</v>
      </c>
      <c r="T20" s="104">
        <v>-0.10081599892753534</v>
      </c>
    </row>
    <row r="21" spans="1:21" x14ac:dyDescent="0.35">
      <c r="A21" s="41">
        <v>27</v>
      </c>
      <c r="B21" s="63" t="str">
        <f>IF('[2]2021_Base RPA'!$F1110="","",'[2]2021_Base RPA'!$F1110)</f>
        <v/>
      </c>
      <c r="C21" s="41"/>
      <c r="D21" s="63"/>
      <c r="E21" s="41"/>
      <c r="F21" s="63"/>
      <c r="G21" s="41"/>
      <c r="H21" s="63"/>
      <c r="I21" s="49"/>
      <c r="J21" s="63"/>
      <c r="K21" s="41"/>
      <c r="L21" s="63"/>
      <c r="O21" s="81">
        <v>41821</v>
      </c>
      <c r="P21" s="77">
        <v>7104.847826086957</v>
      </c>
      <c r="Q21" s="79">
        <v>4.389485858492459E-2</v>
      </c>
      <c r="R21" s="80">
        <v>15807.575928260871</v>
      </c>
      <c r="S21" s="79">
        <v>3.9549579655177913E-2</v>
      </c>
      <c r="T21" s="104">
        <v>-6.5253649652458279E-2</v>
      </c>
    </row>
    <row r="22" spans="1:21" x14ac:dyDescent="0.35">
      <c r="A22" s="41">
        <v>28</v>
      </c>
      <c r="B22" s="63" t="str">
        <f>IF('[2]2021_Base RPA'!$F1111="","",'[2]2021_Base RPA'!$F1111)</f>
        <v/>
      </c>
      <c r="C22" s="314"/>
      <c r="D22" s="213"/>
      <c r="E22" s="314"/>
      <c r="F22" s="63"/>
      <c r="G22" s="342"/>
      <c r="H22" s="341"/>
      <c r="I22" s="49"/>
      <c r="J22" s="63"/>
      <c r="K22" s="314"/>
      <c r="L22" s="63"/>
      <c r="N22" s="91"/>
      <c r="O22" s="81">
        <v>41852</v>
      </c>
      <c r="P22" s="77">
        <v>7000.55</v>
      </c>
      <c r="Q22" s="79">
        <v>-1.4679811396382747E-2</v>
      </c>
      <c r="R22" s="80">
        <v>15880.047620000001</v>
      </c>
      <c r="S22" s="79">
        <v>4.5846176585218057E-3</v>
      </c>
      <c r="T22" s="104">
        <v>-6.0968195028415995E-2</v>
      </c>
    </row>
    <row r="23" spans="1:21" x14ac:dyDescent="0.35">
      <c r="A23" s="41">
        <v>29</v>
      </c>
      <c r="B23" s="63" t="str">
        <f>IF('[2]2021_Base RPA'!$F1112="","",'[2]2021_Base RPA'!$F1112)</f>
        <v/>
      </c>
      <c r="C23" s="316"/>
      <c r="D23" s="64"/>
      <c r="E23" s="316"/>
      <c r="F23" s="64"/>
      <c r="G23" s="41"/>
      <c r="H23" s="63"/>
      <c r="I23" s="49"/>
      <c r="J23" s="63"/>
      <c r="K23" s="316"/>
      <c r="L23" s="63"/>
      <c r="N23" s="91"/>
      <c r="O23" s="81">
        <v>41883</v>
      </c>
      <c r="P23" s="77">
        <v>6872.227272727273</v>
      </c>
      <c r="Q23" s="79">
        <v>-1.8330377937837317E-2</v>
      </c>
      <c r="R23" s="98">
        <v>16046.650681818182</v>
      </c>
      <c r="S23" s="79">
        <v>1.0491345227980009E-2</v>
      </c>
      <c r="T23" s="104">
        <v>-5.1116488182405995E-2</v>
      </c>
    </row>
    <row r="24" spans="1:21" x14ac:dyDescent="0.35">
      <c r="A24" s="314">
        <v>30</v>
      </c>
      <c r="B24" s="63" t="str">
        <f>IF('[2]2021_Base RPA'!$F1113="","",'[2]2021_Base RPA'!$F1113)</f>
        <v/>
      </c>
      <c r="C24" s="41"/>
      <c r="D24" s="63"/>
      <c r="E24" s="314"/>
      <c r="F24" s="213"/>
      <c r="G24" s="314"/>
      <c r="H24" s="63"/>
      <c r="I24" s="333"/>
      <c r="J24" s="63"/>
      <c r="K24" s="333"/>
      <c r="L24" s="334"/>
      <c r="O24" s="81">
        <v>41913</v>
      </c>
      <c r="P24" s="77">
        <v>6739.195652173913</v>
      </c>
      <c r="Q24" s="79">
        <v>-1.9357861036014001E-2</v>
      </c>
      <c r="R24" s="98">
        <v>16515.746784782608</v>
      </c>
      <c r="S24" s="79">
        <v>2.9233271931066618E-2</v>
      </c>
      <c r="T24" s="104">
        <v>-2.3377518450536816E-2</v>
      </c>
      <c r="U24" t="s">
        <v>175</v>
      </c>
    </row>
    <row r="25" spans="1:21" x14ac:dyDescent="0.35">
      <c r="A25" s="316">
        <v>31</v>
      </c>
      <c r="B25" s="64"/>
      <c r="C25" s="394"/>
      <c r="D25" s="395"/>
      <c r="E25" s="41"/>
      <c r="F25" s="213"/>
      <c r="I25" s="335"/>
      <c r="J25" s="63"/>
      <c r="K25" s="71"/>
      <c r="L25" s="63"/>
      <c r="O25" s="81"/>
      <c r="P25" s="77"/>
      <c r="Q25" s="79"/>
      <c r="R25" s="98"/>
      <c r="S25" s="79"/>
      <c r="T25" s="104"/>
    </row>
    <row r="26" spans="1:21" x14ac:dyDescent="0.35">
      <c r="A26" s="394"/>
      <c r="B26" s="395"/>
      <c r="C26" s="394"/>
      <c r="D26" s="395"/>
      <c r="F26" s="213"/>
      <c r="G26" s="394"/>
      <c r="H26" s="395"/>
      <c r="I26" s="394"/>
      <c r="J26" s="395"/>
      <c r="K26" s="410"/>
      <c r="L26" s="411"/>
      <c r="O26" s="81">
        <v>41944</v>
      </c>
      <c r="P26" s="77">
        <v>6701.1350000000002</v>
      </c>
      <c r="Q26" s="79">
        <v>-5.6476550226932654E-3</v>
      </c>
      <c r="R26" s="98">
        <v>17154.905600000002</v>
      </c>
      <c r="S26" s="79">
        <v>3.8699964557842748E-2</v>
      </c>
      <c r="T26" s="104">
        <v>1.4417736971819917E-2</v>
      </c>
    </row>
    <row r="27" spans="1:21" ht="15" thickBot="1" x14ac:dyDescent="0.4">
      <c r="A27" s="384">
        <f>B28/'2025'!L66-1</f>
        <v>0.10822143420492636</v>
      </c>
      <c r="B27" s="385"/>
      <c r="C27" s="384" t="e">
        <f>D28/B28-1</f>
        <v>#DIV/0!</v>
      </c>
      <c r="D27" s="385"/>
      <c r="E27" s="384" t="e">
        <f>F28/D28-1</f>
        <v>#DIV/0!</v>
      </c>
      <c r="F27" s="385"/>
      <c r="G27" s="384" t="e">
        <f>H28/F28-1</f>
        <v>#DIV/0!</v>
      </c>
      <c r="H27" s="385"/>
      <c r="I27" s="384" t="e">
        <f>J28/H28-1</f>
        <v>#DIV/0!</v>
      </c>
      <c r="J27" s="385"/>
      <c r="K27" s="384" t="e">
        <f>L28/J28-1</f>
        <v>#DIV/0!</v>
      </c>
      <c r="L27" s="385"/>
      <c r="O27" s="81">
        <v>41974</v>
      </c>
      <c r="P27" s="77">
        <v>6422.9523809523807</v>
      </c>
      <c r="Q27" s="79">
        <v>-4.1512761501987239E-2</v>
      </c>
      <c r="R27" s="98">
        <v>16968.797895238094</v>
      </c>
      <c r="S27" s="79">
        <v>-1.0848658051601734E-2</v>
      </c>
      <c r="T27" s="104">
        <v>3.412665821932892E-3</v>
      </c>
    </row>
    <row r="28" spans="1:21" ht="15" thickBot="1" x14ac:dyDescent="0.4">
      <c r="A28" s="65" t="s">
        <v>10</v>
      </c>
      <c r="B28" s="66">
        <f>AVERAGE(B4:B25)</f>
        <v>13081.208333333334</v>
      </c>
      <c r="C28" s="55" t="s">
        <v>10</v>
      </c>
      <c r="D28" s="66" t="e">
        <f>AVERAGE(D4:D22)</f>
        <v>#DIV/0!</v>
      </c>
      <c r="E28" s="55" t="s">
        <v>10</v>
      </c>
      <c r="F28" s="66" t="e">
        <f>AVERAGE(F4:F23)</f>
        <v>#DIV/0!</v>
      </c>
      <c r="G28" s="55" t="s">
        <v>10</v>
      </c>
      <c r="H28" s="66" t="e">
        <f>AVERAGE(H4:H22)</f>
        <v>#DIV/0!</v>
      </c>
      <c r="I28" s="56" t="s">
        <v>10</v>
      </c>
      <c r="J28" s="66" t="e">
        <f>AVERAGE(J4:J24)</f>
        <v>#DIV/0!</v>
      </c>
      <c r="K28" s="55" t="s">
        <v>10</v>
      </c>
      <c r="L28" s="66" t="e">
        <f>AVERAGE(L4:L23)</f>
        <v>#DIV/0!</v>
      </c>
      <c r="O28" s="81">
        <v>42005</v>
      </c>
      <c r="P28" s="77">
        <v>5791.1750000000002</v>
      </c>
      <c r="Q28" s="79">
        <v>-9.8362457555492888E-2</v>
      </c>
      <c r="R28" s="98">
        <v>15271.907592500002</v>
      </c>
      <c r="S28" s="79">
        <v>-0.10000061956152395</v>
      </c>
      <c r="T28" s="104">
        <v>-0.10000061956152395</v>
      </c>
    </row>
    <row r="29" spans="1:21" ht="15" thickBot="1" x14ac:dyDescent="0.4">
      <c r="A29" s="67" t="s">
        <v>11</v>
      </c>
      <c r="B29" s="67">
        <f>B28*A30</f>
        <v>70633.510536805567</v>
      </c>
      <c r="C29" s="67" t="s">
        <v>11</v>
      </c>
      <c r="D29" s="67" t="e">
        <f>D28*C30</f>
        <v>#DIV/0!</v>
      </c>
      <c r="E29" s="67" t="s">
        <v>11</v>
      </c>
      <c r="F29" s="67" t="e">
        <f>F28*E30</f>
        <v>#DIV/0!</v>
      </c>
      <c r="G29" s="67" t="s">
        <v>11</v>
      </c>
      <c r="H29" s="67" t="e">
        <f>H28*G30</f>
        <v>#DIV/0!</v>
      </c>
      <c r="I29" s="67" t="s">
        <v>11</v>
      </c>
      <c r="J29" s="67" t="e">
        <f>J28*I30</f>
        <v>#DIV/0!</v>
      </c>
      <c r="K29" s="67" t="s">
        <v>11</v>
      </c>
      <c r="L29" s="67" t="e">
        <f>L28*K30</f>
        <v>#DIV/0!</v>
      </c>
      <c r="O29" s="81">
        <v>42036</v>
      </c>
      <c r="P29" s="77">
        <v>5702.0749999999998</v>
      </c>
      <c r="Q29" s="79">
        <v>-1.5385478767262373E-2</v>
      </c>
      <c r="R29" s="98">
        <v>16059.837216749998</v>
      </c>
      <c r="S29" s="79">
        <v>5.1593399153158082E-2</v>
      </c>
      <c r="T29" s="104">
        <v>-5.3566592288966763E-2</v>
      </c>
    </row>
    <row r="30" spans="1:21" ht="15" thickBot="1" x14ac:dyDescent="0.4">
      <c r="A30" s="67">
        <f>AVERAGE('[2]2021_Base RPA'!$B$1093:$B$1113)</f>
        <v>5.3996166666666667</v>
      </c>
      <c r="B30" s="73">
        <f>B29/'2024'!L68-1</f>
        <v>0.30023511114520041</v>
      </c>
      <c r="C30" s="67">
        <f>AVERAGE('[2]2021_Base RPA'!$B$858:$B$877)</f>
        <v>5.7692099999999993</v>
      </c>
      <c r="D30" s="73" t="e">
        <f>D29/B29-1</f>
        <v>#DIV/0!</v>
      </c>
      <c r="E30" s="67">
        <f>AVERAGE('[2]2021_Base RPA'!$B$878:$B$898)</f>
        <v>5.75242105263158</v>
      </c>
      <c r="F30" s="22" t="e">
        <f>F29/D29-1</f>
        <v>#DIV/0!</v>
      </c>
      <c r="G30" s="67">
        <f>AVERAGE('[2]2021_Base RPA'!$B$899:$B$918)</f>
        <v>5.787374999999999</v>
      </c>
      <c r="H30" s="73" t="e">
        <f>H29/F29-1</f>
        <v>#DIV/0!</v>
      </c>
      <c r="I30" s="67">
        <f>AVERAGE('[2]2021_Base RPA'!$B$919:$B$940)</f>
        <v>5.6651047619047619</v>
      </c>
      <c r="J30" s="73" t="e">
        <f>J29/H29-1</f>
        <v>#DIV/0!</v>
      </c>
      <c r="K30" s="67">
        <f>AVERAGE('[2]2021_Base RPA'!$B$941:$B$961)</f>
        <v>5.5596349999999983</v>
      </c>
      <c r="L30" s="73" t="e">
        <f>L29/J29-1</f>
        <v>#DIV/0!</v>
      </c>
      <c r="O30" s="81">
        <v>42064</v>
      </c>
      <c r="P30" s="77">
        <v>5919.9047619047615</v>
      </c>
      <c r="Q30" s="79">
        <v>3.8201840892089667E-2</v>
      </c>
      <c r="R30" s="98">
        <v>18601.524742857142</v>
      </c>
      <c r="S30" s="79">
        <v>0.15826359207777196</v>
      </c>
      <c r="T30" s="104">
        <v>9.6219358477787953E-2</v>
      </c>
    </row>
    <row r="31" spans="1:21" ht="15" customHeight="1" thickBot="1" x14ac:dyDescent="0.4">
      <c r="A31" s="381" t="s">
        <v>280</v>
      </c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O31" s="116" t="s">
        <v>38</v>
      </c>
    </row>
    <row r="32" spans="1:21" ht="14.5" customHeight="1" x14ac:dyDescent="0.35">
      <c r="A32" s="413">
        <v>45839</v>
      </c>
      <c r="B32" s="406"/>
      <c r="C32" s="413">
        <v>45870</v>
      </c>
      <c r="D32" s="406"/>
      <c r="E32" s="413">
        <v>45901</v>
      </c>
      <c r="F32" s="406"/>
      <c r="G32" s="413">
        <v>45931</v>
      </c>
      <c r="H32" s="406"/>
      <c r="I32" s="413">
        <v>45962</v>
      </c>
      <c r="J32" s="406"/>
      <c r="K32" s="413">
        <v>45992</v>
      </c>
      <c r="L32" s="406"/>
      <c r="O32" s="81">
        <v>42125</v>
      </c>
      <c r="P32" s="77">
        <v>6300.605263157895</v>
      </c>
      <c r="Q32" s="79">
        <v>4.5140379665992825E-2</v>
      </c>
      <c r="R32" s="98">
        <v>19242.048473684212</v>
      </c>
      <c r="S32" s="79">
        <v>4.5653962162143014E-2</v>
      </c>
      <c r="T32" s="104">
        <v>0.13396650678973865</v>
      </c>
    </row>
    <row r="33" spans="1:24" x14ac:dyDescent="0.35">
      <c r="A33" s="44"/>
      <c r="B33" s="50" t="s">
        <v>7</v>
      </c>
      <c r="C33" s="51"/>
      <c r="D33" s="40" t="s">
        <v>8</v>
      </c>
      <c r="E33" s="48"/>
      <c r="F33" s="58" t="s">
        <v>8</v>
      </c>
      <c r="G33" s="51"/>
      <c r="H33" s="40" t="s">
        <v>8</v>
      </c>
      <c r="I33" s="49"/>
      <c r="J33" s="53" t="s">
        <v>18</v>
      </c>
      <c r="K33" s="51"/>
      <c r="L33" s="40" t="s">
        <v>8</v>
      </c>
      <c r="M33" s="106"/>
      <c r="O33" s="81">
        <v>42156</v>
      </c>
      <c r="P33" s="77">
        <v>5833.613636363636</v>
      </c>
      <c r="Q33" s="79">
        <v>-7.4118534218441168E-2</v>
      </c>
      <c r="R33" s="98">
        <v>18168.789670454546</v>
      </c>
      <c r="S33" s="79">
        <v>-5.5776743557084174E-2</v>
      </c>
      <c r="T33" s="104">
        <v>7.0717547738204933E-2</v>
      </c>
    </row>
    <row r="34" spans="1:24" ht="15" hidden="1" thickBot="1" x14ac:dyDescent="0.4">
      <c r="A34" s="61" t="s">
        <v>19</v>
      </c>
      <c r="B34" s="60" t="e">
        <v>#DIV/0!</v>
      </c>
      <c r="C34" s="61" t="s">
        <v>19</v>
      </c>
      <c r="D34" s="60" t="e">
        <v>#DIV/0!</v>
      </c>
      <c r="E34" s="61" t="s">
        <v>19</v>
      </c>
      <c r="F34" s="62" t="e">
        <v>#DIV/0!</v>
      </c>
      <c r="G34" s="65" t="s">
        <v>19</v>
      </c>
      <c r="H34" s="70" t="e">
        <v>#DIV/0!</v>
      </c>
      <c r="I34" s="65" t="s">
        <v>19</v>
      </c>
      <c r="J34" s="70" t="e">
        <v>#DIV/0!</v>
      </c>
      <c r="K34" s="61" t="s">
        <v>19</v>
      </c>
      <c r="L34" s="70" t="e">
        <v>#DIV/0!</v>
      </c>
      <c r="O34" s="81">
        <v>42675</v>
      </c>
      <c r="T34" s="104" t="e">
        <v>#DIV/0!</v>
      </c>
    </row>
    <row r="35" spans="1:24" ht="15" hidden="1" thickBot="1" x14ac:dyDescent="0.4">
      <c r="A35" s="55" t="s">
        <v>10</v>
      </c>
      <c r="B35" s="66" t="e">
        <v>#DIV/0!</v>
      </c>
      <c r="C35" s="55" t="s">
        <v>10</v>
      </c>
      <c r="D35" s="66" t="e">
        <v>#DIV/0!</v>
      </c>
      <c r="E35" s="56" t="s">
        <v>10</v>
      </c>
      <c r="F35" s="66" t="e">
        <v>#DIV/0!</v>
      </c>
      <c r="G35" s="55" t="s">
        <v>10</v>
      </c>
      <c r="H35" s="66" t="e">
        <v>#DIV/0!</v>
      </c>
      <c r="I35" s="56" t="s">
        <v>10</v>
      </c>
      <c r="J35" s="66" t="e">
        <v>#DIV/0!</v>
      </c>
      <c r="K35" s="55" t="s">
        <v>10</v>
      </c>
      <c r="L35" s="66" t="e">
        <v>#DIV/0!</v>
      </c>
      <c r="O35" s="81">
        <v>42705</v>
      </c>
      <c r="T35" s="104" t="e">
        <v>#DIV/0!</v>
      </c>
    </row>
    <row r="36" spans="1:24" ht="15" hidden="1" customHeight="1" thickBot="1" x14ac:dyDescent="0.4">
      <c r="A36" s="407" t="e">
        <v>#DIV/0!</v>
      </c>
      <c r="B36" s="408"/>
      <c r="C36" s="399" t="e">
        <v>#DIV/0!</v>
      </c>
      <c r="D36" s="404"/>
      <c r="E36" s="399" t="e">
        <v>#DIV/0!</v>
      </c>
      <c r="F36" s="404"/>
      <c r="G36" s="399" t="e">
        <v>#DIV/0!</v>
      </c>
      <c r="H36" s="404"/>
      <c r="I36" s="399" t="e">
        <v>#DIV/0!</v>
      </c>
      <c r="J36" s="400"/>
      <c r="K36" s="403" t="e">
        <v>#DIV/0!</v>
      </c>
      <c r="L36" s="400"/>
      <c r="O36" s="81">
        <v>42736</v>
      </c>
      <c r="T36" s="104" t="e">
        <v>#DIV/0!</v>
      </c>
    </row>
    <row r="37" spans="1:24" ht="15" hidden="1" thickBot="1" x14ac:dyDescent="0.4">
      <c r="A37" s="67" t="s">
        <v>11</v>
      </c>
      <c r="B37" s="67" t="e">
        <v>#DIV/0!</v>
      </c>
      <c r="C37" s="67" t="s">
        <v>11</v>
      </c>
      <c r="D37" s="67" t="e">
        <v>#DIV/0!</v>
      </c>
      <c r="E37" s="67" t="s">
        <v>11</v>
      </c>
      <c r="F37" s="67" t="e">
        <v>#DIV/0!</v>
      </c>
      <c r="G37" s="67" t="s">
        <v>11</v>
      </c>
      <c r="H37" s="67" t="e">
        <v>#DIV/0!</v>
      </c>
      <c r="I37" s="67" t="s">
        <v>11</v>
      </c>
      <c r="J37" s="67" t="e">
        <v>#DIV/0!</v>
      </c>
      <c r="K37" s="67" t="s">
        <v>11</v>
      </c>
      <c r="L37" s="67" t="e">
        <v>#DIV/0!</v>
      </c>
      <c r="O37" s="81">
        <v>42767</v>
      </c>
      <c r="T37" s="104" t="e">
        <v>#DIV/0!</v>
      </c>
    </row>
    <row r="38" spans="1:24" ht="15" hidden="1" thickBot="1" x14ac:dyDescent="0.4">
      <c r="A38" s="67"/>
      <c r="B38" s="73" t="e">
        <v>#DIV/0!</v>
      </c>
      <c r="C38" s="67"/>
      <c r="D38" s="73" t="e">
        <v>#DIV/0!</v>
      </c>
      <c r="E38" s="67"/>
      <c r="F38" s="73" t="e">
        <v>#DIV/0!</v>
      </c>
      <c r="G38" s="67"/>
      <c r="H38" s="73" t="e">
        <v>#DIV/0!</v>
      </c>
      <c r="I38" s="67"/>
      <c r="J38" s="73" t="e">
        <v>#DIV/0!</v>
      </c>
      <c r="K38" s="67"/>
      <c r="L38" s="73" t="e">
        <v>#DIV/0!</v>
      </c>
      <c r="O38" s="81">
        <v>42795</v>
      </c>
      <c r="T38" s="104" t="e">
        <v>#DIV/0!</v>
      </c>
    </row>
    <row r="39" spans="1:24" ht="14.5" hidden="1" customHeight="1" x14ac:dyDescent="0.35">
      <c r="A39" s="396" t="s">
        <v>90</v>
      </c>
      <c r="B39" s="397"/>
      <c r="C39" s="396" t="s">
        <v>91</v>
      </c>
      <c r="D39" s="397"/>
      <c r="E39" s="396" t="s">
        <v>92</v>
      </c>
      <c r="F39" s="397"/>
      <c r="G39" s="405" t="s">
        <v>93</v>
      </c>
      <c r="H39" s="406"/>
      <c r="I39" s="405" t="s">
        <v>94</v>
      </c>
      <c r="J39" s="406"/>
      <c r="K39" s="405" t="s">
        <v>95</v>
      </c>
      <c r="L39" s="406"/>
      <c r="O39" s="81">
        <v>42826</v>
      </c>
      <c r="T39" s="104" t="e">
        <v>#DIV/0!</v>
      </c>
    </row>
    <row r="40" spans="1:24" hidden="1" x14ac:dyDescent="0.35">
      <c r="A40" s="44"/>
      <c r="B40" s="50" t="s">
        <v>7</v>
      </c>
      <c r="C40" s="51"/>
      <c r="D40" s="40" t="s">
        <v>8</v>
      </c>
      <c r="E40" s="51"/>
      <c r="F40" s="52" t="s">
        <v>8</v>
      </c>
      <c r="G40" s="51"/>
      <c r="H40" s="40" t="s">
        <v>8</v>
      </c>
      <c r="I40" s="49"/>
      <c r="J40" s="53" t="s">
        <v>8</v>
      </c>
      <c r="K40" s="51"/>
      <c r="L40" s="40" t="s">
        <v>8</v>
      </c>
      <c r="O40" s="81">
        <v>42856</v>
      </c>
      <c r="T40" s="104" t="e">
        <v>#DIV/0!</v>
      </c>
    </row>
    <row r="41" spans="1:24" ht="15" customHeight="1" x14ac:dyDescent="0.35">
      <c r="A41" s="41">
        <v>1</v>
      </c>
      <c r="B41" s="63"/>
      <c r="C41" s="41"/>
      <c r="D41" s="63"/>
      <c r="E41" s="250"/>
      <c r="F41" s="63"/>
      <c r="G41" s="41"/>
      <c r="H41" s="63"/>
      <c r="I41" s="49"/>
      <c r="J41" s="63"/>
      <c r="K41" s="49"/>
      <c r="L41" s="63"/>
      <c r="O41" s="81" t="e">
        <f>#REF!</f>
        <v>#REF!</v>
      </c>
      <c r="P41" s="77" t="e">
        <f>#REF!</f>
        <v>#REF!</v>
      </c>
      <c r="Q41" s="79" t="e">
        <f>#REF!</f>
        <v>#REF!</v>
      </c>
      <c r="R41" s="98" t="e">
        <f>#REF!</f>
        <v>#REF!</v>
      </c>
      <c r="S41" s="79" t="e">
        <f>#REF!</f>
        <v>#REF!</v>
      </c>
      <c r="T41" s="104" t="e">
        <f>#REF!</f>
        <v>#REF!</v>
      </c>
    </row>
    <row r="42" spans="1:24" x14ac:dyDescent="0.35">
      <c r="A42" s="41">
        <v>2</v>
      </c>
      <c r="B42" s="63"/>
      <c r="C42" s="41"/>
      <c r="D42" s="63"/>
      <c r="E42" s="41"/>
      <c r="F42" s="63"/>
      <c r="G42" s="41"/>
      <c r="H42" s="63"/>
      <c r="I42" s="49"/>
      <c r="J42" s="63"/>
      <c r="K42" s="49"/>
      <c r="L42" s="63"/>
      <c r="O42" s="81" t="e">
        <f>#REF!</f>
        <v>#REF!</v>
      </c>
      <c r="P42" s="77" t="e">
        <f>#REF!</f>
        <v>#REF!</v>
      </c>
      <c r="Q42" s="79" t="e">
        <f>#REF!</f>
        <v>#REF!</v>
      </c>
      <c r="R42" s="98" t="e">
        <f>#REF!</f>
        <v>#REF!</v>
      </c>
      <c r="S42" s="79" t="e">
        <f>#REF!</f>
        <v>#REF!</v>
      </c>
      <c r="T42" s="104" t="e">
        <f>#REF!</f>
        <v>#REF!</v>
      </c>
      <c r="U42" s="133"/>
    </row>
    <row r="43" spans="1:24" x14ac:dyDescent="0.35">
      <c r="A43" s="41">
        <v>3</v>
      </c>
      <c r="B43" s="63"/>
      <c r="C43" s="41"/>
      <c r="D43" s="63"/>
      <c r="E43" s="41"/>
      <c r="F43" s="63"/>
      <c r="G43" s="41"/>
      <c r="H43" s="63"/>
      <c r="I43" s="49"/>
      <c r="J43" s="63"/>
      <c r="K43" s="49"/>
      <c r="L43" s="63"/>
      <c r="O43" s="81" t="e">
        <f>#REF!</f>
        <v>#REF!</v>
      </c>
      <c r="P43" s="77" t="e">
        <f>#REF!</f>
        <v>#REF!</v>
      </c>
      <c r="Q43" s="79" t="e">
        <f>#REF!</f>
        <v>#REF!</v>
      </c>
      <c r="R43" s="98" t="e">
        <f>#REF!</f>
        <v>#REF!</v>
      </c>
      <c r="S43" s="79" t="e">
        <f>#REF!</f>
        <v>#REF!</v>
      </c>
      <c r="T43" s="104" t="e">
        <f>#REF!</f>
        <v>#REF!</v>
      </c>
    </row>
    <row r="44" spans="1:24" x14ac:dyDescent="0.35">
      <c r="A44" s="41">
        <v>4</v>
      </c>
      <c r="B44" s="63"/>
      <c r="C44" s="41"/>
      <c r="D44" s="63"/>
      <c r="E44" s="41"/>
      <c r="F44" s="63"/>
      <c r="G44" s="41"/>
      <c r="H44" s="63"/>
      <c r="I44" s="49"/>
      <c r="J44" s="63"/>
      <c r="K44" s="49"/>
      <c r="L44" s="63"/>
      <c r="O44" s="81" t="e">
        <f>#REF!</f>
        <v>#REF!</v>
      </c>
      <c r="P44" s="77" t="e">
        <f>#REF!</f>
        <v>#REF!</v>
      </c>
      <c r="Q44" s="79" t="e">
        <f>#REF!</f>
        <v>#REF!</v>
      </c>
      <c r="R44" s="98" t="e">
        <f>#REF!</f>
        <v>#REF!</v>
      </c>
      <c r="S44" s="79" t="e">
        <f>#REF!</f>
        <v>#REF!</v>
      </c>
      <c r="T44" s="104" t="e">
        <f>#REF!</f>
        <v>#REF!</v>
      </c>
    </row>
    <row r="45" spans="1:24" x14ac:dyDescent="0.35">
      <c r="A45" s="41">
        <v>7</v>
      </c>
      <c r="B45" s="63"/>
      <c r="C45" s="41"/>
      <c r="D45" s="63"/>
      <c r="E45" s="41"/>
      <c r="F45" s="63"/>
      <c r="G45" s="41"/>
      <c r="H45" s="63"/>
      <c r="I45" s="49"/>
      <c r="J45" s="63"/>
      <c r="K45" s="49"/>
      <c r="L45" s="63"/>
      <c r="O45" s="81" t="e">
        <f>#REF!</f>
        <v>#REF!</v>
      </c>
      <c r="P45" s="77" t="e">
        <f>#REF!</f>
        <v>#REF!</v>
      </c>
      <c r="Q45" s="79" t="e">
        <f>#REF!</f>
        <v>#REF!</v>
      </c>
      <c r="R45" s="98" t="e">
        <f>#REF!</f>
        <v>#REF!</v>
      </c>
      <c r="S45" s="79" t="e">
        <f>#REF!</f>
        <v>#REF!</v>
      </c>
      <c r="T45" s="104" t="e">
        <f>#REF!</f>
        <v>#REF!</v>
      </c>
    </row>
    <row r="46" spans="1:24" x14ac:dyDescent="0.35">
      <c r="A46" s="41">
        <v>8</v>
      </c>
      <c r="B46" s="63"/>
      <c r="C46" s="41"/>
      <c r="D46" s="63"/>
      <c r="E46" s="41"/>
      <c r="F46" s="63"/>
      <c r="G46" s="41"/>
      <c r="H46" s="63"/>
      <c r="I46" s="49"/>
      <c r="J46" s="63"/>
      <c r="K46" s="49"/>
      <c r="L46" s="63"/>
      <c r="O46" s="81" t="e">
        <f>#REF!</f>
        <v>#REF!</v>
      </c>
      <c r="P46" s="77" t="e">
        <f>#REF!</f>
        <v>#REF!</v>
      </c>
      <c r="Q46" s="79" t="e">
        <f>#REF!</f>
        <v>#REF!</v>
      </c>
      <c r="R46" s="98" t="e">
        <f>#REF!</f>
        <v>#REF!</v>
      </c>
      <c r="S46" s="79" t="e">
        <f>#REF!</f>
        <v>#REF!</v>
      </c>
      <c r="T46" s="104" t="e">
        <f>#REF!</f>
        <v>#REF!</v>
      </c>
    </row>
    <row r="47" spans="1:24" x14ac:dyDescent="0.35">
      <c r="A47" s="41">
        <v>9</v>
      </c>
      <c r="B47" s="63"/>
      <c r="C47" s="41"/>
      <c r="D47" s="63"/>
      <c r="E47" s="41"/>
      <c r="F47" s="63"/>
      <c r="G47" s="41"/>
      <c r="H47" s="63"/>
      <c r="I47" s="49"/>
      <c r="J47" s="63"/>
      <c r="K47" s="49"/>
      <c r="L47" s="63"/>
      <c r="O47" s="81" t="e">
        <f>#REF!</f>
        <v>#REF!</v>
      </c>
      <c r="P47" s="77" t="e">
        <f>#REF!</f>
        <v>#REF!</v>
      </c>
      <c r="Q47" s="79" t="e">
        <f>#REF!</f>
        <v>#REF!</v>
      </c>
      <c r="R47" s="80" t="e">
        <f>#REF!</f>
        <v>#REF!</v>
      </c>
      <c r="S47" s="79" t="e">
        <f>#REF!</f>
        <v>#REF!</v>
      </c>
      <c r="T47" s="104" t="e">
        <f>#REF!</f>
        <v>#REF!</v>
      </c>
      <c r="V47" s="81"/>
      <c r="W47" s="81"/>
      <c r="X47" s="81"/>
    </row>
    <row r="48" spans="1:24" x14ac:dyDescent="0.35">
      <c r="A48" s="41">
        <v>10</v>
      </c>
      <c r="B48" s="63"/>
      <c r="C48" s="41"/>
      <c r="D48" s="63"/>
      <c r="E48" s="41"/>
      <c r="F48" s="63"/>
      <c r="G48" s="41"/>
      <c r="H48" s="63"/>
      <c r="I48" s="49"/>
      <c r="J48" s="63"/>
      <c r="K48" s="49"/>
      <c r="L48" s="63"/>
      <c r="O48" s="81" t="e">
        <f>#REF!</f>
        <v>#REF!</v>
      </c>
      <c r="P48" s="77" t="e">
        <f>#REF!</f>
        <v>#REF!</v>
      </c>
      <c r="Q48" s="79" t="e">
        <f>#REF!</f>
        <v>#REF!</v>
      </c>
      <c r="R48" s="80" t="e">
        <f>#REF!</f>
        <v>#REF!</v>
      </c>
      <c r="S48" s="79" t="e">
        <f>#REF!</f>
        <v>#REF!</v>
      </c>
      <c r="T48" s="104" t="e">
        <f>#REF!</f>
        <v>#REF!</v>
      </c>
    </row>
    <row r="49" spans="1:21" x14ac:dyDescent="0.35">
      <c r="A49" s="41">
        <v>11</v>
      </c>
      <c r="B49" s="63"/>
      <c r="C49" s="41"/>
      <c r="D49" s="63"/>
      <c r="E49" s="41"/>
      <c r="F49" s="63"/>
      <c r="G49" s="41"/>
      <c r="H49" s="63"/>
      <c r="I49" s="49"/>
      <c r="J49" s="63"/>
      <c r="K49" s="49"/>
      <c r="L49" s="63"/>
      <c r="O49" s="81" t="e">
        <f>#REF!</f>
        <v>#REF!</v>
      </c>
      <c r="P49" s="77" t="e">
        <f>#REF!</f>
        <v>#REF!</v>
      </c>
      <c r="Q49" s="79" t="e">
        <f>#REF!</f>
        <v>#REF!</v>
      </c>
      <c r="R49" s="80" t="e">
        <f>#REF!</f>
        <v>#REF!</v>
      </c>
      <c r="S49" s="79" t="e">
        <f>#REF!</f>
        <v>#REF!</v>
      </c>
      <c r="T49" s="104" t="e">
        <f>#REF!</f>
        <v>#REF!</v>
      </c>
    </row>
    <row r="50" spans="1:21" x14ac:dyDescent="0.35">
      <c r="A50" s="41">
        <v>14</v>
      </c>
      <c r="B50" s="63"/>
      <c r="C50" s="41"/>
      <c r="D50" s="63"/>
      <c r="E50" s="41"/>
      <c r="F50" s="63"/>
      <c r="G50" s="41"/>
      <c r="H50" s="63"/>
      <c r="I50" s="49"/>
      <c r="J50" s="63"/>
      <c r="K50" s="49"/>
      <c r="L50" s="63"/>
      <c r="O50" s="81" t="e">
        <f>#REF!</f>
        <v>#REF!</v>
      </c>
      <c r="P50" s="77" t="e">
        <f>#REF!</f>
        <v>#REF!</v>
      </c>
      <c r="Q50" s="79" t="e">
        <f>#REF!</f>
        <v>#REF!</v>
      </c>
      <c r="R50" s="80" t="e">
        <f>#REF!</f>
        <v>#REF!</v>
      </c>
      <c r="S50" s="79" t="e">
        <f>#REF!</f>
        <v>#REF!</v>
      </c>
      <c r="T50" s="104" t="e">
        <f>#REF!</f>
        <v>#REF!</v>
      </c>
    </row>
    <row r="51" spans="1:21" x14ac:dyDescent="0.35">
      <c r="A51" s="41">
        <v>15</v>
      </c>
      <c r="B51" s="63"/>
      <c r="C51" s="41"/>
      <c r="D51" s="63"/>
      <c r="E51" s="41"/>
      <c r="F51" s="63"/>
      <c r="G51" s="41"/>
      <c r="H51" s="63"/>
      <c r="I51" s="49"/>
      <c r="J51" s="63"/>
      <c r="K51" s="49"/>
      <c r="L51" s="63"/>
      <c r="O51" s="81" t="e">
        <f>#REF!</f>
        <v>#REF!</v>
      </c>
      <c r="P51" s="77" t="e">
        <f>#REF!</f>
        <v>#REF!</v>
      </c>
      <c r="Q51" s="79" t="e">
        <f>#REF!</f>
        <v>#REF!</v>
      </c>
      <c r="R51" s="80" t="e">
        <f>#REF!</f>
        <v>#REF!</v>
      </c>
      <c r="S51" s="79" t="e">
        <f>#REF!</f>
        <v>#REF!</v>
      </c>
      <c r="T51" s="104" t="e">
        <f>#REF!</f>
        <v>#REF!</v>
      </c>
    </row>
    <row r="52" spans="1:21" x14ac:dyDescent="0.35">
      <c r="A52" s="41">
        <v>16</v>
      </c>
      <c r="B52" s="63"/>
      <c r="C52" s="41"/>
      <c r="D52" s="63"/>
      <c r="E52" s="41"/>
      <c r="F52" s="63"/>
      <c r="G52" s="41"/>
      <c r="H52" s="63"/>
      <c r="I52" s="49"/>
      <c r="J52" s="63"/>
      <c r="K52" s="49"/>
      <c r="L52" s="63"/>
      <c r="O52" s="81" t="e">
        <f>#REF!</f>
        <v>#REF!</v>
      </c>
      <c r="P52" s="77" t="e">
        <f>#REF!</f>
        <v>#REF!</v>
      </c>
      <c r="Q52" s="79" t="e">
        <f>#REF!</f>
        <v>#REF!</v>
      </c>
      <c r="R52" s="80" t="e">
        <f>#REF!</f>
        <v>#REF!</v>
      </c>
      <c r="S52" s="79" t="e">
        <f>#REF!</f>
        <v>#REF!</v>
      </c>
      <c r="T52" s="104" t="e">
        <f>#REF!</f>
        <v>#REF!</v>
      </c>
    </row>
    <row r="53" spans="1:21" x14ac:dyDescent="0.35">
      <c r="A53" s="41">
        <v>17</v>
      </c>
      <c r="B53" s="63"/>
      <c r="C53" s="41"/>
      <c r="D53" s="63"/>
      <c r="E53" s="41"/>
      <c r="F53" s="63"/>
      <c r="G53" s="41"/>
      <c r="H53" s="63"/>
      <c r="I53" s="49"/>
      <c r="J53" s="63"/>
      <c r="K53" s="49"/>
      <c r="L53" s="63"/>
      <c r="O53" s="81" t="e">
        <f>#REF!</f>
        <v>#REF!</v>
      </c>
      <c r="P53" s="77" t="e">
        <f>#REF!</f>
        <v>#REF!</v>
      </c>
      <c r="Q53" s="79" t="e">
        <f>#REF!</f>
        <v>#REF!</v>
      </c>
      <c r="R53" s="80" t="e">
        <f>#REF!</f>
        <v>#REF!</v>
      </c>
      <c r="S53" s="79" t="e">
        <f>#REF!</f>
        <v>#REF!</v>
      </c>
      <c r="T53" s="104" t="e">
        <f>#REF!</f>
        <v>#REF!</v>
      </c>
    </row>
    <row r="54" spans="1:21" x14ac:dyDescent="0.35">
      <c r="A54" s="41">
        <v>18</v>
      </c>
      <c r="B54" s="63"/>
      <c r="C54" s="41"/>
      <c r="D54" s="63"/>
      <c r="E54" s="41"/>
      <c r="F54" s="63"/>
      <c r="G54" s="41"/>
      <c r="H54" s="63"/>
      <c r="I54" s="49"/>
      <c r="J54" s="63"/>
      <c r="K54" s="49"/>
      <c r="L54" s="63"/>
      <c r="M54" s="106"/>
      <c r="O54" s="81" t="e">
        <f>#REF!</f>
        <v>#REF!</v>
      </c>
      <c r="P54" s="77" t="e">
        <f>#REF!</f>
        <v>#REF!</v>
      </c>
      <c r="Q54" s="79" t="e">
        <f>#REF!</f>
        <v>#REF!</v>
      </c>
      <c r="R54" s="80" t="e">
        <f>#REF!</f>
        <v>#REF!</v>
      </c>
      <c r="S54" s="79" t="e">
        <f>#REF!</f>
        <v>#REF!</v>
      </c>
      <c r="T54" s="104" t="e">
        <f>#REF!</f>
        <v>#REF!</v>
      </c>
      <c r="U54" s="106"/>
    </row>
    <row r="55" spans="1:21" x14ac:dyDescent="0.35">
      <c r="A55" s="41">
        <v>21</v>
      </c>
      <c r="B55" s="63"/>
      <c r="C55" s="41"/>
      <c r="D55" s="63"/>
      <c r="E55" s="41"/>
      <c r="F55" s="63"/>
      <c r="G55" s="41"/>
      <c r="H55" s="63"/>
      <c r="I55" s="49"/>
      <c r="J55" s="63"/>
      <c r="K55" s="49"/>
      <c r="L55" s="63"/>
      <c r="O55" s="81" t="e">
        <f>#REF!</f>
        <v>#REF!</v>
      </c>
      <c r="P55" s="77" t="e">
        <f>#REF!</f>
        <v>#REF!</v>
      </c>
      <c r="Q55" s="79" t="e">
        <f>#REF!</f>
        <v>#REF!</v>
      </c>
      <c r="R55" s="80" t="e">
        <f>#REF!</f>
        <v>#REF!</v>
      </c>
      <c r="S55" s="79" t="e">
        <f>#REF!</f>
        <v>#REF!</v>
      </c>
      <c r="T55" s="104" t="e">
        <f>#REF!</f>
        <v>#REF!</v>
      </c>
    </row>
    <row r="56" spans="1:21" x14ac:dyDescent="0.35">
      <c r="A56" s="41">
        <v>22</v>
      </c>
      <c r="B56" s="63"/>
      <c r="C56" s="41"/>
      <c r="D56" s="63"/>
      <c r="E56" s="41"/>
      <c r="F56" s="63"/>
      <c r="G56" s="41"/>
      <c r="H56" s="63"/>
      <c r="I56" s="49"/>
      <c r="J56" s="63"/>
      <c r="K56" s="49"/>
      <c r="L56" s="63"/>
      <c r="O56" s="81" t="e">
        <f>#REF!</f>
        <v>#REF!</v>
      </c>
      <c r="P56" s="77" t="e">
        <f>#REF!</f>
        <v>#REF!</v>
      </c>
      <c r="Q56" s="79" t="e">
        <f>#REF!</f>
        <v>#REF!</v>
      </c>
      <c r="R56" s="80" t="e">
        <f>#REF!</f>
        <v>#REF!</v>
      </c>
      <c r="S56" s="79" t="e">
        <f>#REF!</f>
        <v>#REF!</v>
      </c>
      <c r="T56" s="104" t="e">
        <f>#REF!</f>
        <v>#REF!</v>
      </c>
    </row>
    <row r="57" spans="1:21" x14ac:dyDescent="0.35">
      <c r="A57" s="41">
        <v>23</v>
      </c>
      <c r="B57" s="63"/>
      <c r="C57" s="41"/>
      <c r="D57" s="63"/>
      <c r="E57" s="41"/>
      <c r="F57" s="63"/>
      <c r="G57" s="41"/>
      <c r="H57" s="63"/>
      <c r="I57" s="49"/>
      <c r="J57" s="63"/>
      <c r="K57" s="49"/>
      <c r="L57" s="63"/>
      <c r="O57" s="81" t="e">
        <f>#REF!</f>
        <v>#REF!</v>
      </c>
      <c r="P57" s="77" t="e">
        <f>#REF!</f>
        <v>#REF!</v>
      </c>
      <c r="Q57" s="79" t="e">
        <f>#REF!</f>
        <v>#REF!</v>
      </c>
      <c r="R57" s="80" t="e">
        <f>#REF!</f>
        <v>#REF!</v>
      </c>
      <c r="S57" s="79" t="e">
        <f>#REF!</f>
        <v>#REF!</v>
      </c>
      <c r="T57" s="104" t="e">
        <f>#REF!</f>
        <v>#REF!</v>
      </c>
    </row>
    <row r="58" spans="1:21" x14ac:dyDescent="0.35">
      <c r="A58" s="41">
        <v>24</v>
      </c>
      <c r="B58" s="63"/>
      <c r="C58" s="41"/>
      <c r="D58" s="63"/>
      <c r="E58" s="41"/>
      <c r="F58" s="63"/>
      <c r="G58" s="41"/>
      <c r="H58" s="63"/>
      <c r="I58" s="49"/>
      <c r="J58" s="63"/>
      <c r="K58" s="49"/>
      <c r="L58" s="63"/>
      <c r="O58" s="81" t="e">
        <f>#REF!</f>
        <v>#REF!</v>
      </c>
      <c r="P58" s="115" t="e">
        <f>#REF!</f>
        <v>#REF!</v>
      </c>
      <c r="Q58" s="79" t="e">
        <f>#REF!</f>
        <v>#REF!</v>
      </c>
      <c r="R58" s="80" t="e">
        <f>#REF!</f>
        <v>#REF!</v>
      </c>
      <c r="S58" s="126" t="e">
        <f>#REF!</f>
        <v>#REF!</v>
      </c>
      <c r="T58" t="e">
        <f>#REF!</f>
        <v>#REF!</v>
      </c>
    </row>
    <row r="59" spans="1:21" x14ac:dyDescent="0.35">
      <c r="A59" s="41">
        <v>25</v>
      </c>
      <c r="B59" s="63"/>
      <c r="C59" s="41"/>
      <c r="D59" s="63"/>
      <c r="E59" s="41"/>
      <c r="F59" s="63"/>
      <c r="G59" s="41"/>
      <c r="H59" s="63"/>
      <c r="I59" s="49"/>
      <c r="J59" s="63"/>
      <c r="K59" s="71"/>
      <c r="L59" s="63"/>
      <c r="O59" t="e">
        <f>#REF!</f>
        <v>#REF!</v>
      </c>
      <c r="P59" s="79" t="e">
        <f>#REF!</f>
        <v>#REF!</v>
      </c>
      <c r="Q59" t="e">
        <f>#REF!</f>
        <v>#REF!</v>
      </c>
      <c r="R59" t="e">
        <f>#REF!</f>
        <v>#REF!</v>
      </c>
      <c r="S59" t="e">
        <f>#REF!</f>
        <v>#REF!</v>
      </c>
      <c r="T59" t="e">
        <f>#REF!</f>
        <v>#REF!</v>
      </c>
    </row>
    <row r="60" spans="1:21" x14ac:dyDescent="0.35">
      <c r="A60" s="41">
        <v>28</v>
      </c>
      <c r="B60" s="63"/>
      <c r="C60" s="41"/>
      <c r="D60" s="63"/>
      <c r="E60" s="314"/>
      <c r="F60" s="63"/>
      <c r="G60" s="41"/>
      <c r="H60" s="63"/>
      <c r="I60" s="49"/>
      <c r="J60" s="63"/>
      <c r="K60" s="71"/>
      <c r="L60" s="63"/>
      <c r="O60" t="e">
        <f>#REF!</f>
        <v>#REF!</v>
      </c>
      <c r="P60" t="e">
        <f>#REF!</f>
        <v>#REF!</v>
      </c>
      <c r="Q60" t="e">
        <f>#REF!</f>
        <v>#REF!</v>
      </c>
      <c r="R60" t="e">
        <f>#REF!</f>
        <v>#REF!</v>
      </c>
      <c r="S60" t="e">
        <f>#REF!</f>
        <v>#REF!</v>
      </c>
      <c r="T60" t="e">
        <f>#REF!</f>
        <v>#REF!</v>
      </c>
    </row>
    <row r="61" spans="1:21" x14ac:dyDescent="0.35">
      <c r="A61" s="327">
        <v>29</v>
      </c>
      <c r="B61" s="63"/>
      <c r="C61" s="179"/>
      <c r="D61" s="63"/>
      <c r="E61" s="316"/>
      <c r="F61" s="63"/>
      <c r="G61" s="41"/>
      <c r="H61" s="63"/>
      <c r="I61" s="314"/>
      <c r="J61" s="63"/>
      <c r="K61" s="71"/>
      <c r="L61" s="63"/>
      <c r="O61" t="e">
        <f>#REF!</f>
        <v>#REF!</v>
      </c>
      <c r="P61" t="e">
        <f>#REF!</f>
        <v>#REF!</v>
      </c>
      <c r="Q61" t="e">
        <f>#REF!</f>
        <v>#REF!</v>
      </c>
      <c r="R61" t="e">
        <f>#REF!</f>
        <v>#REF!</v>
      </c>
      <c r="S61" t="e">
        <f>#REF!</f>
        <v>#REF!</v>
      </c>
      <c r="T61" t="e">
        <f>#REF!</f>
        <v>#REF!</v>
      </c>
    </row>
    <row r="62" spans="1:21" x14ac:dyDescent="0.35">
      <c r="A62" s="327">
        <v>30</v>
      </c>
      <c r="B62" s="63"/>
      <c r="C62" s="41"/>
      <c r="D62" s="63"/>
      <c r="E62" s="316"/>
      <c r="F62" s="63"/>
      <c r="G62" s="314"/>
      <c r="H62" s="63"/>
      <c r="I62" s="316"/>
      <c r="J62" s="273"/>
      <c r="K62" s="323"/>
      <c r="L62" s="63"/>
      <c r="O62" t="e">
        <f>#REF!</f>
        <v>#REF!</v>
      </c>
      <c r="P62" t="e">
        <f>#REF!</f>
        <v>#REF!</v>
      </c>
      <c r="Q62" t="e">
        <f>#REF!</f>
        <v>#REF!</v>
      </c>
      <c r="R62" t="e">
        <f>#REF!</f>
        <v>#REF!</v>
      </c>
      <c r="S62" t="e">
        <f>#REF!</f>
        <v>#REF!</v>
      </c>
      <c r="T62" t="e">
        <f>#REF!</f>
        <v>#REF!</v>
      </c>
    </row>
    <row r="63" spans="1:21" x14ac:dyDescent="0.35">
      <c r="A63" s="327">
        <v>31</v>
      </c>
      <c r="B63" s="63"/>
      <c r="C63" s="41"/>
      <c r="D63" s="63"/>
      <c r="E63" s="314"/>
      <c r="F63" s="213"/>
      <c r="G63" s="316"/>
      <c r="H63" s="63"/>
      <c r="I63" s="316"/>
      <c r="J63" s="273"/>
      <c r="K63" s="337"/>
      <c r="L63" s="338"/>
    </row>
    <row r="64" spans="1:21" ht="15" thickBot="1" x14ac:dyDescent="0.4">
      <c r="A64" s="384" t="e">
        <f>B65/L28-1</f>
        <v>#DIV/0!</v>
      </c>
      <c r="B64" s="385"/>
      <c r="C64" s="384" t="e">
        <f>D65/B65-1</f>
        <v>#DIV/0!</v>
      </c>
      <c r="D64" s="385"/>
      <c r="E64" s="384" t="e">
        <f>F65/D65-1</f>
        <v>#DIV/0!</v>
      </c>
      <c r="F64" s="385"/>
      <c r="G64" s="384" t="e">
        <f>H65/F65-1</f>
        <v>#DIV/0!</v>
      </c>
      <c r="H64" s="385"/>
      <c r="I64" s="384"/>
      <c r="J64" s="385"/>
      <c r="K64" s="384" t="e">
        <f>L65/J65-1</f>
        <v>#DIV/0!</v>
      </c>
      <c r="L64" s="385"/>
      <c r="O64" t="e">
        <f>#REF!</f>
        <v>#REF!</v>
      </c>
      <c r="P64" t="e">
        <f>#REF!</f>
        <v>#REF!</v>
      </c>
      <c r="Q64" t="e">
        <f>#REF!</f>
        <v>#REF!</v>
      </c>
      <c r="R64" t="e">
        <f>#REF!</f>
        <v>#REF!</v>
      </c>
      <c r="S64" t="e">
        <f>#REF!</f>
        <v>#REF!</v>
      </c>
      <c r="T64" t="e">
        <f>#REF!</f>
        <v>#REF!</v>
      </c>
    </row>
    <row r="65" spans="1:20" ht="15" thickBot="1" x14ac:dyDescent="0.4">
      <c r="A65" s="65" t="s">
        <v>10</v>
      </c>
      <c r="B65" s="66" t="e">
        <f>AVERAGE(B41:B63)</f>
        <v>#DIV/0!</v>
      </c>
      <c r="C65" s="55" t="s">
        <v>10</v>
      </c>
      <c r="D65" s="66" t="e">
        <f>AVERAGE(D41:D63)</f>
        <v>#DIV/0!</v>
      </c>
      <c r="E65" s="55" t="s">
        <v>10</v>
      </c>
      <c r="F65" s="66" t="e">
        <f>AVERAGE(F41:F62)</f>
        <v>#DIV/0!</v>
      </c>
      <c r="G65" s="55" t="s">
        <v>10</v>
      </c>
      <c r="H65" s="66" t="e">
        <f>AVERAGE(H41:H63)</f>
        <v>#DIV/0!</v>
      </c>
      <c r="I65" s="56" t="s">
        <v>10</v>
      </c>
      <c r="J65" s="66" t="e">
        <f>AVERAGE(J41:J60)</f>
        <v>#DIV/0!</v>
      </c>
      <c r="K65" s="55" t="s">
        <v>10</v>
      </c>
      <c r="L65" s="66" t="e">
        <f>AVERAGE(L41:L62)</f>
        <v>#DIV/0!</v>
      </c>
      <c r="O65" t="e">
        <f>#REF!</f>
        <v>#REF!</v>
      </c>
      <c r="P65" t="e">
        <f>#REF!</f>
        <v>#REF!</v>
      </c>
      <c r="Q65" t="e">
        <f>#REF!</f>
        <v>#REF!</v>
      </c>
      <c r="R65" t="e">
        <f>#REF!</f>
        <v>#REF!</v>
      </c>
      <c r="S65" t="e">
        <f>#REF!</f>
        <v>#REF!</v>
      </c>
      <c r="T65" t="e">
        <f>#REF!</f>
        <v>#REF!</v>
      </c>
    </row>
    <row r="66" spans="1:20" ht="15" thickBot="1" x14ac:dyDescent="0.4">
      <c r="A66" s="386"/>
      <c r="B66" s="387"/>
      <c r="C66" s="407"/>
      <c r="D66" s="412"/>
      <c r="E66" s="388"/>
      <c r="F66" s="390"/>
      <c r="G66" s="388"/>
      <c r="H66" s="390"/>
      <c r="I66" s="391"/>
      <c r="J66" s="391"/>
      <c r="K66" s="403"/>
      <c r="L66" s="400"/>
    </row>
    <row r="67" spans="1:20" ht="15" thickBot="1" x14ac:dyDescent="0.4">
      <c r="A67" s="67" t="s">
        <v>11</v>
      </c>
      <c r="B67" s="67" t="e">
        <f>B65*A68</f>
        <v>#DIV/0!</v>
      </c>
      <c r="C67" s="67" t="s">
        <v>11</v>
      </c>
      <c r="D67" s="99" t="e">
        <f>D65*C68</f>
        <v>#DIV/0!</v>
      </c>
      <c r="E67" s="67" t="s">
        <v>11</v>
      </c>
      <c r="F67" s="67" t="e">
        <f>F65*E68</f>
        <v>#DIV/0!</v>
      </c>
      <c r="G67" s="67" t="s">
        <v>11</v>
      </c>
      <c r="H67" s="67" t="e">
        <f>H65*G68</f>
        <v>#DIV/0!</v>
      </c>
      <c r="I67" s="67" t="s">
        <v>11</v>
      </c>
      <c r="J67" s="67" t="e">
        <f>J65*I68</f>
        <v>#DIV/0!</v>
      </c>
      <c r="K67" s="67" t="s">
        <v>11</v>
      </c>
      <c r="L67" s="67" t="e">
        <f>L65*K68</f>
        <v>#DIV/0!</v>
      </c>
      <c r="M67" s="79"/>
    </row>
    <row r="68" spans="1:20" ht="15" thickBot="1" x14ac:dyDescent="0.4">
      <c r="A68" s="67">
        <f>AVERAGE('[2]2021_Base RPA'!$B$962:$B$984)</f>
        <v>5.5221869565217379</v>
      </c>
      <c r="B68" s="73" t="e">
        <f>B67/L29-1</f>
        <v>#DIV/0!</v>
      </c>
      <c r="C68" s="67">
        <f>AVERAGE('[2]2021_Base RPA'!$B$985:$B$1005)</f>
        <v>5.455290476190477</v>
      </c>
      <c r="D68" s="73" t="e">
        <f>D67/B67-1</f>
        <v>#DIV/0!</v>
      </c>
      <c r="E68" s="67">
        <f>AVERAGE('[2]2021_Base RPA'!$B$1006:$B$1027)</f>
        <v>5.3723090909090923</v>
      </c>
      <c r="F68" s="73" t="e">
        <f>F67/D67-1</f>
        <v>#DIV/0!</v>
      </c>
      <c r="G68" s="67">
        <f>AVERAGE('[2]2021_Base RPA'!B$1028:B$1050)</f>
        <v>5.382669565217391</v>
      </c>
      <c r="H68" s="73" t="e">
        <f>H67/F67-1</f>
        <v>#DIV/0!</v>
      </c>
      <c r="I68" s="339">
        <f>AVERAGE('[2]2021_Base RPA'!$B$1051:$B$1070)</f>
        <v>5.3455399999999997</v>
      </c>
      <c r="J68" s="73" t="e">
        <f>J67/H67-1</f>
        <v>#DIV/0!</v>
      </c>
      <c r="K68" s="67">
        <f>AVERAGE('[2]2021_Base RPA'!$B$1071:$B$1092)</f>
        <v>5.4454272727272732</v>
      </c>
      <c r="L68" s="73" t="e">
        <f>L67/J67-1</f>
        <v>#DIV/0!</v>
      </c>
      <c r="M68">
        <f>'[2]2021_Base RPA'!$Q$535</f>
        <v>0</v>
      </c>
      <c r="O68" s="125"/>
    </row>
    <row r="69" spans="1:20" x14ac:dyDescent="0.35">
      <c r="A69" s="318"/>
      <c r="B69" s="319"/>
      <c r="C69" s="319"/>
      <c r="D69" s="319"/>
      <c r="E69" s="319"/>
      <c r="F69" s="319"/>
      <c r="G69" s="319"/>
      <c r="H69" s="319"/>
      <c r="I69" s="319"/>
      <c r="J69" s="319"/>
      <c r="K69" s="319"/>
      <c r="L69" s="320"/>
      <c r="N69" s="106"/>
      <c r="O69" s="80"/>
      <c r="P69" s="106"/>
    </row>
    <row r="70" spans="1:20" x14ac:dyDescent="0.35">
      <c r="A70" s="90"/>
      <c r="B70" s="75"/>
      <c r="C70" s="38"/>
      <c r="D70" s="113"/>
      <c r="E70" s="37"/>
      <c r="F70" s="37"/>
      <c r="G70" s="36"/>
      <c r="H70" s="37"/>
      <c r="I70" s="36"/>
      <c r="J70" s="39"/>
      <c r="K70" s="38"/>
      <c r="L70" s="100"/>
    </row>
    <row r="71" spans="1:20" ht="23.5" x14ac:dyDescent="0.35">
      <c r="A71" s="74"/>
      <c r="B71" s="75"/>
      <c r="C71" s="38"/>
      <c r="D71" s="36"/>
      <c r="E71" s="108" t="s">
        <v>66</v>
      </c>
      <c r="G71" s="78"/>
      <c r="J71" s="78"/>
      <c r="K71" s="78"/>
      <c r="L71" s="100"/>
    </row>
    <row r="72" spans="1:20" x14ac:dyDescent="0.35">
      <c r="A72" s="74"/>
      <c r="B72" s="75"/>
      <c r="C72" s="38"/>
      <c r="D72" s="36"/>
      <c r="E72" s="37"/>
      <c r="F72" s="81"/>
      <c r="G72" s="81"/>
      <c r="H72" s="94"/>
      <c r="I72" s="36"/>
      <c r="J72" s="97"/>
      <c r="K72" s="38"/>
      <c r="L72" s="38"/>
    </row>
    <row r="73" spans="1:20" x14ac:dyDescent="0.35">
      <c r="F73" s="81"/>
      <c r="G73" s="81"/>
      <c r="H73" s="95"/>
      <c r="I73" s="96"/>
      <c r="J73" s="97"/>
      <c r="K73" s="96"/>
    </row>
  </sheetData>
  <mergeCells count="50">
    <mergeCell ref="A1:L1"/>
    <mergeCell ref="A2:B2"/>
    <mergeCell ref="C2:D2"/>
    <mergeCell ref="E2:F2"/>
    <mergeCell ref="G2:H2"/>
    <mergeCell ref="I2:J2"/>
    <mergeCell ref="K2:L2"/>
    <mergeCell ref="K27:L27"/>
    <mergeCell ref="C25:D25"/>
    <mergeCell ref="A26:B26"/>
    <mergeCell ref="C26:D26"/>
    <mergeCell ref="G26:H26"/>
    <mergeCell ref="I26:J26"/>
    <mergeCell ref="K26:L26"/>
    <mergeCell ref="A27:B27"/>
    <mergeCell ref="C27:D27"/>
    <mergeCell ref="E27:F27"/>
    <mergeCell ref="G27:H27"/>
    <mergeCell ref="I27:J27"/>
    <mergeCell ref="A31:L31"/>
    <mergeCell ref="A32:B32"/>
    <mergeCell ref="C32:D32"/>
    <mergeCell ref="E32:F32"/>
    <mergeCell ref="G32:H32"/>
    <mergeCell ref="I32:J32"/>
    <mergeCell ref="K32:L32"/>
    <mergeCell ref="K39:L39"/>
    <mergeCell ref="A36:B36"/>
    <mergeCell ref="C36:D36"/>
    <mergeCell ref="E36:F36"/>
    <mergeCell ref="G36:H36"/>
    <mergeCell ref="I36:J36"/>
    <mergeCell ref="K36:L36"/>
    <mergeCell ref="A39:B39"/>
    <mergeCell ref="C39:D39"/>
    <mergeCell ref="E39:F39"/>
    <mergeCell ref="G39:H39"/>
    <mergeCell ref="I39:J39"/>
    <mergeCell ref="K66:L66"/>
    <mergeCell ref="A64:B64"/>
    <mergeCell ref="C64:D64"/>
    <mergeCell ref="E64:F64"/>
    <mergeCell ref="G64:H64"/>
    <mergeCell ref="I64:J64"/>
    <mergeCell ref="K64:L64"/>
    <mergeCell ref="A66:B66"/>
    <mergeCell ref="C66:D66"/>
    <mergeCell ref="E66:F66"/>
    <mergeCell ref="G66:H66"/>
    <mergeCell ref="I66:J6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pageSetUpPr fitToPage="1"/>
  </sheetPr>
  <dimension ref="A1:BU135"/>
  <sheetViews>
    <sheetView showGridLines="0" tabSelected="1" zoomScaleNormal="100" workbookViewId="0">
      <selection activeCell="O110" sqref="O110"/>
    </sheetView>
  </sheetViews>
  <sheetFormatPr defaultColWidth="9.1796875" defaultRowHeight="14.5" x14ac:dyDescent="0.35"/>
  <cols>
    <col min="1" max="1" width="11" bestFit="1" customWidth="1"/>
    <col min="2" max="2" width="10.26953125" bestFit="1" customWidth="1"/>
    <col min="3" max="3" width="9.81640625" customWidth="1"/>
    <col min="4" max="4" width="7" hidden="1" customWidth="1"/>
    <col min="5" max="5" width="10" hidden="1" customWidth="1"/>
    <col min="6" max="6" width="14.08984375" customWidth="1"/>
    <col min="7" max="7" width="17.453125" customWidth="1"/>
    <col min="8" max="8" width="4.7265625" customWidth="1"/>
    <col min="9" max="9" width="2" bestFit="1" customWidth="1"/>
    <col min="10" max="10" width="11" bestFit="1" customWidth="1"/>
    <col min="11" max="11" width="10.54296875" bestFit="1" customWidth="1"/>
    <col min="12" max="12" width="9.1796875" customWidth="1"/>
    <col min="13" max="13" width="8.54296875" hidden="1" customWidth="1"/>
    <col min="14" max="14" width="3" bestFit="1" customWidth="1"/>
    <col min="15" max="15" width="13.26953125" bestFit="1" customWidth="1"/>
    <col min="16" max="17" width="10.54296875" bestFit="1" customWidth="1"/>
    <col min="18" max="18" width="13.26953125" customWidth="1"/>
    <col min="19" max="19" width="9.1796875" bestFit="1" customWidth="1"/>
    <col min="20" max="20" width="9.1796875" customWidth="1"/>
    <col min="21" max="21" width="11" customWidth="1"/>
    <col min="22" max="22" width="11.7265625" customWidth="1"/>
    <col min="23" max="23" width="10.26953125" customWidth="1"/>
    <col min="24" max="24" width="13.26953125" customWidth="1"/>
    <col min="25" max="25" width="8.81640625" customWidth="1"/>
    <col min="26" max="26" width="6.81640625" style="183" customWidth="1"/>
    <col min="27" max="27" width="12.1796875" customWidth="1"/>
    <col min="28" max="28" width="11.26953125" bestFit="1" customWidth="1"/>
    <col min="29" max="29" width="16.26953125" bestFit="1" customWidth="1"/>
    <col min="30" max="30" width="13.26953125" bestFit="1" customWidth="1"/>
    <col min="31" max="31" width="7.453125" bestFit="1" customWidth="1"/>
    <col min="32" max="32" width="5.1796875" customWidth="1"/>
    <col min="33" max="33" width="10.54296875" bestFit="1" customWidth="1"/>
    <col min="34" max="34" width="10.1796875" bestFit="1" customWidth="1"/>
    <col min="35" max="35" width="9.1796875" customWidth="1"/>
    <col min="36" max="36" width="11.7265625" bestFit="1" customWidth="1"/>
    <col min="37" max="37" width="9.1796875" customWidth="1"/>
    <col min="38" max="38" width="4.453125" customWidth="1"/>
    <col min="39" max="39" width="12.453125" hidden="1" customWidth="1"/>
    <col min="40" max="40" width="10.1796875" hidden="1" customWidth="1"/>
    <col min="41" max="41" width="9.1796875" hidden="1" customWidth="1"/>
    <col min="42" max="42" width="11.7265625" hidden="1" customWidth="1"/>
    <col min="43" max="43" width="9.1796875" hidden="1" customWidth="1"/>
    <col min="44" max="44" width="3.81640625" customWidth="1"/>
    <col min="45" max="45" width="11.54296875" customWidth="1"/>
    <col min="46" max="46" width="10.1796875" customWidth="1"/>
    <col min="47" max="48" width="9.1796875" customWidth="1"/>
    <col min="49" max="49" width="9.1796875" style="183" customWidth="1"/>
    <col min="50" max="52" width="9.1796875" hidden="1" customWidth="1"/>
    <col min="53" max="53" width="12.1796875" hidden="1" customWidth="1"/>
    <col min="54" max="54" width="9.1796875" style="183" customWidth="1"/>
    <col min="55" max="55" width="14" customWidth="1"/>
    <col min="56" max="56" width="9.1796875" customWidth="1"/>
    <col min="57" max="57" width="11.81640625" bestFit="1" customWidth="1"/>
    <col min="59" max="59" width="10.54296875" hidden="1" customWidth="1"/>
    <col min="60" max="61" width="0" hidden="1" customWidth="1"/>
    <col min="63" max="63" width="10.54296875" hidden="1" customWidth="1"/>
    <col min="64" max="64" width="12.54296875" hidden="1" customWidth="1"/>
    <col min="65" max="66" width="0" hidden="1" customWidth="1"/>
    <col min="67" max="67" width="10.54296875" hidden="1" customWidth="1"/>
    <col min="68" max="68" width="12.26953125" hidden="1" customWidth="1"/>
    <col min="69" max="70" width="0" hidden="1" customWidth="1"/>
    <col min="71" max="71" width="11.453125" hidden="1" customWidth="1"/>
    <col min="72" max="72" width="12.81640625" hidden="1" customWidth="1"/>
    <col min="73" max="73" width="18.7265625" hidden="1" customWidth="1"/>
  </cols>
  <sheetData>
    <row r="1" spans="1:73" ht="31.5" customHeight="1" x14ac:dyDescent="0.35">
      <c r="A1" s="429" t="s">
        <v>263</v>
      </c>
      <c r="B1" s="429"/>
      <c r="C1" s="429"/>
      <c r="D1" s="429"/>
      <c r="E1" s="429"/>
      <c r="F1" s="427" t="s">
        <v>264</v>
      </c>
      <c r="G1" s="427"/>
      <c r="J1" s="427" t="s">
        <v>183</v>
      </c>
      <c r="K1" s="427"/>
      <c r="L1" s="427"/>
      <c r="O1" s="427" t="s">
        <v>208</v>
      </c>
      <c r="P1" s="427"/>
      <c r="Q1" s="427"/>
      <c r="R1" s="427"/>
      <c r="S1" s="427"/>
      <c r="U1" s="427" t="s">
        <v>207</v>
      </c>
      <c r="V1" s="427"/>
      <c r="W1" s="427"/>
      <c r="X1" s="427"/>
      <c r="Y1" s="427"/>
      <c r="Z1" s="203"/>
      <c r="AA1" s="427" t="s">
        <v>211</v>
      </c>
      <c r="AB1" s="427"/>
      <c r="AC1" s="427"/>
      <c r="AD1" s="427"/>
      <c r="AE1" s="427"/>
      <c r="AG1" s="427" t="s">
        <v>213</v>
      </c>
      <c r="AH1" s="427"/>
      <c r="AI1" s="427"/>
      <c r="AJ1" s="427"/>
      <c r="AK1" s="427"/>
      <c r="AM1" s="427" t="s">
        <v>214</v>
      </c>
      <c r="AN1" s="427"/>
      <c r="AO1" s="427"/>
      <c r="AP1" s="427"/>
      <c r="AQ1" s="427"/>
      <c r="AS1" s="427" t="s">
        <v>215</v>
      </c>
      <c r="AT1" s="427"/>
      <c r="AU1" s="427"/>
      <c r="AV1" s="78"/>
      <c r="AW1" s="203"/>
      <c r="AX1" s="91" t="s">
        <v>222</v>
      </c>
      <c r="AY1" s="91"/>
      <c r="AZ1" s="91"/>
      <c r="BA1" s="78"/>
      <c r="BB1" s="203"/>
      <c r="BD1" s="91" t="s">
        <v>217</v>
      </c>
      <c r="BH1" s="91" t="s">
        <v>324</v>
      </c>
      <c r="BL1" s="91" t="s">
        <v>326</v>
      </c>
      <c r="BP1" s="91" t="s">
        <v>329</v>
      </c>
      <c r="BT1" s="91" t="s">
        <v>284</v>
      </c>
      <c r="BU1" s="91"/>
    </row>
    <row r="2" spans="1:73" s="167" customFormat="1" ht="30" customHeight="1" x14ac:dyDescent="0.35">
      <c r="A2" s="220" t="s">
        <v>67</v>
      </c>
      <c r="B2" s="220" t="s">
        <v>108</v>
      </c>
      <c r="C2" s="195" t="s">
        <v>148</v>
      </c>
      <c r="D2" s="425" t="s">
        <v>109</v>
      </c>
      <c r="E2" s="426"/>
      <c r="F2" s="195" t="s">
        <v>223</v>
      </c>
      <c r="G2" s="195" t="s">
        <v>224</v>
      </c>
      <c r="J2" s="220" t="s">
        <v>67</v>
      </c>
      <c r="K2" s="240" t="s">
        <v>253</v>
      </c>
      <c r="L2" s="240" t="s">
        <v>248</v>
      </c>
      <c r="M2" s="201" t="s">
        <v>244</v>
      </c>
      <c r="O2" s="220" t="s">
        <v>67</v>
      </c>
      <c r="P2" s="239" t="s">
        <v>251</v>
      </c>
      <c r="Q2" s="240" t="s">
        <v>252</v>
      </c>
      <c r="R2" s="241" t="s">
        <v>249</v>
      </c>
      <c r="S2" s="242" t="s">
        <v>250</v>
      </c>
      <c r="U2" s="220" t="s">
        <v>67</v>
      </c>
      <c r="V2" s="239" t="s">
        <v>251</v>
      </c>
      <c r="W2" s="240" t="s">
        <v>252</v>
      </c>
      <c r="X2" s="241" t="s">
        <v>249</v>
      </c>
      <c r="Y2" s="242" t="s">
        <v>250</v>
      </c>
      <c r="Z2" s="224"/>
      <c r="AA2" s="421" t="s">
        <v>209</v>
      </c>
      <c r="AB2" s="422"/>
      <c r="AC2" s="422"/>
      <c r="AD2" s="428" t="s">
        <v>210</v>
      </c>
      <c r="AE2" s="428"/>
      <c r="AF2"/>
      <c r="AG2" s="421" t="s">
        <v>209</v>
      </c>
      <c r="AH2" s="422"/>
      <c r="AI2" s="422"/>
      <c r="AJ2" s="428" t="s">
        <v>210</v>
      </c>
      <c r="AK2" s="428"/>
      <c r="AM2" s="421" t="s">
        <v>209</v>
      </c>
      <c r="AN2" s="422"/>
      <c r="AO2" s="422"/>
      <c r="AP2" s="428" t="s">
        <v>210</v>
      </c>
      <c r="AQ2" s="428"/>
      <c r="AS2" s="421" t="s">
        <v>216</v>
      </c>
      <c r="AT2" s="422"/>
      <c r="AU2" s="422"/>
      <c r="AV2" s="201" t="s">
        <v>221</v>
      </c>
      <c r="AW2" s="245" t="s">
        <v>255</v>
      </c>
      <c r="AX2" s="421" t="s">
        <v>216</v>
      </c>
      <c r="AY2" s="422"/>
      <c r="AZ2" s="422"/>
      <c r="BA2" s="201" t="s">
        <v>221</v>
      </c>
      <c r="BB2" s="204"/>
      <c r="BC2" s="421" t="s">
        <v>218</v>
      </c>
      <c r="BD2" s="422"/>
      <c r="BE2" s="422"/>
      <c r="BG2" s="421" t="s">
        <v>325</v>
      </c>
      <c r="BH2" s="422"/>
      <c r="BI2" s="422"/>
      <c r="BK2" s="421" t="s">
        <v>327</v>
      </c>
      <c r="BL2" s="422"/>
      <c r="BM2" s="422"/>
      <c r="BO2" s="421" t="s">
        <v>328</v>
      </c>
      <c r="BP2" s="422"/>
      <c r="BQ2" s="422"/>
      <c r="BS2" s="430" t="s">
        <v>285</v>
      </c>
      <c r="BT2" s="431"/>
      <c r="BU2" s="219" t="s">
        <v>286</v>
      </c>
    </row>
    <row r="3" spans="1:73" hidden="1" x14ac:dyDescent="0.35">
      <c r="A3" s="168"/>
      <c r="B3" s="164"/>
      <c r="C3" s="128"/>
      <c r="D3" s="423"/>
      <c r="E3" s="424"/>
      <c r="F3" s="127"/>
      <c r="G3" s="127"/>
      <c r="J3" s="169">
        <v>42551</v>
      </c>
      <c r="K3" s="172">
        <v>3.4420000000000002</v>
      </c>
      <c r="L3" s="128"/>
      <c r="M3" s="167"/>
      <c r="O3" s="190">
        <v>42551</v>
      </c>
      <c r="P3" s="191">
        <v>4630.6400000000003</v>
      </c>
      <c r="Q3" s="128"/>
      <c r="R3" s="218">
        <f>P3*K3</f>
        <v>15938.662880000002</v>
      </c>
      <c r="S3" s="188"/>
      <c r="U3" s="169">
        <v>42551</v>
      </c>
      <c r="V3" s="170">
        <v>2023</v>
      </c>
      <c r="W3" s="128"/>
      <c r="X3" s="194">
        <f t="shared" ref="X3:X34" si="0">V3*K3</f>
        <v>6963.1660000000002</v>
      </c>
      <c r="Y3" s="189"/>
      <c r="Z3" s="225"/>
      <c r="AA3" s="221"/>
      <c r="AB3" s="127"/>
      <c r="AC3" s="127"/>
      <c r="AD3" s="127"/>
      <c r="AE3" s="127"/>
      <c r="AG3" s="190"/>
      <c r="AH3" s="191"/>
      <c r="AI3" s="192"/>
      <c r="AJ3" s="171"/>
      <c r="AK3" s="171"/>
      <c r="AM3" s="190"/>
      <c r="AN3" s="191"/>
      <c r="AO3" s="192"/>
      <c r="AP3" s="171"/>
      <c r="AQ3" s="171"/>
      <c r="AS3" s="190"/>
      <c r="AT3" s="191"/>
      <c r="AU3" s="192"/>
      <c r="AV3" s="171"/>
      <c r="AW3" s="205"/>
      <c r="AX3" s="190"/>
      <c r="AY3" s="191"/>
      <c r="AZ3" s="192"/>
      <c r="BA3" s="171"/>
      <c r="BB3" s="205"/>
      <c r="BC3" s="169"/>
      <c r="BD3" s="172"/>
      <c r="BE3" s="171"/>
    </row>
    <row r="4" spans="1:73" hidden="1" x14ac:dyDescent="0.35">
      <c r="A4" s="168"/>
      <c r="B4" s="164"/>
      <c r="C4" s="128"/>
      <c r="D4" s="423"/>
      <c r="E4" s="424"/>
      <c r="F4" s="127"/>
      <c r="G4" s="127"/>
      <c r="J4" s="169">
        <v>42552</v>
      </c>
      <c r="K4" s="172">
        <f>'2016'!A83</f>
        <v>3.2715999999999998</v>
      </c>
      <c r="L4" s="128">
        <f t="shared" ref="L4:L7" si="1">K4/K3-1</f>
        <v>-4.9506101104009437E-2</v>
      </c>
      <c r="M4" s="167"/>
      <c r="O4" s="190">
        <v>42552</v>
      </c>
      <c r="P4" s="191">
        <f>'2016'!B80</f>
        <v>4855.4761904761908</v>
      </c>
      <c r="Q4" s="128">
        <f t="shared" ref="Q4:Q7" si="2">P4/P3-1</f>
        <v>4.8554020713376556E-2</v>
      </c>
      <c r="R4" s="218">
        <f>P4*K4</f>
        <v>15885.175904761905</v>
      </c>
      <c r="S4" s="188">
        <f t="shared" ref="S4:S10" si="3">R4/R3-1</f>
        <v>-3.3558006490752579E-3</v>
      </c>
      <c r="U4" s="169">
        <v>42552</v>
      </c>
      <c r="V4" s="170">
        <v>2184.5</v>
      </c>
      <c r="W4" s="128">
        <f>V4/V3-1</f>
        <v>7.9831932773109182E-2</v>
      </c>
      <c r="X4" s="194">
        <f t="shared" si="0"/>
        <v>7146.8101999999999</v>
      </c>
      <c r="Y4" s="189">
        <f t="shared" ref="Y4:Y14" si="4">X4/X3-1</f>
        <v>2.6373663933905833E-2</v>
      </c>
      <c r="Z4" s="225"/>
      <c r="AA4" s="221">
        <v>42552</v>
      </c>
      <c r="AB4" s="127"/>
      <c r="AC4" s="127"/>
      <c r="AD4" s="127"/>
      <c r="AE4" s="127"/>
      <c r="AG4" s="190">
        <v>42552</v>
      </c>
      <c r="AH4" s="191"/>
      <c r="AI4" s="192"/>
      <c r="AJ4" s="171"/>
      <c r="AK4" s="171"/>
      <c r="AM4" s="190">
        <v>42552</v>
      </c>
      <c r="AN4" s="191"/>
      <c r="AO4" s="192"/>
      <c r="AP4" s="171"/>
      <c r="AQ4" s="171"/>
      <c r="AS4" s="190">
        <v>42552</v>
      </c>
      <c r="AT4" s="191"/>
      <c r="AU4" s="192"/>
      <c r="AV4" s="171"/>
      <c r="AW4" s="205"/>
      <c r="AX4" s="190">
        <v>42552</v>
      </c>
      <c r="AY4" s="191"/>
      <c r="AZ4" s="192"/>
      <c r="BA4" s="171"/>
      <c r="BB4" s="205"/>
      <c r="BC4" s="169">
        <v>42552</v>
      </c>
      <c r="BD4" s="172"/>
      <c r="BE4" s="171"/>
    </row>
    <row r="5" spans="1:73" hidden="1" x14ac:dyDescent="0.35">
      <c r="A5" s="168">
        <v>42583</v>
      </c>
      <c r="B5" s="164">
        <f t="shared" ref="B5:B10" si="5">((P5*0.6)+(V5*0.4))*(K5)</f>
        <v>12092.97536029091</v>
      </c>
      <c r="C5" s="128"/>
      <c r="D5" s="423"/>
      <c r="E5" s="424"/>
      <c r="F5" s="127"/>
      <c r="G5" s="127"/>
      <c r="J5" s="168">
        <v>42583</v>
      </c>
      <c r="K5" s="160">
        <f>'2016'!C83</f>
        <v>3.2096</v>
      </c>
      <c r="L5" s="128">
        <f t="shared" si="1"/>
        <v>-1.8950972001467115E-2</v>
      </c>
      <c r="M5" s="202"/>
      <c r="O5" s="168">
        <v>42583</v>
      </c>
      <c r="P5" s="165">
        <f>'2016'!D80</f>
        <v>4757.965909090909</v>
      </c>
      <c r="Q5" s="128">
        <f t="shared" si="2"/>
        <v>-2.0082537234256015E-2</v>
      </c>
      <c r="R5" s="218">
        <f>P5*K5</f>
        <v>15271.167381818181</v>
      </c>
      <c r="S5" s="188">
        <f t="shared" si="3"/>
        <v>-3.8652925634878432E-2</v>
      </c>
      <c r="U5" s="168">
        <v>42583</v>
      </c>
      <c r="V5" s="165">
        <v>2282.4299999999998</v>
      </c>
      <c r="W5" s="128">
        <f>V5/V4-1</f>
        <v>4.4829480430304436E-2</v>
      </c>
      <c r="X5" s="194">
        <f t="shared" si="0"/>
        <v>7325.6873279999991</v>
      </c>
      <c r="Y5" s="189">
        <f t="shared" si="4"/>
        <v>2.5028946200362112E-2</v>
      </c>
      <c r="Z5" s="225"/>
      <c r="AA5" s="222">
        <v>42583</v>
      </c>
      <c r="AB5" s="127"/>
      <c r="AC5" s="127"/>
      <c r="AD5" s="127"/>
      <c r="AE5" s="127"/>
      <c r="AG5" s="168">
        <v>42583</v>
      </c>
      <c r="AH5" s="191"/>
      <c r="AI5" s="192"/>
      <c r="AJ5" s="171"/>
      <c r="AK5" s="171"/>
      <c r="AM5" s="168">
        <v>42583</v>
      </c>
      <c r="AN5" s="191"/>
      <c r="AO5" s="192"/>
      <c r="AP5" s="171"/>
      <c r="AQ5" s="171"/>
      <c r="AS5" s="168">
        <v>42583</v>
      </c>
      <c r="AT5" s="191"/>
      <c r="AU5" s="192"/>
      <c r="AV5" s="167"/>
      <c r="AW5" s="205"/>
      <c r="AX5" s="168">
        <v>42583</v>
      </c>
      <c r="AY5" s="191"/>
      <c r="AZ5" s="192"/>
      <c r="BA5" s="167"/>
      <c r="BB5" s="205"/>
      <c r="BC5" s="168">
        <v>42583</v>
      </c>
      <c r="BD5" s="160"/>
      <c r="BE5" s="128" t="str">
        <f>IFERROR(BD5/BD4-1,"")</f>
        <v/>
      </c>
    </row>
    <row r="6" spans="1:73" hidden="1" x14ac:dyDescent="0.35">
      <c r="A6" s="168">
        <v>42614</v>
      </c>
      <c r="B6" s="164">
        <f t="shared" si="5"/>
        <v>12180.078996400001</v>
      </c>
      <c r="C6" s="153">
        <f t="shared" ref="C6:C18" si="6">(B6/B5-1)</f>
        <v>7.2028292057146892E-3</v>
      </c>
      <c r="D6" s="423" t="s">
        <v>105</v>
      </c>
      <c r="E6" s="424"/>
      <c r="F6" s="162">
        <f>C6*85%</f>
        <v>6.1224048248574858E-3</v>
      </c>
      <c r="G6" s="162">
        <f>C6*65%</f>
        <v>4.681838983714548E-3</v>
      </c>
      <c r="J6" s="168">
        <v>42614</v>
      </c>
      <c r="K6" s="160">
        <f>'2016'!E83</f>
        <v>3.2564000000000002</v>
      </c>
      <c r="L6" s="128">
        <f t="shared" si="1"/>
        <v>1.4581256231306128E-2</v>
      </c>
      <c r="M6" s="202"/>
      <c r="O6" s="168">
        <v>42614</v>
      </c>
      <c r="P6" s="165">
        <f>'2016'!F80</f>
        <v>4705.625</v>
      </c>
      <c r="Q6" s="128">
        <f t="shared" si="2"/>
        <v>-1.1000690230020926E-2</v>
      </c>
      <c r="R6" s="218">
        <f t="shared" ref="R6:R9" si="7">P6*K6</f>
        <v>15323.39725</v>
      </c>
      <c r="S6" s="188">
        <f t="shared" si="3"/>
        <v>3.4201621183200803E-3</v>
      </c>
      <c r="U6" s="168">
        <v>42614</v>
      </c>
      <c r="V6" s="165">
        <v>2292.44</v>
      </c>
      <c r="W6" s="128">
        <f t="shared" ref="W6:W7" si="8">V6/V5-1</f>
        <v>4.385676669164118E-3</v>
      </c>
      <c r="X6" s="194">
        <f t="shared" si="0"/>
        <v>7465.1016160000008</v>
      </c>
      <c r="Y6" s="189">
        <f t="shared" si="4"/>
        <v>1.9030881575730962E-2</v>
      </c>
      <c r="Z6" s="225"/>
      <c r="AA6" s="222">
        <v>42614</v>
      </c>
      <c r="AB6" s="127"/>
      <c r="AC6" s="127"/>
      <c r="AD6" s="127"/>
      <c r="AE6" s="127"/>
      <c r="AG6" s="168">
        <v>42614</v>
      </c>
      <c r="AH6" s="196"/>
      <c r="AI6" s="197"/>
      <c r="AJ6" s="171"/>
      <c r="AK6" s="171"/>
      <c r="AM6" s="168">
        <v>42614</v>
      </c>
      <c r="AN6" s="196"/>
      <c r="AO6" s="197"/>
      <c r="AP6" s="171"/>
      <c r="AQ6" s="171"/>
      <c r="AS6" s="168">
        <v>42614</v>
      </c>
      <c r="AT6" s="196"/>
      <c r="AU6" s="197"/>
      <c r="AV6" s="167"/>
      <c r="AW6" s="205"/>
      <c r="AX6" s="168">
        <v>42614</v>
      </c>
      <c r="AY6" s="196"/>
      <c r="AZ6" s="197"/>
      <c r="BA6" s="167"/>
      <c r="BB6" s="205"/>
      <c r="BC6" s="168">
        <v>42614</v>
      </c>
      <c r="BD6" s="160"/>
      <c r="BE6" s="128" t="str">
        <f t="shared" ref="BE6:BE39" si="9">IFERROR(BD6/BD5-1,"")</f>
        <v/>
      </c>
    </row>
    <row r="7" spans="1:73" hidden="1" x14ac:dyDescent="0.35">
      <c r="A7" s="168">
        <v>42644</v>
      </c>
      <c r="B7" s="164">
        <f t="shared" si="5"/>
        <v>12011.491382857143</v>
      </c>
      <c r="C7" s="163">
        <f t="shared" si="6"/>
        <v>-1.3841257810617402E-2</v>
      </c>
      <c r="D7" s="423" t="s">
        <v>107</v>
      </c>
      <c r="E7" s="424"/>
      <c r="F7" s="162">
        <f t="shared" ref="F7:F11" si="10">C7*85%</f>
        <v>-1.1765069139024791E-2</v>
      </c>
      <c r="G7" s="162">
        <f t="shared" ref="G7:G13" si="11">C7*65%</f>
        <v>-8.9968175769013121E-3</v>
      </c>
      <c r="J7" s="168">
        <v>42644</v>
      </c>
      <c r="K7" s="160">
        <f>'2016'!G83</f>
        <v>3.1903999999999999</v>
      </c>
      <c r="L7" s="128">
        <f t="shared" si="1"/>
        <v>-2.0267780370961885E-2</v>
      </c>
      <c r="M7" s="202"/>
      <c r="O7" s="168">
        <v>42644</v>
      </c>
      <c r="P7" s="165">
        <f>'2016'!H80</f>
        <v>4732.1428571428569</v>
      </c>
      <c r="Q7" s="128">
        <f t="shared" si="2"/>
        <v>5.6353528262147456E-3</v>
      </c>
      <c r="R7" s="218">
        <f t="shared" si="7"/>
        <v>15097.428571428571</v>
      </c>
      <c r="S7" s="188">
        <f t="shared" si="3"/>
        <v>-1.4746643638141599E-2</v>
      </c>
      <c r="U7" s="168">
        <v>42644</v>
      </c>
      <c r="V7" s="165">
        <v>2314</v>
      </c>
      <c r="W7" s="128">
        <f t="shared" si="8"/>
        <v>9.4048262986163866E-3</v>
      </c>
      <c r="X7" s="194">
        <f t="shared" si="0"/>
        <v>7382.5855999999994</v>
      </c>
      <c r="Y7" s="189">
        <f t="shared" si="4"/>
        <v>-1.1053569026193033E-2</v>
      </c>
      <c r="Z7" s="225"/>
      <c r="AA7" s="222">
        <v>42644</v>
      </c>
      <c r="AB7" s="127"/>
      <c r="AC7" s="127"/>
      <c r="AD7" s="127"/>
      <c r="AE7" s="127"/>
      <c r="AG7" s="168">
        <v>42644</v>
      </c>
      <c r="AH7" s="170"/>
      <c r="AI7" s="171"/>
      <c r="AJ7" s="171"/>
      <c r="AK7" s="171"/>
      <c r="AM7" s="168">
        <v>42644</v>
      </c>
      <c r="AN7" s="170"/>
      <c r="AO7" s="171"/>
      <c r="AP7" s="171"/>
      <c r="AQ7" s="171"/>
      <c r="AS7" s="168">
        <v>42644</v>
      </c>
      <c r="AT7" s="170"/>
      <c r="AU7" s="171"/>
      <c r="AV7" s="167"/>
      <c r="AW7" s="205"/>
      <c r="AX7" s="168">
        <v>42644</v>
      </c>
      <c r="AY7" s="170"/>
      <c r="AZ7" s="171"/>
      <c r="BA7" s="167"/>
      <c r="BB7" s="205"/>
      <c r="BC7" s="168">
        <v>42644</v>
      </c>
      <c r="BD7" s="160"/>
      <c r="BE7" s="128" t="str">
        <f t="shared" si="9"/>
        <v/>
      </c>
    </row>
    <row r="8" spans="1:73" hidden="1" x14ac:dyDescent="0.35">
      <c r="A8" s="168">
        <v>42675</v>
      </c>
      <c r="B8" s="164">
        <f t="shared" si="5"/>
        <v>14371.156339199999</v>
      </c>
      <c r="C8" s="153">
        <f t="shared" si="6"/>
        <v>0.19645062225250243</v>
      </c>
      <c r="D8" s="423" t="s">
        <v>106</v>
      </c>
      <c r="E8" s="424"/>
      <c r="F8" s="162">
        <f t="shared" si="10"/>
        <v>0.16698302891462705</v>
      </c>
      <c r="G8" s="162">
        <f t="shared" si="11"/>
        <v>0.12769290446412659</v>
      </c>
      <c r="J8" s="168">
        <v>42675</v>
      </c>
      <c r="K8" s="160">
        <v>3.3472</v>
      </c>
      <c r="L8" s="128">
        <f t="shared" ref="L8:L13" si="12">K8/K7-1</f>
        <v>4.9147442326980872E-2</v>
      </c>
      <c r="M8" s="202"/>
      <c r="O8" s="168">
        <v>42675</v>
      </c>
      <c r="P8" s="165">
        <f>'2016'!J80</f>
        <v>5443.25</v>
      </c>
      <c r="Q8" s="128">
        <f t="shared" ref="Q8:Q13" si="13">P8/P7-1</f>
        <v>0.15027169811320751</v>
      </c>
      <c r="R8" s="218">
        <f t="shared" si="7"/>
        <v>18219.646400000001</v>
      </c>
      <c r="S8" s="188">
        <f t="shared" si="3"/>
        <v>0.20680461005658501</v>
      </c>
      <c r="U8" s="168">
        <v>42675</v>
      </c>
      <c r="V8" s="165">
        <v>2568.84</v>
      </c>
      <c r="W8" s="128">
        <f t="shared" ref="W8:W13" si="14">V8/V7-1</f>
        <v>0.11012964563526362</v>
      </c>
      <c r="X8" s="194">
        <f t="shared" si="0"/>
        <v>8598.4212480000006</v>
      </c>
      <c r="Y8" s="189">
        <f t="shared" si="4"/>
        <v>0.16468967836959458</v>
      </c>
      <c r="Z8" s="225"/>
      <c r="AA8" s="222">
        <v>42675</v>
      </c>
      <c r="AB8" s="127"/>
      <c r="AC8" s="127"/>
      <c r="AD8" s="127"/>
      <c r="AE8" s="127"/>
      <c r="AG8" s="168">
        <v>42675</v>
      </c>
      <c r="AH8" s="170"/>
      <c r="AI8" s="171"/>
      <c r="AJ8" s="171"/>
      <c r="AK8" s="171"/>
      <c r="AM8" s="168">
        <v>42675</v>
      </c>
      <c r="AN8" s="170"/>
      <c r="AO8" s="171"/>
      <c r="AP8" s="171"/>
      <c r="AQ8" s="171"/>
      <c r="AS8" s="168">
        <v>42675</v>
      </c>
      <c r="AT8" s="170"/>
      <c r="AU8" s="171"/>
      <c r="AV8" s="167"/>
      <c r="AW8" s="205"/>
      <c r="AX8" s="168">
        <v>42675</v>
      </c>
      <c r="AY8" s="170"/>
      <c r="AZ8" s="171"/>
      <c r="BA8" s="167"/>
      <c r="BB8" s="205"/>
      <c r="BC8" s="168">
        <v>42675</v>
      </c>
      <c r="BD8" s="160"/>
      <c r="BE8" s="128" t="str">
        <f t="shared" si="9"/>
        <v/>
      </c>
    </row>
    <row r="9" spans="1:73" hidden="1" x14ac:dyDescent="0.35">
      <c r="A9" s="168">
        <v>42705</v>
      </c>
      <c r="B9" s="164">
        <f t="shared" si="5"/>
        <v>15244.428783529413</v>
      </c>
      <c r="C9" s="153">
        <f t="shared" si="6"/>
        <v>6.076563525701828E-2</v>
      </c>
      <c r="D9" s="423" t="s">
        <v>135</v>
      </c>
      <c r="E9" s="424"/>
      <c r="F9" s="162">
        <f t="shared" si="10"/>
        <v>5.1650789968465539E-2</v>
      </c>
      <c r="G9" s="162">
        <f t="shared" si="11"/>
        <v>3.9497662917061881E-2</v>
      </c>
      <c r="J9" s="168">
        <v>42705</v>
      </c>
      <c r="K9" s="160">
        <f>'2016'!K83</f>
        <v>3.39</v>
      </c>
      <c r="L9" s="128">
        <f t="shared" si="12"/>
        <v>1.2786806883365198E-2</v>
      </c>
      <c r="M9" s="202"/>
      <c r="O9" s="168">
        <v>42705</v>
      </c>
      <c r="P9" s="165">
        <f>'2016'!L80</f>
        <v>5695.5294117647063</v>
      </c>
      <c r="Q9" s="128">
        <f t="shared" si="13"/>
        <v>4.63472028227081E-2</v>
      </c>
      <c r="R9" s="218">
        <f t="shared" si="7"/>
        <v>19307.844705882355</v>
      </c>
      <c r="S9" s="188">
        <f t="shared" si="3"/>
        <v>5.9726642438151512E-2</v>
      </c>
      <c r="U9" s="168">
        <v>42705</v>
      </c>
      <c r="V9" s="165">
        <v>2698.91</v>
      </c>
      <c r="W9" s="128">
        <f t="shared" si="14"/>
        <v>5.0633749085190027E-2</v>
      </c>
      <c r="X9" s="194">
        <f t="shared" si="0"/>
        <v>9149.3048999999992</v>
      </c>
      <c r="Y9" s="189">
        <f t="shared" si="4"/>
        <v>6.406799993988832E-2</v>
      </c>
      <c r="Z9" s="225"/>
      <c r="AA9" s="222">
        <v>42705</v>
      </c>
      <c r="AB9" s="127"/>
      <c r="AC9" s="127"/>
      <c r="AD9" s="127"/>
      <c r="AE9" s="127"/>
      <c r="AG9" s="168">
        <v>42705</v>
      </c>
      <c r="AH9" s="170"/>
      <c r="AI9" s="171"/>
      <c r="AJ9" s="171"/>
      <c r="AK9" s="171"/>
      <c r="AM9" s="168">
        <v>42705</v>
      </c>
      <c r="AN9" s="170"/>
      <c r="AO9" s="171"/>
      <c r="AP9" s="171"/>
      <c r="AQ9" s="171"/>
      <c r="AS9" s="168">
        <v>42705</v>
      </c>
      <c r="AT9" s="170"/>
      <c r="AU9" s="171"/>
      <c r="AV9" s="167"/>
      <c r="AW9" s="205"/>
      <c r="AX9" s="168">
        <v>42705</v>
      </c>
      <c r="AY9" s="170"/>
      <c r="AZ9" s="171"/>
      <c r="BA9" s="167"/>
      <c r="BB9" s="205"/>
      <c r="BC9" s="168">
        <v>42705</v>
      </c>
      <c r="BD9" s="160"/>
      <c r="BE9" s="128" t="str">
        <f t="shared" si="9"/>
        <v/>
      </c>
    </row>
    <row r="10" spans="1:73" hidden="1" x14ac:dyDescent="0.35">
      <c r="A10" s="168">
        <v>42736</v>
      </c>
      <c r="B10" s="164">
        <f t="shared" si="5"/>
        <v>14488.502857142859</v>
      </c>
      <c r="C10" s="153">
        <f t="shared" si="6"/>
        <v>-4.9587028620139639E-2</v>
      </c>
      <c r="D10" s="423" t="s">
        <v>137</v>
      </c>
      <c r="E10" s="424"/>
      <c r="F10" s="162">
        <f t="shared" si="10"/>
        <v>-4.2148974327118692E-2</v>
      </c>
      <c r="G10" s="162">
        <f t="shared" si="11"/>
        <v>-3.2231568603090767E-2</v>
      </c>
      <c r="J10" s="168">
        <v>42736</v>
      </c>
      <c r="K10" s="160">
        <f>'2017'!A30</f>
        <v>3.2</v>
      </c>
      <c r="L10" s="128">
        <f t="shared" si="12"/>
        <v>-5.6047197640118007E-2</v>
      </c>
      <c r="M10" s="202"/>
      <c r="O10" s="168">
        <v>42736</v>
      </c>
      <c r="P10" s="165">
        <f>'2017'!B28</f>
        <v>5737.4285714285716</v>
      </c>
      <c r="Q10" s="128">
        <f t="shared" si="13"/>
        <v>7.3564995691741686E-3</v>
      </c>
      <c r="R10" s="218">
        <f>P10*K10</f>
        <v>18359.771428571428</v>
      </c>
      <c r="S10" s="188">
        <f t="shared" si="3"/>
        <v>-4.9103009256236896E-2</v>
      </c>
      <c r="U10" s="168">
        <v>42736</v>
      </c>
      <c r="V10" s="165">
        <v>2713</v>
      </c>
      <c r="W10" s="128">
        <f t="shared" si="14"/>
        <v>5.2206261046126023E-3</v>
      </c>
      <c r="X10" s="194">
        <f t="shared" si="0"/>
        <v>8681.6</v>
      </c>
      <c r="Y10" s="189">
        <f t="shared" si="4"/>
        <v>-5.1119172998595697E-2</v>
      </c>
      <c r="Z10" s="225"/>
      <c r="AA10" s="222">
        <v>42736</v>
      </c>
      <c r="AB10" s="127"/>
      <c r="AC10" s="127"/>
      <c r="AD10" s="127"/>
      <c r="AE10" s="127"/>
      <c r="AG10" s="168">
        <v>42736</v>
      </c>
      <c r="AH10" s="170"/>
      <c r="AI10" s="171"/>
      <c r="AJ10" s="171"/>
      <c r="AK10" s="171"/>
      <c r="AM10" s="168">
        <v>42736</v>
      </c>
      <c r="AN10" s="170"/>
      <c r="AO10" s="171"/>
      <c r="AP10" s="171"/>
      <c r="AQ10" s="171"/>
      <c r="AS10" s="168">
        <v>42736</v>
      </c>
      <c r="AT10" s="170"/>
      <c r="AU10" s="171"/>
      <c r="AV10" s="167"/>
      <c r="AW10" s="205"/>
      <c r="AX10" s="168">
        <v>42736</v>
      </c>
      <c r="AY10" s="170"/>
      <c r="AZ10" s="171"/>
      <c r="BA10" s="167"/>
      <c r="BB10" s="205"/>
      <c r="BC10" s="168">
        <v>42736</v>
      </c>
      <c r="BD10" s="160"/>
      <c r="BE10" s="128" t="str">
        <f t="shared" si="9"/>
        <v/>
      </c>
    </row>
    <row r="11" spans="1:73" hidden="1" x14ac:dyDescent="0.35">
      <c r="A11" s="168">
        <v>42767</v>
      </c>
      <c r="B11" s="164">
        <f t="shared" ref="B11:B42" si="15">(($P11*0.6)+($V11*0.4))*($K11)</f>
        <v>14630.379219999999</v>
      </c>
      <c r="C11" s="153">
        <f t="shared" si="6"/>
        <v>9.7923411587825804E-3</v>
      </c>
      <c r="D11" s="423" t="s">
        <v>144</v>
      </c>
      <c r="E11" s="424"/>
      <c r="F11" s="162">
        <f t="shared" si="10"/>
        <v>8.3234899849651926E-3</v>
      </c>
      <c r="G11" s="162">
        <f t="shared" si="11"/>
        <v>6.3650217532086771E-3</v>
      </c>
      <c r="J11" s="168">
        <v>42767</v>
      </c>
      <c r="K11" s="160">
        <f>'2017'!C30</f>
        <v>3.11</v>
      </c>
      <c r="L11" s="128">
        <f t="shared" si="12"/>
        <v>-2.8125000000000067E-2</v>
      </c>
      <c r="M11" s="202"/>
      <c r="O11" s="168">
        <v>42767</v>
      </c>
      <c r="P11" s="165">
        <f>'2017'!D28</f>
        <v>5941.55</v>
      </c>
      <c r="Q11" s="128">
        <f t="shared" si="13"/>
        <v>3.5577162491907677E-2</v>
      </c>
      <c r="R11" s="218">
        <f t="shared" ref="R11:R19" si="16">P11*K11</f>
        <v>18478.220499999999</v>
      </c>
      <c r="S11" s="188">
        <f>R11/R10-1</f>
        <v>6.4515547968229114E-3</v>
      </c>
      <c r="U11" s="168">
        <v>42767</v>
      </c>
      <c r="V11" s="165">
        <v>2848.43</v>
      </c>
      <c r="W11" s="128">
        <f t="shared" si="14"/>
        <v>4.9918908956874342E-2</v>
      </c>
      <c r="X11" s="194">
        <f t="shared" si="0"/>
        <v>8858.6172999999999</v>
      </c>
      <c r="Y11" s="189">
        <f t="shared" si="4"/>
        <v>2.0389939642462274E-2</v>
      </c>
      <c r="Z11" s="225"/>
      <c r="AA11" s="222">
        <v>42767</v>
      </c>
      <c r="AB11" s="127"/>
      <c r="AC11" s="127"/>
      <c r="AD11" s="127"/>
      <c r="AE11" s="127"/>
      <c r="AG11" s="168">
        <v>42767</v>
      </c>
      <c r="AH11" s="170"/>
      <c r="AI11" s="171"/>
      <c r="AJ11" s="171"/>
      <c r="AK11" s="171"/>
      <c r="AM11" s="168">
        <v>42767</v>
      </c>
      <c r="AN11" s="170"/>
      <c r="AO11" s="171"/>
      <c r="AP11" s="171"/>
      <c r="AQ11" s="171"/>
      <c r="AS11" s="168">
        <v>42767</v>
      </c>
      <c r="AT11" s="170"/>
      <c r="AU11" s="171"/>
      <c r="AV11" s="167"/>
      <c r="AW11" s="205"/>
      <c r="AX11" s="168">
        <v>42767</v>
      </c>
      <c r="AY11" s="170"/>
      <c r="AZ11" s="171"/>
      <c r="BA11" s="167"/>
      <c r="BB11" s="205"/>
      <c r="BC11" s="168">
        <v>42767</v>
      </c>
      <c r="BD11" s="160"/>
      <c r="BE11" s="128" t="str">
        <f t="shared" si="9"/>
        <v/>
      </c>
    </row>
    <row r="12" spans="1:73" hidden="1" x14ac:dyDescent="0.35">
      <c r="A12" s="168">
        <v>42795</v>
      </c>
      <c r="B12" s="164">
        <f t="shared" si="15"/>
        <v>14392.067699965217</v>
      </c>
      <c r="C12" s="153">
        <f t="shared" si="6"/>
        <v>-1.6288813601564422E-2</v>
      </c>
      <c r="D12" s="423" t="s">
        <v>145</v>
      </c>
      <c r="E12" s="424"/>
      <c r="F12" s="162">
        <f t="shared" ref="F12:F17" si="17">C12*85%</f>
        <v>-1.3845491561329758E-2</v>
      </c>
      <c r="G12" s="162">
        <f t="shared" si="11"/>
        <v>-1.0587728841016875E-2</v>
      </c>
      <c r="J12" s="168">
        <v>42795</v>
      </c>
      <c r="K12" s="160">
        <f>'2017'!E30</f>
        <v>3.1248999999999998</v>
      </c>
      <c r="L12" s="128">
        <f t="shared" si="12"/>
        <v>4.7909967845658485E-3</v>
      </c>
      <c r="M12" s="202"/>
      <c r="O12" s="168">
        <v>42795</v>
      </c>
      <c r="P12" s="165">
        <f>'2017'!F28</f>
        <v>5821.521739130435</v>
      </c>
      <c r="Q12" s="128">
        <f t="shared" si="13"/>
        <v>-2.0201506487291243E-2</v>
      </c>
      <c r="R12" s="218">
        <f t="shared" si="16"/>
        <v>18191.673282608695</v>
      </c>
      <c r="S12" s="188">
        <f t="shared" ref="S12:S18" si="18">R12/R11-1</f>
        <v>-1.5507295055349313E-2</v>
      </c>
      <c r="U12" s="168">
        <v>42795</v>
      </c>
      <c r="V12" s="165">
        <v>2781.74</v>
      </c>
      <c r="W12" s="128">
        <f t="shared" si="14"/>
        <v>-2.3412897631326701E-2</v>
      </c>
      <c r="X12" s="194">
        <f t="shared" si="0"/>
        <v>8692.6593259999991</v>
      </c>
      <c r="Y12" s="189">
        <f t="shared" si="4"/>
        <v>-1.8734071964029986E-2</v>
      </c>
      <c r="Z12" s="225"/>
      <c r="AA12" s="222">
        <v>42795</v>
      </c>
      <c r="AB12" s="127"/>
      <c r="AC12" s="127"/>
      <c r="AD12" s="127"/>
      <c r="AE12" s="127"/>
      <c r="AG12" s="168">
        <v>42795</v>
      </c>
      <c r="AH12" s="170"/>
      <c r="AI12" s="171"/>
      <c r="AJ12" s="171"/>
      <c r="AK12" s="171"/>
      <c r="AM12" s="168">
        <v>42795</v>
      </c>
      <c r="AN12" s="170"/>
      <c r="AO12" s="171"/>
      <c r="AP12" s="171"/>
      <c r="AQ12" s="171"/>
      <c r="AS12" s="168">
        <v>42795</v>
      </c>
      <c r="AT12" s="170"/>
      <c r="AU12" s="171"/>
      <c r="AV12" s="167"/>
      <c r="AW12" s="205"/>
      <c r="AX12" s="168">
        <v>42795</v>
      </c>
      <c r="AY12" s="170"/>
      <c r="AZ12" s="171"/>
      <c r="BA12" s="167"/>
      <c r="BB12" s="205"/>
      <c r="BC12" s="168">
        <v>42795</v>
      </c>
      <c r="BD12" s="160"/>
      <c r="BE12" s="128" t="str">
        <f t="shared" si="9"/>
        <v/>
      </c>
    </row>
    <row r="13" spans="1:73" hidden="1" x14ac:dyDescent="0.35">
      <c r="A13" s="168">
        <v>42826</v>
      </c>
      <c r="B13" s="164">
        <f t="shared" si="15"/>
        <v>14016.894714</v>
      </c>
      <c r="C13" s="153">
        <f t="shared" si="6"/>
        <v>-2.6068039269029009E-2</v>
      </c>
      <c r="D13" s="423" t="s">
        <v>146</v>
      </c>
      <c r="E13" s="424"/>
      <c r="F13" s="162">
        <f t="shared" si="17"/>
        <v>-2.2157833378674656E-2</v>
      </c>
      <c r="G13" s="162">
        <f t="shared" si="11"/>
        <v>-1.6944225524868857E-2</v>
      </c>
      <c r="J13" s="168">
        <v>42826</v>
      </c>
      <c r="K13" s="160">
        <f>'2017'!G30</f>
        <v>3.1345000000000001</v>
      </c>
      <c r="L13" s="128">
        <f t="shared" si="12"/>
        <v>3.0720983071459429E-3</v>
      </c>
      <c r="M13" s="202"/>
      <c r="O13" s="168">
        <v>42826</v>
      </c>
      <c r="P13" s="165">
        <f>'2017'!H28</f>
        <v>5697.666666666667</v>
      </c>
      <c r="Q13" s="128">
        <f t="shared" si="13"/>
        <v>-2.1275377472397494E-2</v>
      </c>
      <c r="R13" s="218">
        <f t="shared" si="16"/>
        <v>17859.336166666668</v>
      </c>
      <c r="S13" s="188">
        <f t="shared" si="18"/>
        <v>-1.8268639216368454E-2</v>
      </c>
      <c r="U13" s="168">
        <v>42826</v>
      </c>
      <c r="V13" s="165">
        <v>2633.03</v>
      </c>
      <c r="W13" s="128">
        <f t="shared" si="14"/>
        <v>-5.345934558945109E-2</v>
      </c>
      <c r="X13" s="194">
        <f t="shared" si="0"/>
        <v>8253.232535000001</v>
      </c>
      <c r="Y13" s="189">
        <f t="shared" si="4"/>
        <v>-5.0551479647391595E-2</v>
      </c>
      <c r="Z13" s="225"/>
      <c r="AA13" s="222">
        <v>42826</v>
      </c>
      <c r="AB13" s="127"/>
      <c r="AC13" s="127"/>
      <c r="AD13" s="127"/>
      <c r="AE13" s="127"/>
      <c r="AG13" s="168">
        <v>42826</v>
      </c>
      <c r="AH13" s="170"/>
      <c r="AI13" s="171"/>
      <c r="AJ13" s="171"/>
      <c r="AK13" s="171"/>
      <c r="AM13" s="168">
        <v>42826</v>
      </c>
      <c r="AN13" s="170"/>
      <c r="AO13" s="171"/>
      <c r="AP13" s="171"/>
      <c r="AQ13" s="171"/>
      <c r="AS13" s="168">
        <v>42826</v>
      </c>
      <c r="AT13" s="170"/>
      <c r="AU13" s="171"/>
      <c r="AV13" s="167"/>
      <c r="AW13" s="205"/>
      <c r="AX13" s="168">
        <v>42826</v>
      </c>
      <c r="AY13" s="170"/>
      <c r="AZ13" s="171"/>
      <c r="BA13" s="167"/>
      <c r="BB13" s="205"/>
      <c r="BC13" s="168">
        <v>42826</v>
      </c>
      <c r="BD13" s="160"/>
      <c r="BE13" s="128" t="str">
        <f t="shared" si="9"/>
        <v/>
      </c>
    </row>
    <row r="14" spans="1:73" hidden="1" x14ac:dyDescent="0.35">
      <c r="A14" s="168">
        <v>42856</v>
      </c>
      <c r="B14" s="164">
        <f t="shared" si="15"/>
        <v>14084.11967</v>
      </c>
      <c r="C14" s="153">
        <f t="shared" si="6"/>
        <v>4.7959949312350592E-3</v>
      </c>
      <c r="D14" s="423" t="s">
        <v>147</v>
      </c>
      <c r="E14" s="424"/>
      <c r="F14" s="162">
        <f t="shared" si="17"/>
        <v>4.0765956915497998E-3</v>
      </c>
      <c r="G14" s="162">
        <f t="shared" ref="G14" si="19">C14*65%</f>
        <v>3.1173967053027885E-3</v>
      </c>
      <c r="J14" s="168">
        <v>42856</v>
      </c>
      <c r="K14" s="160">
        <f>'2017'!I30</f>
        <v>3.2075</v>
      </c>
      <c r="L14" s="128">
        <f t="shared" ref="L14" si="20">K14/K13-1</f>
        <v>2.3289200829478274E-2</v>
      </c>
      <c r="M14" s="202"/>
      <c r="O14" s="168">
        <v>42856</v>
      </c>
      <c r="P14" s="165">
        <f>'2017'!J28</f>
        <v>5591.5</v>
      </c>
      <c r="Q14" s="128">
        <f t="shared" ref="Q14" si="21">P14/P13-1</f>
        <v>-1.8633358684841839E-2</v>
      </c>
      <c r="R14" s="218">
        <f t="shared" si="16"/>
        <v>17934.736250000002</v>
      </c>
      <c r="S14" s="188">
        <f t="shared" si="18"/>
        <v>4.221886112097728E-3</v>
      </c>
      <c r="U14" s="168">
        <v>42856</v>
      </c>
      <c r="V14" s="165">
        <v>2590.2399999999998</v>
      </c>
      <c r="W14" s="128">
        <f t="shared" ref="W14" si="22">V14/V13-1</f>
        <v>-1.6251239066778722E-2</v>
      </c>
      <c r="X14" s="194">
        <f t="shared" si="0"/>
        <v>8308.1947999999993</v>
      </c>
      <c r="Y14" s="189">
        <f t="shared" si="4"/>
        <v>6.6594833923454555E-3</v>
      </c>
      <c r="Z14" s="225"/>
      <c r="AA14" s="222">
        <v>42856</v>
      </c>
      <c r="AB14" s="127"/>
      <c r="AC14" s="127"/>
      <c r="AD14" s="127"/>
      <c r="AE14" s="127"/>
      <c r="AG14" s="168">
        <v>42856</v>
      </c>
      <c r="AH14" s="170"/>
      <c r="AI14" s="171"/>
      <c r="AJ14" s="171"/>
      <c r="AK14" s="171"/>
      <c r="AM14" s="168">
        <v>42856</v>
      </c>
      <c r="AN14" s="170"/>
      <c r="AO14" s="171"/>
      <c r="AP14" s="171"/>
      <c r="AQ14" s="171"/>
      <c r="AS14" s="168">
        <v>42856</v>
      </c>
      <c r="AT14" s="170"/>
      <c r="AU14" s="171"/>
      <c r="AV14" s="167"/>
      <c r="AW14" s="205"/>
      <c r="AX14" s="168">
        <v>42856</v>
      </c>
      <c r="AY14" s="170"/>
      <c r="AZ14" s="171"/>
      <c r="BA14" s="167"/>
      <c r="BB14" s="205"/>
      <c r="BC14" s="168">
        <v>42856</v>
      </c>
      <c r="BD14" s="160"/>
      <c r="BE14" s="128" t="str">
        <f t="shared" si="9"/>
        <v/>
      </c>
    </row>
    <row r="15" spans="1:73" hidden="1" x14ac:dyDescent="0.35">
      <c r="A15" s="168">
        <v>42887</v>
      </c>
      <c r="B15" s="164">
        <f t="shared" si="15"/>
        <v>14645.659470600001</v>
      </c>
      <c r="C15" s="153">
        <f t="shared" si="6"/>
        <v>3.9870422415972051E-2</v>
      </c>
      <c r="D15" s="423" t="s">
        <v>149</v>
      </c>
      <c r="E15" s="424"/>
      <c r="F15" s="162">
        <f t="shared" si="17"/>
        <v>3.3889859053576242E-2</v>
      </c>
      <c r="G15" s="162">
        <f t="shared" ref="G15" si="23">C15*65%</f>
        <v>2.5915774570381835E-2</v>
      </c>
      <c r="J15" s="168">
        <v>42887</v>
      </c>
      <c r="K15" s="160">
        <f>'2017'!K30</f>
        <v>3.2923</v>
      </c>
      <c r="L15" s="128">
        <f t="shared" ref="L15" si="24">K15/K14-1</f>
        <v>2.6438035853468378E-2</v>
      </c>
      <c r="M15" s="202"/>
      <c r="O15" s="168">
        <v>42887</v>
      </c>
      <c r="P15" s="165">
        <f>'2017'!L28</f>
        <v>5699.477272727273</v>
      </c>
      <c r="Q15" s="128">
        <f t="shared" ref="Q15" si="25">P15/P14-1</f>
        <v>1.9310967133554957E-2</v>
      </c>
      <c r="R15" s="218">
        <f t="shared" si="16"/>
        <v>18764.389025</v>
      </c>
      <c r="S15" s="188">
        <f t="shared" si="18"/>
        <v>4.6259547028465464E-2</v>
      </c>
      <c r="U15" s="168">
        <v>42887</v>
      </c>
      <c r="V15" s="165">
        <v>2571.9299999999998</v>
      </c>
      <c r="W15" s="128">
        <f t="shared" ref="W15" si="26">V15/V14-1</f>
        <v>-7.0688430415714043E-3</v>
      </c>
      <c r="X15" s="194">
        <f t="shared" si="0"/>
        <v>8467.5651390000003</v>
      </c>
      <c r="Y15" s="189">
        <f t="shared" ref="Y15:Y20" si="27">X15/X14-1</f>
        <v>1.9182306486121403E-2</v>
      </c>
      <c r="Z15" s="225"/>
      <c r="AA15" s="222">
        <v>42887</v>
      </c>
      <c r="AB15" s="127"/>
      <c r="AC15" s="127"/>
      <c r="AD15" s="127"/>
      <c r="AE15" s="127"/>
      <c r="AG15" s="168">
        <v>42887</v>
      </c>
      <c r="AH15" s="170"/>
      <c r="AI15" s="171"/>
      <c r="AJ15" s="171"/>
      <c r="AK15" s="171"/>
      <c r="AM15" s="168">
        <v>42887</v>
      </c>
      <c r="AN15" s="170"/>
      <c r="AO15" s="171"/>
      <c r="AP15" s="171"/>
      <c r="AQ15" s="171"/>
      <c r="AS15" s="168">
        <v>42887</v>
      </c>
      <c r="AT15" s="170"/>
      <c r="AU15" s="171"/>
      <c r="AV15" s="167"/>
      <c r="AW15" s="205"/>
      <c r="AX15" s="168">
        <v>42887</v>
      </c>
      <c r="AY15" s="170"/>
      <c r="AZ15" s="171"/>
      <c r="BA15" s="167"/>
      <c r="BB15" s="205"/>
      <c r="BC15" s="168">
        <v>42887</v>
      </c>
      <c r="BD15" s="160"/>
      <c r="BE15" s="128" t="str">
        <f t="shared" si="9"/>
        <v/>
      </c>
    </row>
    <row r="16" spans="1:73" hidden="1" x14ac:dyDescent="0.35">
      <c r="A16" s="168">
        <v>42917</v>
      </c>
      <c r="B16" s="164">
        <f t="shared" si="15"/>
        <v>15083.320913142859</v>
      </c>
      <c r="C16" s="153">
        <f t="shared" si="6"/>
        <v>2.988335509380291E-2</v>
      </c>
      <c r="D16" s="423" t="s">
        <v>150</v>
      </c>
      <c r="E16" s="424"/>
      <c r="F16" s="162">
        <f t="shared" si="17"/>
        <v>2.5400851829732472E-2</v>
      </c>
      <c r="G16" s="162">
        <f t="shared" ref="G16" si="28">C16*65%</f>
        <v>1.9424180810971893E-2</v>
      </c>
      <c r="J16" s="168">
        <v>42917</v>
      </c>
      <c r="K16" s="160">
        <f>'2017'!A68</f>
        <v>3.2084000000000001</v>
      </c>
      <c r="L16" s="128">
        <f t="shared" ref="L16:L21" si="29">K16/K15-1</f>
        <v>-2.548370440117842E-2</v>
      </c>
      <c r="M16" s="202"/>
      <c r="O16" s="168">
        <v>42917</v>
      </c>
      <c r="P16" s="165">
        <f>'2017'!B65</f>
        <v>5978.5952380952385</v>
      </c>
      <c r="Q16" s="128">
        <f t="shared" ref="Q16" si="30">P16/P15-1</f>
        <v>4.8972555203190327E-2</v>
      </c>
      <c r="R16" s="218">
        <f t="shared" si="16"/>
        <v>19181.724961904765</v>
      </c>
      <c r="S16" s="188">
        <f t="shared" si="18"/>
        <v>2.2240848681443603E-2</v>
      </c>
      <c r="U16" s="168">
        <v>42917</v>
      </c>
      <c r="V16" s="165">
        <v>2785.1</v>
      </c>
      <c r="W16" s="128">
        <f t="shared" ref="W16" si="31">V16/V15-1</f>
        <v>8.2883282204414543E-2</v>
      </c>
      <c r="X16" s="194">
        <f t="shared" si="0"/>
        <v>8935.7148400000005</v>
      </c>
      <c r="Y16" s="189">
        <f t="shared" si="27"/>
        <v>5.5287404739739365E-2</v>
      </c>
      <c r="Z16" s="225"/>
      <c r="AA16" s="222">
        <v>42917</v>
      </c>
      <c r="AB16" s="127"/>
      <c r="AC16" s="127"/>
      <c r="AD16" s="127"/>
      <c r="AE16" s="127"/>
      <c r="AG16" s="168">
        <v>42917</v>
      </c>
      <c r="AH16" s="170"/>
      <c r="AI16" s="171"/>
      <c r="AJ16" s="171"/>
      <c r="AK16" s="171"/>
      <c r="AM16" s="168">
        <v>42917</v>
      </c>
      <c r="AN16" s="170"/>
      <c r="AO16" s="171"/>
      <c r="AP16" s="171"/>
      <c r="AQ16" s="171"/>
      <c r="AS16" s="168">
        <v>42917</v>
      </c>
      <c r="AT16" s="170"/>
      <c r="AU16" s="171"/>
      <c r="AV16" s="167"/>
      <c r="AW16" s="205"/>
      <c r="AX16" s="168">
        <v>42917</v>
      </c>
      <c r="AY16" s="170"/>
      <c r="AZ16" s="171"/>
      <c r="BA16" s="167"/>
      <c r="BB16" s="205"/>
      <c r="BC16" s="168">
        <v>42917</v>
      </c>
      <c r="BD16" s="160"/>
      <c r="BE16" s="128" t="str">
        <f t="shared" si="9"/>
        <v/>
      </c>
    </row>
    <row r="17" spans="1:57" hidden="1" x14ac:dyDescent="0.35">
      <c r="A17" s="168">
        <v>42948</v>
      </c>
      <c r="B17" s="164">
        <f t="shared" si="15"/>
        <v>16001.983879927273</v>
      </c>
      <c r="C17" s="153">
        <f t="shared" si="6"/>
        <v>6.0905882204225659E-2</v>
      </c>
      <c r="D17" s="423" t="s">
        <v>151</v>
      </c>
      <c r="E17" s="424"/>
      <c r="F17" s="162">
        <f t="shared" si="17"/>
        <v>5.1769999873591807E-2</v>
      </c>
      <c r="G17" s="162">
        <f t="shared" ref="G17" si="32">C17*65%</f>
        <v>3.9588823432746681E-2</v>
      </c>
      <c r="J17" s="168">
        <v>42948</v>
      </c>
      <c r="K17" s="160">
        <f>'2017'!C68</f>
        <v>3.1501999999999999</v>
      </c>
      <c r="L17" s="128">
        <f t="shared" si="29"/>
        <v>-1.8139882807630014E-2</v>
      </c>
      <c r="M17" s="202"/>
      <c r="O17" s="168">
        <v>42948</v>
      </c>
      <c r="P17" s="165">
        <f>'2017'!D65</f>
        <v>6478.227272727273</v>
      </c>
      <c r="Q17" s="128">
        <f t="shared" ref="Q17" si="33">P17/P16-1</f>
        <v>8.3570138926350124E-2</v>
      </c>
      <c r="R17" s="218">
        <f t="shared" si="16"/>
        <v>20407.711554545454</v>
      </c>
      <c r="S17" s="188">
        <f t="shared" si="18"/>
        <v>6.3914303592378596E-2</v>
      </c>
      <c r="U17" s="168">
        <v>42948</v>
      </c>
      <c r="V17" s="165">
        <v>2981.84</v>
      </c>
      <c r="W17" s="128">
        <f t="shared" ref="W17" si="34">V17/V16-1</f>
        <v>7.0640192452694706E-2</v>
      </c>
      <c r="X17" s="194">
        <f t="shared" si="0"/>
        <v>9393.3923680000007</v>
      </c>
      <c r="Y17" s="189">
        <f t="shared" si="27"/>
        <v>5.1218904832464496E-2</v>
      </c>
      <c r="Z17" s="225"/>
      <c r="AA17" s="222">
        <v>42948</v>
      </c>
      <c r="AB17" s="127"/>
      <c r="AC17" s="127"/>
      <c r="AD17" s="127"/>
      <c r="AE17" s="127"/>
      <c r="AG17" s="168">
        <v>42948</v>
      </c>
      <c r="AH17" s="170"/>
      <c r="AI17" s="171"/>
      <c r="AJ17" s="171"/>
      <c r="AK17" s="171"/>
      <c r="AM17" s="168">
        <v>42948</v>
      </c>
      <c r="AN17" s="170"/>
      <c r="AO17" s="171"/>
      <c r="AP17" s="171"/>
      <c r="AQ17" s="171"/>
      <c r="AS17" s="168">
        <v>42948</v>
      </c>
      <c r="AT17" s="170"/>
      <c r="AU17" s="171"/>
      <c r="AV17" s="167"/>
      <c r="AW17" s="205"/>
      <c r="AX17" s="168">
        <v>42948</v>
      </c>
      <c r="AY17" s="170"/>
      <c r="AZ17" s="171"/>
      <c r="BA17" s="167"/>
      <c r="BB17" s="205"/>
      <c r="BC17" s="168">
        <v>42948</v>
      </c>
      <c r="BD17" s="160"/>
      <c r="BE17" s="128" t="str">
        <f t="shared" si="9"/>
        <v/>
      </c>
    </row>
    <row r="18" spans="1:57" hidden="1" x14ac:dyDescent="0.35">
      <c r="A18" s="168">
        <v>42979</v>
      </c>
      <c r="B18" s="164">
        <f t="shared" si="15"/>
        <v>16274.926407600002</v>
      </c>
      <c r="C18" s="166">
        <f t="shared" si="6"/>
        <v>1.7056793065209019E-2</v>
      </c>
      <c r="D18" s="423" t="s">
        <v>152</v>
      </c>
      <c r="E18" s="424"/>
      <c r="F18" s="162">
        <f t="shared" ref="F18" si="35">C18*85%</f>
        <v>1.4498274105427667E-2</v>
      </c>
      <c r="G18" s="162">
        <f t="shared" ref="G18" si="36">C18*65%</f>
        <v>1.1086915492385862E-2</v>
      </c>
      <c r="J18" s="168">
        <v>42979</v>
      </c>
      <c r="K18" s="160">
        <f>'2017'!E68</f>
        <v>3.1311</v>
      </c>
      <c r="L18" s="128">
        <f t="shared" si="29"/>
        <v>-6.0631071043107942E-3</v>
      </c>
      <c r="M18" s="202"/>
      <c r="O18" s="168">
        <v>42979</v>
      </c>
      <c r="P18" s="165">
        <f>'2017'!F65</f>
        <v>6583.1904761904761</v>
      </c>
      <c r="Q18" s="128">
        <f t="shared" ref="Q18" si="37">P18/P17-1</f>
        <v>1.6202457716339769E-2</v>
      </c>
      <c r="R18" s="218">
        <f t="shared" si="16"/>
        <v>20612.627700000001</v>
      </c>
      <c r="S18" s="188">
        <f t="shared" si="18"/>
        <v>1.004111337554181E-2</v>
      </c>
      <c r="U18" s="168">
        <v>42979</v>
      </c>
      <c r="V18" s="165">
        <v>3119.79</v>
      </c>
      <c r="W18" s="128">
        <f t="shared" ref="W18" si="38">V18/V17-1</f>
        <v>4.6263380999651105E-2</v>
      </c>
      <c r="X18" s="194">
        <f t="shared" si="0"/>
        <v>9768.3744690000003</v>
      </c>
      <c r="Y18" s="189">
        <f t="shared" si="27"/>
        <v>3.9919774061331958E-2</v>
      </c>
      <c r="Z18" s="225"/>
      <c r="AA18" s="222">
        <v>42979</v>
      </c>
      <c r="AB18" s="127"/>
      <c r="AC18" s="127"/>
      <c r="AD18" s="127"/>
      <c r="AE18" s="127"/>
      <c r="AG18" s="168">
        <v>42979</v>
      </c>
      <c r="AH18" s="170"/>
      <c r="AI18" s="171"/>
      <c r="AJ18" s="171"/>
      <c r="AK18" s="171"/>
      <c r="AM18" s="168">
        <v>42979</v>
      </c>
      <c r="AN18" s="170"/>
      <c r="AO18" s="171"/>
      <c r="AP18" s="171"/>
      <c r="AQ18" s="171"/>
      <c r="AS18" s="168">
        <v>42979</v>
      </c>
      <c r="AT18" s="170"/>
      <c r="AU18" s="171"/>
      <c r="AV18" s="167"/>
      <c r="AW18" s="205"/>
      <c r="AX18" s="168">
        <v>42979</v>
      </c>
      <c r="AY18" s="170"/>
      <c r="AZ18" s="171"/>
      <c r="BA18" s="167"/>
      <c r="BB18" s="205"/>
      <c r="BC18" s="168">
        <v>42979</v>
      </c>
      <c r="BD18" s="160"/>
      <c r="BE18" s="128" t="str">
        <f t="shared" si="9"/>
        <v/>
      </c>
    </row>
    <row r="19" spans="1:57" hidden="1" x14ac:dyDescent="0.35">
      <c r="A19" s="168">
        <v>43009</v>
      </c>
      <c r="B19" s="164">
        <f t="shared" si="15"/>
        <v>17195.839717727271</v>
      </c>
      <c r="C19" s="166">
        <f>(B19/B18-1)</f>
        <v>5.6584791049944405E-2</v>
      </c>
      <c r="D19" s="423" t="s">
        <v>153</v>
      </c>
      <c r="E19" s="424"/>
      <c r="F19" s="162">
        <f t="shared" ref="F19" si="39">C19*85%</f>
        <v>4.8097072392452742E-2</v>
      </c>
      <c r="G19" s="162">
        <f t="shared" ref="G19" si="40">C19*65%</f>
        <v>3.6780114182463866E-2</v>
      </c>
      <c r="J19" s="168">
        <v>43009</v>
      </c>
      <c r="K19" s="160">
        <f>'2017'!G68</f>
        <v>3.1915</v>
      </c>
      <c r="L19" s="128">
        <f>K19/K18-1</f>
        <v>1.9290345246079754E-2</v>
      </c>
      <c r="M19" s="202"/>
      <c r="O19" s="168">
        <v>43009</v>
      </c>
      <c r="P19" s="165">
        <f>'2017'!H65</f>
        <v>6797.386363636364</v>
      </c>
      <c r="Q19" s="128">
        <f>P19/P18-1</f>
        <v>3.2536790211459499E-2</v>
      </c>
      <c r="R19" s="218">
        <f t="shared" si="16"/>
        <v>21693.858579545456</v>
      </c>
      <c r="S19" s="188">
        <f>R19/R18-1</f>
        <v>5.2454781373917569E-2</v>
      </c>
      <c r="U19" s="168">
        <v>43009</v>
      </c>
      <c r="V19" s="165">
        <v>3273.95</v>
      </c>
      <c r="W19" s="128">
        <f>V19/V18-1</f>
        <v>4.9413582324451255E-2</v>
      </c>
      <c r="X19" s="194">
        <f t="shared" si="0"/>
        <v>10448.811425</v>
      </c>
      <c r="Y19" s="189">
        <f>X19/X18-1</f>
        <v>6.965713263341522E-2</v>
      </c>
      <c r="Z19" s="225"/>
      <c r="AA19" s="222">
        <v>43009</v>
      </c>
      <c r="AB19" s="127"/>
      <c r="AC19" s="127"/>
      <c r="AD19" s="127"/>
      <c r="AE19" s="127"/>
      <c r="AG19" s="168">
        <v>43009</v>
      </c>
      <c r="AH19" s="170"/>
      <c r="AI19" s="171"/>
      <c r="AJ19" s="171"/>
      <c r="AK19" s="171"/>
      <c r="AM19" s="168">
        <v>43009</v>
      </c>
      <c r="AN19" s="170"/>
      <c r="AO19" s="171"/>
      <c r="AP19" s="171"/>
      <c r="AQ19" s="171"/>
      <c r="AS19" s="168">
        <v>43009</v>
      </c>
      <c r="AT19" s="170"/>
      <c r="AU19" s="171"/>
      <c r="AV19" s="167"/>
      <c r="AW19" s="205"/>
      <c r="AX19" s="168">
        <v>43009</v>
      </c>
      <c r="AY19" s="170"/>
      <c r="AZ19" s="171"/>
      <c r="BA19" s="167"/>
      <c r="BB19" s="205"/>
      <c r="BC19" s="168">
        <v>43009</v>
      </c>
      <c r="BD19" s="160"/>
      <c r="BE19" s="128" t="str">
        <f t="shared" si="9"/>
        <v/>
      </c>
    </row>
    <row r="20" spans="1:57" hidden="1" x14ac:dyDescent="0.35">
      <c r="A20" s="168">
        <v>43040</v>
      </c>
      <c r="B20" s="164">
        <f t="shared" si="15"/>
        <v>17571.302984127273</v>
      </c>
      <c r="C20" s="166">
        <f>(B20/B19-1)</f>
        <v>2.1834540944978498E-2</v>
      </c>
      <c r="D20" s="423" t="s">
        <v>160</v>
      </c>
      <c r="E20" s="424"/>
      <c r="F20" s="162">
        <f t="shared" ref="F20" si="41">C20*85%</f>
        <v>1.8559359803231722E-2</v>
      </c>
      <c r="G20" s="162">
        <f t="shared" ref="G20" si="42">C20*65%</f>
        <v>1.4192451614236023E-2</v>
      </c>
      <c r="J20" s="168">
        <v>43040</v>
      </c>
      <c r="K20" s="160">
        <v>3.2601</v>
      </c>
      <c r="L20" s="128">
        <f t="shared" si="29"/>
        <v>2.1494595018016538E-2</v>
      </c>
      <c r="M20" s="202"/>
      <c r="O20" s="168">
        <v>43040</v>
      </c>
      <c r="P20" s="165">
        <f>'2017'!J65</f>
        <v>6825.568181818182</v>
      </c>
      <c r="Q20" s="128">
        <f t="shared" ref="Q20:Q24" si="43">P20/P19-1</f>
        <v>4.1459785679656136E-3</v>
      </c>
      <c r="R20" s="218">
        <f t="shared" ref="R20:R24" si="44">P20*K20</f>
        <v>22252.034829545457</v>
      </c>
      <c r="S20" s="188">
        <f t="shared" ref="S20" si="45">R20/R19-1</f>
        <v>2.5729689716254001E-2</v>
      </c>
      <c r="U20" s="168">
        <v>43040</v>
      </c>
      <c r="V20" s="165">
        <v>3236.16</v>
      </c>
      <c r="W20" s="128">
        <f t="shared" ref="W20:W23" si="46">V20/V19-1</f>
        <v>-1.1542631988881946E-2</v>
      </c>
      <c r="X20" s="194">
        <f t="shared" si="0"/>
        <v>10550.205216</v>
      </c>
      <c r="Y20" s="189">
        <f t="shared" si="27"/>
        <v>9.7038588290916383E-3</v>
      </c>
      <c r="Z20" s="225"/>
      <c r="AA20" s="222">
        <v>43040</v>
      </c>
      <c r="AB20" s="127"/>
      <c r="AC20" s="127"/>
      <c r="AD20" s="127"/>
      <c r="AE20" s="127"/>
      <c r="AG20" s="168">
        <v>43040</v>
      </c>
      <c r="AH20" s="170"/>
      <c r="AI20" s="171"/>
      <c r="AJ20" s="171"/>
      <c r="AK20" s="171"/>
      <c r="AM20" s="168">
        <v>43040</v>
      </c>
      <c r="AN20" s="170"/>
      <c r="AO20" s="171"/>
      <c r="AP20" s="171"/>
      <c r="AQ20" s="171"/>
      <c r="AS20" s="168">
        <v>43040</v>
      </c>
      <c r="AT20" s="170"/>
      <c r="AU20" s="171"/>
      <c r="AV20" s="167"/>
      <c r="AW20" s="205"/>
      <c r="AX20" s="168">
        <v>43040</v>
      </c>
      <c r="AY20" s="170"/>
      <c r="AZ20" s="171"/>
      <c r="BA20" s="167"/>
      <c r="BB20" s="205"/>
      <c r="BC20" s="168">
        <v>43040</v>
      </c>
      <c r="BD20" s="160"/>
      <c r="BE20" s="128" t="str">
        <f t="shared" si="9"/>
        <v/>
      </c>
    </row>
    <row r="21" spans="1:57" hidden="1" x14ac:dyDescent="0.35">
      <c r="A21" s="168">
        <v>43070</v>
      </c>
      <c r="B21" s="164">
        <f t="shared" si="15"/>
        <v>17582.843205768422</v>
      </c>
      <c r="C21" s="166">
        <f t="shared" ref="C21" si="47">(B21/B20-1)</f>
        <v>6.5676527526581374E-4</v>
      </c>
      <c r="D21" s="423" t="s">
        <v>161</v>
      </c>
      <c r="E21" s="424"/>
      <c r="F21" s="162">
        <f t="shared" ref="F21" si="48">C21*85%</f>
        <v>5.5825048397594162E-4</v>
      </c>
      <c r="G21" s="162">
        <f t="shared" ref="G21" si="49">C21*65%</f>
        <v>4.2689742892277894E-4</v>
      </c>
      <c r="J21" s="168">
        <v>43070</v>
      </c>
      <c r="K21" s="160">
        <v>3.2818000000000001</v>
      </c>
      <c r="L21" s="128">
        <f t="shared" si="29"/>
        <v>6.6562375387257955E-3</v>
      </c>
      <c r="M21" s="202"/>
      <c r="O21" s="168">
        <v>43070</v>
      </c>
      <c r="P21" s="165">
        <f>'2017'!L65</f>
        <v>6801.1578947368425</v>
      </c>
      <c r="Q21" s="128">
        <f t="shared" si="43"/>
        <v>-3.5763011123913779E-3</v>
      </c>
      <c r="R21" s="218">
        <f t="shared" si="44"/>
        <v>22320.03997894737</v>
      </c>
      <c r="S21" s="106">
        <f t="shared" ref="S21" si="50">R21/R20-1</f>
        <v>3.0561317166202251E-3</v>
      </c>
      <c r="U21" s="168">
        <v>43070</v>
      </c>
      <c r="V21" s="165">
        <v>3192.47</v>
      </c>
      <c r="W21" s="128">
        <f t="shared" si="46"/>
        <v>-1.3500568575101402E-2</v>
      </c>
      <c r="X21" s="194">
        <f t="shared" si="0"/>
        <v>10477.048046</v>
      </c>
      <c r="Y21" s="189">
        <f t="shared" ref="Y21:Y26" si="51">X21/X20-1</f>
        <v>-6.9341940277193315E-3</v>
      </c>
      <c r="Z21" s="225"/>
      <c r="AA21" s="222">
        <v>43070</v>
      </c>
      <c r="AB21" s="127"/>
      <c r="AC21" s="127"/>
      <c r="AD21" s="127"/>
      <c r="AE21" s="127"/>
      <c r="AG21" s="168">
        <v>43070</v>
      </c>
      <c r="AH21" s="198">
        <v>2508.8200000000002</v>
      </c>
      <c r="AI21" s="171"/>
      <c r="AJ21" s="199">
        <f t="shared" ref="AJ21:AJ52" si="52">AH21*K21</f>
        <v>8233.4454760000008</v>
      </c>
      <c r="AK21" s="171"/>
      <c r="AM21" s="168">
        <v>43070</v>
      </c>
      <c r="AN21" s="198">
        <v>1018.71</v>
      </c>
      <c r="AO21" s="171"/>
      <c r="AP21" s="199">
        <f t="shared" ref="AP21:AP52" si="53">AN21*K21</f>
        <v>3343.2024780000002</v>
      </c>
      <c r="AQ21" s="171"/>
      <c r="AS21" s="168">
        <v>43070</v>
      </c>
      <c r="AT21" s="198"/>
      <c r="AU21" s="171"/>
      <c r="AV21" s="167"/>
      <c r="AW21" s="205"/>
      <c r="AX21" s="168">
        <v>43070</v>
      </c>
      <c r="AY21" s="198"/>
      <c r="AZ21" s="171"/>
      <c r="BA21" s="167"/>
      <c r="BB21" s="205"/>
      <c r="BC21" s="168">
        <v>43070</v>
      </c>
      <c r="BD21" s="160"/>
      <c r="BE21" s="128" t="str">
        <f t="shared" si="9"/>
        <v/>
      </c>
    </row>
    <row r="22" spans="1:57" hidden="1" x14ac:dyDescent="0.35">
      <c r="A22" s="168">
        <v>43101</v>
      </c>
      <c r="B22" s="164">
        <f t="shared" si="15"/>
        <v>18069.606314181819</v>
      </c>
      <c r="C22" s="166">
        <f t="shared" ref="C22" si="54">(B22/B21-1)</f>
        <v>2.7683981635785893E-2</v>
      </c>
      <c r="D22" s="423" t="s">
        <v>177</v>
      </c>
      <c r="E22" s="424"/>
      <c r="F22" s="162">
        <f t="shared" ref="F22" si="55">C22*85%</f>
        <v>2.3531384390418009E-2</v>
      </c>
      <c r="G22" s="162">
        <f t="shared" ref="G22" si="56">C22*65%</f>
        <v>1.7994588063260829E-2</v>
      </c>
      <c r="J22" s="168">
        <v>43101</v>
      </c>
      <c r="K22" s="160">
        <f>'2018'!A30</f>
        <v>3.2111999999999998</v>
      </c>
      <c r="L22" s="128">
        <f t="shared" ref="L22" si="57">K22/K21-1</f>
        <v>-2.1512584557255243E-2</v>
      </c>
      <c r="M22" s="202"/>
      <c r="O22" s="168">
        <v>43101</v>
      </c>
      <c r="P22" s="165">
        <f>'2018'!B28</f>
        <v>7080.295454545455</v>
      </c>
      <c r="Q22" s="128">
        <f t="shared" si="43"/>
        <v>4.1042652461373619E-2</v>
      </c>
      <c r="R22" s="218">
        <f>P22*K22</f>
        <v>22736.244763636365</v>
      </c>
      <c r="S22" s="188">
        <f t="shared" ref="S22" si="58">R22/R21-1</f>
        <v>1.8647134372589136E-2</v>
      </c>
      <c r="U22" s="168">
        <v>43101</v>
      </c>
      <c r="V22" s="165">
        <v>3447.2</v>
      </c>
      <c r="W22" s="128">
        <f t="shared" si="46"/>
        <v>7.9790882921374262E-2</v>
      </c>
      <c r="X22" s="194">
        <f t="shared" si="0"/>
        <v>11069.648639999999</v>
      </c>
      <c r="Y22" s="189">
        <f t="shared" si="51"/>
        <v>5.6561790248375043E-2</v>
      </c>
      <c r="Z22" s="225"/>
      <c r="AA22" s="223">
        <v>43101</v>
      </c>
      <c r="AB22" s="165">
        <v>12880.23</v>
      </c>
      <c r="AC22" s="128"/>
      <c r="AD22" s="194">
        <f t="shared" ref="AD22:AD53" si="59">AB22*K22</f>
        <v>41360.994575999997</v>
      </c>
      <c r="AE22" s="188"/>
      <c r="AG22" s="176">
        <v>43101</v>
      </c>
      <c r="AH22" s="198">
        <v>2589.77</v>
      </c>
      <c r="AI22" s="128">
        <f>AH22/AH21-1</f>
        <v>3.22661649699858E-2</v>
      </c>
      <c r="AJ22" s="199">
        <f t="shared" si="52"/>
        <v>8316.2694240000001</v>
      </c>
      <c r="AK22" s="128">
        <f>AJ22/AJ21-1</f>
        <v>1.0059451810475517E-2</v>
      </c>
      <c r="AM22" s="176">
        <v>43101</v>
      </c>
      <c r="AN22" s="198">
        <v>1094.45</v>
      </c>
      <c r="AO22" s="128">
        <f>AN22/AN21-1</f>
        <v>7.4348931491788672E-2</v>
      </c>
      <c r="AP22" s="199">
        <f t="shared" si="53"/>
        <v>3514.49784</v>
      </c>
      <c r="AQ22" s="128">
        <f>AP22/AP21-1</f>
        <v>5.1236909259074759E-2</v>
      </c>
      <c r="AS22" s="176">
        <v>43101</v>
      </c>
      <c r="AT22" s="198"/>
      <c r="AU22" s="128"/>
      <c r="AV22" s="202"/>
      <c r="AW22" s="206"/>
      <c r="AX22" s="176">
        <v>43101</v>
      </c>
      <c r="AY22" s="198"/>
      <c r="AZ22" s="128"/>
      <c r="BA22" s="202"/>
      <c r="BB22" s="206"/>
      <c r="BC22" s="168">
        <v>43101</v>
      </c>
      <c r="BD22" s="160"/>
      <c r="BE22" s="128" t="str">
        <f t="shared" si="9"/>
        <v/>
      </c>
    </row>
    <row r="23" spans="1:57" hidden="1" x14ac:dyDescent="0.35">
      <c r="A23" s="168">
        <v>43132</v>
      </c>
      <c r="B23" s="164">
        <f t="shared" si="15"/>
        <v>18219.275251200001</v>
      </c>
      <c r="C23" s="166">
        <f t="shared" ref="C23" si="60">(B23/B22-1)</f>
        <v>8.282910784874975E-3</v>
      </c>
      <c r="D23" s="423" t="s">
        <v>176</v>
      </c>
      <c r="E23" s="424"/>
      <c r="F23" s="162">
        <f t="shared" ref="F23" si="61">C23*85%</f>
        <v>7.0404741671437282E-3</v>
      </c>
      <c r="G23" s="162">
        <f t="shared" ref="G23" si="62">C23*65%</f>
        <v>5.3838920101687343E-3</v>
      </c>
      <c r="J23" s="168">
        <v>43132</v>
      </c>
      <c r="K23" s="160">
        <f>'2018'!C30</f>
        <v>3.2435999999999998</v>
      </c>
      <c r="L23" s="128">
        <f t="shared" ref="L23:L24" si="63">K23/K22-1</f>
        <v>1.0089686098654793E-2</v>
      </c>
      <c r="M23" s="202"/>
      <c r="O23" s="168">
        <v>43132</v>
      </c>
      <c r="P23" s="165">
        <f>'2018'!D28</f>
        <v>7001.8</v>
      </c>
      <c r="Q23" s="128">
        <f t="shared" si="43"/>
        <v>-1.1086465960267522E-2</v>
      </c>
      <c r="R23" s="218">
        <f t="shared" si="44"/>
        <v>22711.038479999999</v>
      </c>
      <c r="S23" s="188">
        <f t="shared" ref="S23" si="64">R23/R22-1</f>
        <v>-1.1086388230953093E-3</v>
      </c>
      <c r="U23" s="168">
        <v>43132</v>
      </c>
      <c r="V23" s="165">
        <v>3539.78</v>
      </c>
      <c r="W23" s="128">
        <f t="shared" si="46"/>
        <v>2.6856579252726887E-2</v>
      </c>
      <c r="X23" s="194">
        <f t="shared" si="0"/>
        <v>11481.630408000001</v>
      </c>
      <c r="Y23" s="189">
        <f t="shared" si="51"/>
        <v>3.7217239805725333E-2</v>
      </c>
      <c r="Z23" s="225"/>
      <c r="AA23" s="223">
        <v>43132</v>
      </c>
      <c r="AB23" s="165">
        <v>13576.75</v>
      </c>
      <c r="AC23" s="128">
        <f t="shared" ref="AC23:AC36" si="65">AB23/AB22-1</f>
        <v>5.4076674096658284E-2</v>
      </c>
      <c r="AD23" s="194">
        <f t="shared" si="59"/>
        <v>44037.546299999995</v>
      </c>
      <c r="AE23" s="188">
        <f t="shared" ref="AE23:AE25" si="66">AD23/AD22-1</f>
        <v>6.471197686220731E-2</v>
      </c>
      <c r="AG23" s="176">
        <v>43132</v>
      </c>
      <c r="AH23" s="198">
        <v>2580.83</v>
      </c>
      <c r="AI23" s="128">
        <f t="shared" ref="AI23:AI39" si="67">AH23/AH22-1</f>
        <v>-3.4520440039077505E-3</v>
      </c>
      <c r="AJ23" s="199">
        <f t="shared" si="52"/>
        <v>8371.1801879999985</v>
      </c>
      <c r="AK23" s="128">
        <f t="shared" ref="AK23:AK39" si="68">AJ23/AJ22-1</f>
        <v>6.6028120543486502E-3</v>
      </c>
      <c r="AM23" s="176">
        <v>43132</v>
      </c>
      <c r="AN23" s="198">
        <v>1022.45</v>
      </c>
      <c r="AO23" s="128">
        <f t="shared" ref="AO23:AO39" si="69">AN23/AN22-1</f>
        <v>-6.5786468088994465E-2</v>
      </c>
      <c r="AP23" s="199">
        <f t="shared" si="53"/>
        <v>3316.4188199999999</v>
      </c>
      <c r="AQ23" s="128">
        <f t="shared" ref="AQ23:AQ39" si="70">AP23/AP22-1</f>
        <v>-5.6360546802896927E-2</v>
      </c>
      <c r="AS23" s="176">
        <v>43132</v>
      </c>
      <c r="AT23" s="198"/>
      <c r="AU23" s="128"/>
      <c r="AV23" s="202"/>
      <c r="AW23" s="206"/>
      <c r="AX23" s="176">
        <v>43132</v>
      </c>
      <c r="AY23" s="198"/>
      <c r="AZ23" s="128"/>
      <c r="BA23" s="202"/>
      <c r="BB23" s="206"/>
      <c r="BC23" s="168">
        <v>43132</v>
      </c>
      <c r="BD23" s="160"/>
      <c r="BE23" s="128" t="str">
        <f t="shared" si="9"/>
        <v/>
      </c>
    </row>
    <row r="24" spans="1:57" hidden="1" x14ac:dyDescent="0.35">
      <c r="A24" s="168">
        <v>43160</v>
      </c>
      <c r="B24" s="164">
        <f t="shared" si="15"/>
        <v>17719.010522057142</v>
      </c>
      <c r="C24" s="166">
        <f t="shared" ref="C24" si="71">(B24/B23-1)</f>
        <v>-2.74579928260269E-2</v>
      </c>
      <c r="D24" s="423" t="s">
        <v>178</v>
      </c>
      <c r="E24" s="424"/>
      <c r="F24" s="162">
        <f t="shared" ref="F24" si="72">C24*85%</f>
        <v>-2.3339293902122863E-2</v>
      </c>
      <c r="G24" s="162">
        <f t="shared" ref="G24" si="73">C24*65%</f>
        <v>-1.7847695336917487E-2</v>
      </c>
      <c r="J24" s="168">
        <v>43160</v>
      </c>
      <c r="K24" s="160">
        <f>'2018'!E30</f>
        <v>3.2875999999999999</v>
      </c>
      <c r="L24" s="128">
        <f t="shared" si="63"/>
        <v>1.3565174497471855E-2</v>
      </c>
      <c r="M24" s="202"/>
      <c r="O24" s="168">
        <v>43160</v>
      </c>
      <c r="P24" s="165">
        <f>'2018'!F28</f>
        <v>6795.7619047619046</v>
      </c>
      <c r="Q24" s="128">
        <f t="shared" si="43"/>
        <v>-2.9426446804835305E-2</v>
      </c>
      <c r="R24" s="218">
        <f t="shared" si="44"/>
        <v>22341.746838095238</v>
      </c>
      <c r="S24" s="188">
        <f t="shared" ref="S24" si="74">R24/R23-1</f>
        <v>-1.6260447193111371E-2</v>
      </c>
      <c r="U24" s="168">
        <v>43160</v>
      </c>
      <c r="V24" s="165">
        <v>3280.48</v>
      </c>
      <c r="W24" s="128">
        <f t="shared" ref="W24:W29" si="75">V24/V23-1</f>
        <v>-7.3253140025651309E-2</v>
      </c>
      <c r="X24" s="194">
        <f t="shared" si="0"/>
        <v>10784.906047999999</v>
      </c>
      <c r="Y24" s="189">
        <f t="shared" si="51"/>
        <v>-6.0681657155115198E-2</v>
      </c>
      <c r="Z24" s="225"/>
      <c r="AA24" s="223">
        <v>43160</v>
      </c>
      <c r="AB24" s="165">
        <v>13403.57</v>
      </c>
      <c r="AC24" s="128">
        <f t="shared" si="65"/>
        <v>-1.2755630029278042E-2</v>
      </c>
      <c r="AD24" s="194">
        <f t="shared" si="59"/>
        <v>44065.576731999994</v>
      </c>
      <c r="AE24" s="188">
        <f t="shared" si="66"/>
        <v>6.3651212102167065E-4</v>
      </c>
      <c r="AG24" s="176">
        <v>43160</v>
      </c>
      <c r="AH24" s="198">
        <v>2397</v>
      </c>
      <c r="AI24" s="128">
        <f t="shared" si="67"/>
        <v>-7.1229023221211718E-2</v>
      </c>
      <c r="AJ24" s="199">
        <f t="shared" si="52"/>
        <v>7880.3771999999999</v>
      </c>
      <c r="AK24" s="128">
        <f t="shared" si="68"/>
        <v>-5.8630082853019849E-2</v>
      </c>
      <c r="AM24" s="176">
        <v>43160</v>
      </c>
      <c r="AN24" s="198">
        <v>967.33</v>
      </c>
      <c r="AO24" s="128">
        <f t="shared" si="69"/>
        <v>-5.3909726636999333E-2</v>
      </c>
      <c r="AP24" s="199">
        <f t="shared" si="53"/>
        <v>3180.1941080000001</v>
      </c>
      <c r="AQ24" s="128">
        <f t="shared" si="70"/>
        <v>-4.1075846988469222E-2</v>
      </c>
      <c r="AS24" s="176">
        <v>43160</v>
      </c>
      <c r="AT24" s="198"/>
      <c r="AU24" s="128"/>
      <c r="AV24" s="202"/>
      <c r="AW24" s="206"/>
      <c r="AX24" s="176">
        <v>43160</v>
      </c>
      <c r="AY24" s="198"/>
      <c r="AZ24" s="128"/>
      <c r="BA24" s="202"/>
      <c r="BB24" s="206"/>
      <c r="BC24" s="168">
        <v>43160</v>
      </c>
      <c r="BD24" s="160"/>
      <c r="BE24" s="128" t="str">
        <f t="shared" si="9"/>
        <v/>
      </c>
    </row>
    <row r="25" spans="1:57" hidden="1" x14ac:dyDescent="0.35">
      <c r="A25" s="168">
        <v>43191</v>
      </c>
      <c r="B25" s="164">
        <f t="shared" si="15"/>
        <v>18330.653065000002</v>
      </c>
      <c r="C25" s="166">
        <f t="shared" ref="C25" si="76">(B25/B24-1)</f>
        <v>3.4519001057167875E-2</v>
      </c>
      <c r="D25" s="423" t="s">
        <v>179</v>
      </c>
      <c r="E25" s="424"/>
      <c r="F25" s="162">
        <f t="shared" ref="F25" si="77">C25*85%</f>
        <v>2.9341150898592693E-2</v>
      </c>
      <c r="G25" s="162">
        <f t="shared" ref="G25" si="78">C25*65%</f>
        <v>2.243735068715912E-2</v>
      </c>
      <c r="J25" s="168">
        <v>43191</v>
      </c>
      <c r="K25" s="160">
        <f>'2018'!G30</f>
        <v>3.4075000000000002</v>
      </c>
      <c r="L25" s="128">
        <f t="shared" ref="L25" si="79">K25/K24-1</f>
        <v>3.6470373524759792E-2</v>
      </c>
      <c r="M25" s="202"/>
      <c r="O25" s="168">
        <v>43191</v>
      </c>
      <c r="P25" s="165">
        <f>'2018'!H28</f>
        <v>6838.55</v>
      </c>
      <c r="Q25" s="128">
        <f t="shared" ref="Q25" si="80">P25/P24-1</f>
        <v>6.2962911058013216E-3</v>
      </c>
      <c r="R25" s="218">
        <f>P25*K25</f>
        <v>23302.359125000003</v>
      </c>
      <c r="S25" s="188">
        <f t="shared" ref="S25" si="81">R25/R24-1</f>
        <v>4.2996292719010176E-2</v>
      </c>
      <c r="U25" s="168">
        <v>43191</v>
      </c>
      <c r="V25" s="165">
        <v>3190.93</v>
      </c>
      <c r="W25" s="128">
        <f t="shared" si="75"/>
        <v>-2.7297834463249293E-2</v>
      </c>
      <c r="X25" s="194">
        <f t="shared" si="0"/>
        <v>10873.093975</v>
      </c>
      <c r="Y25" s="189">
        <f t="shared" si="51"/>
        <v>8.1769768422188527E-3</v>
      </c>
      <c r="Z25" s="225"/>
      <c r="AA25" s="223">
        <v>43191</v>
      </c>
      <c r="AB25" s="165">
        <v>13934.5</v>
      </c>
      <c r="AC25" s="128">
        <f t="shared" si="65"/>
        <v>3.9611088687566021E-2</v>
      </c>
      <c r="AD25" s="194">
        <f t="shared" si="59"/>
        <v>47481.808750000004</v>
      </c>
      <c r="AE25" s="188">
        <f t="shared" si="66"/>
        <v>7.7526093412483954E-2</v>
      </c>
      <c r="AG25" s="176">
        <v>43191</v>
      </c>
      <c r="AH25" s="198">
        <v>2357.38</v>
      </c>
      <c r="AI25" s="128">
        <f t="shared" si="67"/>
        <v>-1.652899457655399E-2</v>
      </c>
      <c r="AJ25" s="199">
        <f t="shared" si="52"/>
        <v>8032.7723500000011</v>
      </c>
      <c r="AK25" s="128">
        <f t="shared" si="68"/>
        <v>1.9338560342010203E-2</v>
      </c>
      <c r="AM25" s="176">
        <v>43191</v>
      </c>
      <c r="AN25" s="198">
        <v>970.55</v>
      </c>
      <c r="AO25" s="128">
        <f t="shared" si="69"/>
        <v>3.3287502713654771E-3</v>
      </c>
      <c r="AP25" s="199">
        <f t="shared" si="53"/>
        <v>3307.1491249999999</v>
      </c>
      <c r="AQ25" s="128">
        <f t="shared" si="70"/>
        <v>3.9920524561892545E-2</v>
      </c>
      <c r="AS25" s="176">
        <v>43191</v>
      </c>
      <c r="AT25" s="198"/>
      <c r="AU25" s="128"/>
      <c r="AV25" s="202"/>
      <c r="AW25" s="206"/>
      <c r="AX25" s="176">
        <v>43191</v>
      </c>
      <c r="AY25" s="198"/>
      <c r="AZ25" s="128"/>
      <c r="BA25" s="202"/>
      <c r="BB25" s="206"/>
      <c r="BC25" s="168">
        <v>43191</v>
      </c>
      <c r="BD25" s="160"/>
      <c r="BE25" s="128" t="str">
        <f t="shared" si="9"/>
        <v/>
      </c>
    </row>
    <row r="26" spans="1:57" hidden="1" x14ac:dyDescent="0.35">
      <c r="A26" s="168">
        <v>43221</v>
      </c>
      <c r="B26" s="164">
        <f t="shared" si="15"/>
        <v>19265.277781599998</v>
      </c>
      <c r="C26" s="166">
        <f t="shared" ref="C26" si="82">(B26/B25-1)</f>
        <v>5.0986984112668665E-2</v>
      </c>
      <c r="D26" s="423" t="s">
        <v>180</v>
      </c>
      <c r="E26" s="424"/>
      <c r="F26" s="162">
        <f t="shared" ref="F26" si="83">C26*85%</f>
        <v>4.3338936495768365E-2</v>
      </c>
      <c r="G26" s="162">
        <f t="shared" ref="G26" si="84">C26*65%</f>
        <v>3.3141539673234632E-2</v>
      </c>
      <c r="J26" s="168">
        <v>43221</v>
      </c>
      <c r="K26" s="160">
        <f>'2018'!I30</f>
        <v>3.6238999999999999</v>
      </c>
      <c r="L26" s="128">
        <f t="shared" ref="L26" si="85">K26/K25-1</f>
        <v>6.3506969919295608E-2</v>
      </c>
      <c r="M26" s="202"/>
      <c r="O26" s="168">
        <v>43221</v>
      </c>
      <c r="P26" s="165">
        <f>'2018'!J28</f>
        <v>6821.7142857142853</v>
      </c>
      <c r="Q26" s="128">
        <f t="shared" ref="Q26" si="86">P26/P25-1</f>
        <v>-2.4618836282128687E-3</v>
      </c>
      <c r="R26" s="218">
        <f t="shared" ref="R26" si="87">P26*K26</f>
        <v>24721.210399999996</v>
      </c>
      <c r="S26" s="188">
        <f>R26/R25-1</f>
        <v>6.0888739521560931E-2</v>
      </c>
      <c r="U26" s="168">
        <v>43221</v>
      </c>
      <c r="V26" s="165">
        <v>3057.86</v>
      </c>
      <c r="W26" s="128">
        <f t="shared" si="75"/>
        <v>-4.170257573810765E-2</v>
      </c>
      <c r="X26" s="194">
        <f t="shared" si="0"/>
        <v>11081.378854000001</v>
      </c>
      <c r="Y26" s="189">
        <f t="shared" si="51"/>
        <v>1.9155989958230979E-2</v>
      </c>
      <c r="Z26" s="225"/>
      <c r="AA26" s="223">
        <v>43221</v>
      </c>
      <c r="AB26" s="165">
        <v>14356.43</v>
      </c>
      <c r="AC26" s="128">
        <f t="shared" si="65"/>
        <v>3.027952204958928E-2</v>
      </c>
      <c r="AD26" s="194">
        <f t="shared" si="59"/>
        <v>52026.266677</v>
      </c>
      <c r="AE26" s="188">
        <f>AD26/AD25-1</f>
        <v>9.570945266485853E-2</v>
      </c>
      <c r="AG26" s="176">
        <v>43221</v>
      </c>
      <c r="AH26" s="198">
        <v>2363.88</v>
      </c>
      <c r="AI26" s="128">
        <f t="shared" si="67"/>
        <v>2.757298356650173E-3</v>
      </c>
      <c r="AJ26" s="199">
        <f t="shared" si="52"/>
        <v>8566.4647320000004</v>
      </c>
      <c r="AK26" s="128">
        <f t="shared" si="68"/>
        <v>6.6439375939740142E-2</v>
      </c>
      <c r="AM26" s="176">
        <v>43221</v>
      </c>
      <c r="AN26" s="198">
        <v>980.3</v>
      </c>
      <c r="AO26" s="128">
        <f t="shared" si="69"/>
        <v>1.0045850291072078E-2</v>
      </c>
      <c r="AP26" s="199">
        <f t="shared" si="53"/>
        <v>3552.5091699999998</v>
      </c>
      <c r="AQ26" s="128">
        <f t="shared" si="70"/>
        <v>7.4190801722616495E-2</v>
      </c>
      <c r="AS26" s="176">
        <v>43221</v>
      </c>
      <c r="AT26" s="198"/>
      <c r="AU26" s="128"/>
      <c r="AV26" s="202"/>
      <c r="AW26" s="206"/>
      <c r="AX26" s="176">
        <v>43221</v>
      </c>
      <c r="AY26" s="198"/>
      <c r="AZ26" s="128"/>
      <c r="BA26" s="202"/>
      <c r="BB26" s="206"/>
      <c r="BC26" s="168">
        <v>43221</v>
      </c>
      <c r="BD26" s="160"/>
      <c r="BE26" s="128" t="str">
        <f t="shared" si="9"/>
        <v/>
      </c>
    </row>
    <row r="27" spans="1:57" hidden="1" x14ac:dyDescent="0.35">
      <c r="A27" s="168">
        <v>43252</v>
      </c>
      <c r="B27" s="164">
        <f t="shared" si="15"/>
        <v>20314.578606914285</v>
      </c>
      <c r="C27" s="166">
        <f t="shared" ref="C27" si="88">(B27/B26-1)</f>
        <v>5.4465906861538294E-2</v>
      </c>
      <c r="D27" s="423" t="s">
        <v>181</v>
      </c>
      <c r="E27" s="424"/>
      <c r="F27" s="162">
        <f t="shared" ref="F27" si="89">C27*85%</f>
        <v>4.6296020832307549E-2</v>
      </c>
      <c r="G27" s="162">
        <f t="shared" ref="G27" si="90">C27*65%</f>
        <v>3.5402839459999891E-2</v>
      </c>
      <c r="J27" s="168">
        <v>43252</v>
      </c>
      <c r="K27" s="160">
        <f>'2018'!K30</f>
        <v>3.7553000000000001</v>
      </c>
      <c r="L27" s="128">
        <f t="shared" ref="L27" si="91">K27/K26-1</f>
        <v>3.625927867766765E-2</v>
      </c>
      <c r="M27" s="202"/>
      <c r="O27" s="168">
        <v>43252</v>
      </c>
      <c r="P27" s="165">
        <f>'2018'!L28</f>
        <v>6954.7857142857147</v>
      </c>
      <c r="Q27" s="128">
        <f t="shared" ref="Q27" si="92">P27/P26-1</f>
        <v>1.9507036354498464E-2</v>
      </c>
      <c r="R27" s="218">
        <f t="shared" ref="R27" si="93">P27*K27</f>
        <v>26117.306792857144</v>
      </c>
      <c r="S27" s="188">
        <f t="shared" ref="S27:S32" si="94">R27/R26-1</f>
        <v>5.6473626099519336E-2</v>
      </c>
      <c r="U27" s="168">
        <v>43252</v>
      </c>
      <c r="V27" s="165">
        <v>3091.76</v>
      </c>
      <c r="W27" s="128">
        <f t="shared" si="75"/>
        <v>1.10861844557959E-2</v>
      </c>
      <c r="X27" s="194">
        <f t="shared" si="0"/>
        <v>11610.486328000001</v>
      </c>
      <c r="Y27" s="189">
        <f t="shared" ref="Y27" si="95">X27/X26-1</f>
        <v>4.7747440185118339E-2</v>
      </c>
      <c r="Z27" s="225"/>
      <c r="AA27" s="223">
        <v>43252</v>
      </c>
      <c r="AB27" s="165">
        <v>15110.95</v>
      </c>
      <c r="AC27" s="128">
        <f t="shared" si="65"/>
        <v>5.2556241349694943E-2</v>
      </c>
      <c r="AD27" s="194">
        <f t="shared" si="59"/>
        <v>56746.150535000001</v>
      </c>
      <c r="AE27" s="188">
        <f t="shared" ref="AE27:AE33" si="96">AD27/AD26-1</f>
        <v>9.0721171428711944E-2</v>
      </c>
      <c r="AG27" s="176">
        <v>43252</v>
      </c>
      <c r="AH27" s="198">
        <v>2440.7399999999998</v>
      </c>
      <c r="AI27" s="128">
        <f t="shared" si="67"/>
        <v>3.2514340829483679E-2</v>
      </c>
      <c r="AJ27" s="199">
        <f t="shared" si="52"/>
        <v>9165.7109220000002</v>
      </c>
      <c r="AK27" s="128">
        <f t="shared" si="68"/>
        <v>6.9952566052308374E-2</v>
      </c>
      <c r="AM27" s="176">
        <v>43252</v>
      </c>
      <c r="AN27" s="198">
        <v>985.05</v>
      </c>
      <c r="AO27" s="128">
        <f t="shared" si="69"/>
        <v>4.8454554728143417E-3</v>
      </c>
      <c r="AP27" s="199">
        <f t="shared" si="53"/>
        <v>3699.158265</v>
      </c>
      <c r="AQ27" s="128">
        <f t="shared" si="70"/>
        <v>4.1280426870791143E-2</v>
      </c>
      <c r="AS27" s="176">
        <v>43252</v>
      </c>
      <c r="AT27" s="198"/>
      <c r="AU27" s="128"/>
      <c r="AV27" s="202"/>
      <c r="AW27" s="206"/>
      <c r="AX27" s="176">
        <v>43252</v>
      </c>
      <c r="AY27" s="198"/>
      <c r="AZ27" s="128"/>
      <c r="BA27" s="202"/>
      <c r="BB27" s="206"/>
      <c r="BC27" s="168">
        <v>43252</v>
      </c>
      <c r="BD27" s="160"/>
      <c r="BE27" s="128" t="str">
        <f t="shared" si="9"/>
        <v/>
      </c>
    </row>
    <row r="28" spans="1:57" hidden="1" x14ac:dyDescent="0.35">
      <c r="A28" s="168">
        <v>43282</v>
      </c>
      <c r="B28" s="164">
        <f t="shared" si="15"/>
        <v>18447.858341890907</v>
      </c>
      <c r="C28" s="166">
        <f t="shared" ref="C28" si="97">(B28/B27-1)</f>
        <v>-9.189067128313555E-2</v>
      </c>
      <c r="D28" s="423" t="s">
        <v>182</v>
      </c>
      <c r="E28" s="424"/>
      <c r="F28" s="162">
        <f t="shared" ref="F28" si="98">C28*85%</f>
        <v>-7.8107070590665212E-2</v>
      </c>
      <c r="G28" s="162">
        <f t="shared" ref="G28" si="99">C28*65%</f>
        <v>-5.9728936334038106E-2</v>
      </c>
      <c r="J28" s="168">
        <v>43282</v>
      </c>
      <c r="K28" s="160">
        <f>'2018'!A68</f>
        <v>3.8334000000000001</v>
      </c>
      <c r="L28" s="128">
        <f t="shared" ref="L28" si="100">K28/K27-1</f>
        <v>2.0797273187228793E-2</v>
      </c>
      <c r="M28" s="202"/>
      <c r="O28" s="168">
        <v>43282</v>
      </c>
      <c r="P28" s="165">
        <f>'2018'!B65</f>
        <v>6248.181818181818</v>
      </c>
      <c r="Q28" s="128">
        <f t="shared" ref="Q28:Q33" si="101">P28/P27-1</f>
        <v>-0.10159966462409797</v>
      </c>
      <c r="R28" s="218">
        <f t="shared" ref="R28" si="102">P28*K28</f>
        <v>23951.780181818183</v>
      </c>
      <c r="S28" s="188">
        <f t="shared" si="94"/>
        <v>-8.2915387417787367E-2</v>
      </c>
      <c r="U28" s="168">
        <v>43282</v>
      </c>
      <c r="V28" s="165">
        <v>2658.73</v>
      </c>
      <c r="W28" s="128">
        <f t="shared" si="75"/>
        <v>-0.14005938365202997</v>
      </c>
      <c r="X28" s="194">
        <f t="shared" si="0"/>
        <v>10191.975582000001</v>
      </c>
      <c r="Y28" s="189">
        <f t="shared" ref="Y28" si="103">X28/X27-1</f>
        <v>-0.12217496372904735</v>
      </c>
      <c r="Z28" s="225"/>
      <c r="AA28" s="223">
        <v>43282</v>
      </c>
      <c r="AB28" s="165">
        <v>13772.05</v>
      </c>
      <c r="AC28" s="128">
        <f t="shared" si="65"/>
        <v>-8.8604621152210905E-2</v>
      </c>
      <c r="AD28" s="194">
        <f t="shared" si="59"/>
        <v>52793.776469999997</v>
      </c>
      <c r="AE28" s="188">
        <f t="shared" si="96"/>
        <v>-6.9650082476735542E-2</v>
      </c>
      <c r="AG28" s="176">
        <v>43282</v>
      </c>
      <c r="AH28" s="198">
        <v>2212.91</v>
      </c>
      <c r="AI28" s="128">
        <f t="shared" si="67"/>
        <v>-9.3344641379253801E-2</v>
      </c>
      <c r="AJ28" s="199">
        <f t="shared" si="52"/>
        <v>8482.9691939999993</v>
      </c>
      <c r="AK28" s="128">
        <f t="shared" si="68"/>
        <v>-7.4488682199353451E-2</v>
      </c>
      <c r="AM28" s="176">
        <v>43282</v>
      </c>
      <c r="AN28" s="198">
        <v>931.14</v>
      </c>
      <c r="AO28" s="128">
        <f t="shared" si="69"/>
        <v>-5.4728186386477806E-2</v>
      </c>
      <c r="AP28" s="199">
        <f t="shared" si="53"/>
        <v>3569.4320760000001</v>
      </c>
      <c r="AQ28" s="128">
        <f t="shared" si="70"/>
        <v>-3.5069110242570312E-2</v>
      </c>
      <c r="AS28" s="176">
        <v>43282</v>
      </c>
      <c r="AT28" s="198"/>
      <c r="AU28" s="128"/>
      <c r="AV28" s="202"/>
      <c r="AW28" s="206"/>
      <c r="AX28" s="176">
        <v>43282</v>
      </c>
      <c r="AY28" s="198"/>
      <c r="AZ28" s="128"/>
      <c r="BA28" s="202"/>
      <c r="BB28" s="206"/>
      <c r="BC28" s="168">
        <v>43282</v>
      </c>
      <c r="BD28" s="160"/>
      <c r="BE28" s="128" t="str">
        <f t="shared" si="9"/>
        <v/>
      </c>
    </row>
    <row r="29" spans="1:57" hidden="1" x14ac:dyDescent="0.35">
      <c r="A29" s="168">
        <v>43313</v>
      </c>
      <c r="B29" s="164">
        <f t="shared" si="15"/>
        <v>18186.8795226</v>
      </c>
      <c r="C29" s="166">
        <f t="shared" ref="C29:C34" si="104">(B29/B28-1)</f>
        <v>-1.4146835608461084E-2</v>
      </c>
      <c r="D29" s="423" t="s">
        <v>184</v>
      </c>
      <c r="E29" s="424"/>
      <c r="F29" s="162">
        <f t="shared" ref="F29" si="105">C29*85%</f>
        <v>-1.202481026719192E-2</v>
      </c>
      <c r="G29" s="162">
        <f t="shared" ref="G29" si="106">C29*65%</f>
        <v>-9.1954431454997054E-3</v>
      </c>
      <c r="J29" s="168">
        <v>43313</v>
      </c>
      <c r="K29" s="160">
        <f>'2018'!C68</f>
        <v>3.9297</v>
      </c>
      <c r="L29" s="128">
        <f t="shared" ref="L29" si="107">K29/K28-1</f>
        <v>2.5121302238221954E-2</v>
      </c>
      <c r="M29" s="202"/>
      <c r="O29" s="168">
        <v>43313</v>
      </c>
      <c r="P29" s="165">
        <f>'2018'!D65</f>
        <v>6039.75</v>
      </c>
      <c r="Q29" s="128">
        <f t="shared" si="101"/>
        <v>-3.3358795285901355E-2</v>
      </c>
      <c r="R29" s="218">
        <f t="shared" ref="R29" si="108">P29*K29</f>
        <v>23734.405575000001</v>
      </c>
      <c r="S29" s="188">
        <f t="shared" si="94"/>
        <v>-9.0755094263595959E-3</v>
      </c>
      <c r="U29" s="168">
        <v>43313</v>
      </c>
      <c r="V29" s="165">
        <v>2510.52</v>
      </c>
      <c r="W29" s="128">
        <f t="shared" si="75"/>
        <v>-5.5744660044457328E-2</v>
      </c>
      <c r="X29" s="194">
        <f t="shared" si="0"/>
        <v>9865.5904439999995</v>
      </c>
      <c r="Y29" s="189">
        <f t="shared" ref="Y29" si="109">X29/X28-1</f>
        <v>-3.2023736259379265E-2</v>
      </c>
      <c r="Z29" s="225"/>
      <c r="AA29" s="223">
        <v>43313</v>
      </c>
      <c r="AB29" s="165">
        <v>13432.95</v>
      </c>
      <c r="AC29" s="128">
        <f t="shared" si="65"/>
        <v>-2.4622332913400546E-2</v>
      </c>
      <c r="AD29" s="194">
        <f t="shared" si="59"/>
        <v>52787.463615000001</v>
      </c>
      <c r="AE29" s="188">
        <f t="shared" si="96"/>
        <v>-1.1957574210630373E-4</v>
      </c>
      <c r="AG29" s="176">
        <v>43313</v>
      </c>
      <c r="AH29" s="198">
        <v>2060.66</v>
      </c>
      <c r="AI29" s="128">
        <f t="shared" si="67"/>
        <v>-6.8800809793439388E-2</v>
      </c>
      <c r="AJ29" s="199">
        <f t="shared" si="52"/>
        <v>8097.7756019999997</v>
      </c>
      <c r="AK29" s="128">
        <f t="shared" si="68"/>
        <v>-4.5407873492272821E-2</v>
      </c>
      <c r="AM29" s="176">
        <v>43313</v>
      </c>
      <c r="AN29" s="198">
        <v>918</v>
      </c>
      <c r="AO29" s="128">
        <f t="shared" si="69"/>
        <v>-1.4111734003479537E-2</v>
      </c>
      <c r="AP29" s="199">
        <f t="shared" si="53"/>
        <v>3607.4645999999998</v>
      </c>
      <c r="AQ29" s="128">
        <f t="shared" si="70"/>
        <v>1.0655063099735518E-2</v>
      </c>
      <c r="AS29" s="176">
        <v>43313</v>
      </c>
      <c r="AT29" s="198"/>
      <c r="AU29" s="128"/>
      <c r="AV29" s="202"/>
      <c r="AW29" s="206"/>
      <c r="AX29" s="176">
        <v>43313</v>
      </c>
      <c r="AY29" s="198"/>
      <c r="AZ29" s="128"/>
      <c r="BA29" s="202"/>
      <c r="BB29" s="206"/>
      <c r="BC29" s="168">
        <v>43313</v>
      </c>
      <c r="BD29" s="160"/>
      <c r="BE29" s="128" t="str">
        <f t="shared" si="9"/>
        <v/>
      </c>
    </row>
    <row r="30" spans="1:57" hidden="1" x14ac:dyDescent="0.35">
      <c r="A30" s="168">
        <v>43344</v>
      </c>
      <c r="B30" s="164">
        <f t="shared" si="15"/>
        <v>18907.463932499999</v>
      </c>
      <c r="C30" s="166">
        <f t="shared" si="104"/>
        <v>3.9621113066953706E-2</v>
      </c>
      <c r="D30" s="423" t="s">
        <v>185</v>
      </c>
      <c r="E30" s="424"/>
      <c r="F30" s="162">
        <f t="shared" ref="F30:F33" si="110">C30*85%</f>
        <v>3.3677946106910647E-2</v>
      </c>
      <c r="G30" s="162">
        <f t="shared" ref="G30:G33" si="111">C30*65%</f>
        <v>2.5753723493519908E-2</v>
      </c>
      <c r="J30" s="168">
        <v>43344</v>
      </c>
      <c r="K30" s="160">
        <f>'2018'!E68</f>
        <v>4.1234999999999999</v>
      </c>
      <c r="L30" s="128">
        <f t="shared" ref="L30" si="112">K30/K29-1</f>
        <v>4.9316741736010306E-2</v>
      </c>
      <c r="M30" s="202"/>
      <c r="O30" s="168">
        <v>43344</v>
      </c>
      <c r="P30" s="165">
        <f>'2018'!F65</f>
        <v>6020.0249999999996</v>
      </c>
      <c r="Q30" s="128">
        <f t="shared" si="101"/>
        <v>-3.2658636532969521E-3</v>
      </c>
      <c r="R30" s="218">
        <f t="shared" ref="R30" si="113">P30*K30</f>
        <v>24823.573087499997</v>
      </c>
      <c r="S30" s="188">
        <f t="shared" si="94"/>
        <v>4.5889816328378741E-2</v>
      </c>
      <c r="U30" s="168">
        <v>43344</v>
      </c>
      <c r="V30" s="165">
        <v>2433.1999999999998</v>
      </c>
      <c r="W30" s="128">
        <f t="shared" ref="W30" si="114">V30/V29-1</f>
        <v>-3.0798400331405462E-2</v>
      </c>
      <c r="X30" s="194">
        <f t="shared" si="0"/>
        <v>10033.3002</v>
      </c>
      <c r="Y30" s="189">
        <f t="shared" ref="Y30" si="115">X30/X29-1</f>
        <v>1.6999464649578799E-2</v>
      </c>
      <c r="Z30" s="225"/>
      <c r="AA30" s="223">
        <v>43344</v>
      </c>
      <c r="AB30" s="165">
        <v>12527.25</v>
      </c>
      <c r="AC30" s="128">
        <f t="shared" si="65"/>
        <v>-6.7423760231371421E-2</v>
      </c>
      <c r="AD30" s="194">
        <f t="shared" si="59"/>
        <v>51656.115375000001</v>
      </c>
      <c r="AE30" s="188">
        <f t="shared" si="96"/>
        <v>-2.143213866556215E-2</v>
      </c>
      <c r="AG30" s="176">
        <v>43344</v>
      </c>
      <c r="AH30" s="198">
        <v>2028.23</v>
      </c>
      <c r="AI30" s="128">
        <f t="shared" si="67"/>
        <v>-1.5737676278473778E-2</v>
      </c>
      <c r="AJ30" s="199">
        <f t="shared" si="52"/>
        <v>8363.4064049999997</v>
      </c>
      <c r="AK30" s="128">
        <f t="shared" si="68"/>
        <v>3.2802934540986151E-2</v>
      </c>
      <c r="AM30" s="176">
        <v>43344</v>
      </c>
      <c r="AN30" s="198">
        <v>1010.21</v>
      </c>
      <c r="AO30" s="128">
        <f t="shared" si="69"/>
        <v>0.10044662309368202</v>
      </c>
      <c r="AP30" s="199">
        <f t="shared" si="53"/>
        <v>4165.6009350000004</v>
      </c>
      <c r="AQ30" s="128">
        <f t="shared" si="70"/>
        <v>0.15471706499905791</v>
      </c>
      <c r="AS30" s="176">
        <v>43344</v>
      </c>
      <c r="AT30" s="198"/>
      <c r="AU30" s="128"/>
      <c r="AV30" s="202"/>
      <c r="AW30" s="206"/>
      <c r="AX30" s="176">
        <v>43344</v>
      </c>
      <c r="AY30" s="198"/>
      <c r="AZ30" s="128"/>
      <c r="BA30" s="202"/>
      <c r="BB30" s="206"/>
      <c r="BC30" s="168">
        <v>43344</v>
      </c>
      <c r="BD30" s="160"/>
      <c r="BE30" s="128" t="str">
        <f t="shared" si="9"/>
        <v/>
      </c>
    </row>
    <row r="31" spans="1:57" hidden="1" x14ac:dyDescent="0.35">
      <c r="A31" s="168">
        <v>43374</v>
      </c>
      <c r="B31" s="164">
        <f t="shared" si="15"/>
        <v>18033.866010156522</v>
      </c>
      <c r="C31" s="166">
        <f t="shared" si="104"/>
        <v>-4.6203865598381522E-2</v>
      </c>
      <c r="D31" s="423" t="s">
        <v>187</v>
      </c>
      <c r="E31" s="424"/>
      <c r="F31" s="162">
        <f t="shared" si="110"/>
        <v>-3.9273285758624293E-2</v>
      </c>
      <c r="G31" s="162">
        <f t="shared" si="111"/>
        <v>-3.0032512638947989E-2</v>
      </c>
      <c r="J31" s="168">
        <v>43374</v>
      </c>
      <c r="K31" s="160">
        <f>'2018'!G68</f>
        <v>3.7584</v>
      </c>
      <c r="L31" s="128">
        <f t="shared" ref="L31:L32" si="116">K31/K30-1</f>
        <v>-8.8541287740996677E-2</v>
      </c>
      <c r="M31" s="202"/>
      <c r="O31" s="168">
        <v>43374</v>
      </c>
      <c r="P31" s="165">
        <f>'2018'!H65</f>
        <v>6215.891304347826</v>
      </c>
      <c r="Q31" s="128">
        <f t="shared" si="101"/>
        <v>3.2535795839357284E-2</v>
      </c>
      <c r="R31" s="218">
        <f t="shared" ref="R31:R36" si="117">P31*K31</f>
        <v>23361.805878260868</v>
      </c>
      <c r="S31" s="188">
        <f t="shared" si="94"/>
        <v>-5.8886253162934388E-2</v>
      </c>
      <c r="U31" s="168">
        <v>43374</v>
      </c>
      <c r="V31" s="165">
        <v>2671.87</v>
      </c>
      <c r="W31" s="128">
        <f t="shared" ref="W31:W32" si="118">V31/V30-1</f>
        <v>9.8088936380075653E-2</v>
      </c>
      <c r="X31" s="194">
        <f t="shared" si="0"/>
        <v>10041.956208</v>
      </c>
      <c r="Y31" s="189">
        <f t="shared" ref="Y31:Y35" si="119">X31/X30-1</f>
        <v>8.6272789884223045E-4</v>
      </c>
      <c r="Z31" s="225"/>
      <c r="AA31" s="223">
        <v>43374</v>
      </c>
      <c r="AB31" s="165">
        <v>12327.17</v>
      </c>
      <c r="AC31" s="128">
        <f t="shared" si="65"/>
        <v>-1.597158195134607E-2</v>
      </c>
      <c r="AD31" s="194">
        <f t="shared" si="59"/>
        <v>46330.435727999997</v>
      </c>
      <c r="AE31" s="188">
        <f t="shared" si="96"/>
        <v>-0.10309872525910979</v>
      </c>
      <c r="AG31" s="176">
        <v>43374</v>
      </c>
      <c r="AH31" s="198">
        <v>1985.15</v>
      </c>
      <c r="AI31" s="128">
        <f t="shared" si="67"/>
        <v>-2.1240194652480171E-2</v>
      </c>
      <c r="AJ31" s="199">
        <f t="shared" si="52"/>
        <v>7460.98776</v>
      </c>
      <c r="AK31" s="128">
        <f t="shared" si="68"/>
        <v>-0.1079008482070769</v>
      </c>
      <c r="AM31" s="176">
        <v>43374</v>
      </c>
      <c r="AN31" s="198">
        <v>1083.74</v>
      </c>
      <c r="AO31" s="128">
        <f t="shared" si="69"/>
        <v>7.2786846299284225E-2</v>
      </c>
      <c r="AP31" s="199">
        <f t="shared" si="53"/>
        <v>4073.128416</v>
      </c>
      <c r="AQ31" s="128">
        <f t="shared" si="70"/>
        <v>-2.21990825436571E-2</v>
      </c>
      <c r="AS31" s="176">
        <v>43374</v>
      </c>
      <c r="AT31" s="198"/>
      <c r="AU31" s="128"/>
      <c r="AV31" s="202"/>
      <c r="AW31" s="206"/>
      <c r="AX31" s="176">
        <v>43374</v>
      </c>
      <c r="AY31" s="198"/>
      <c r="AZ31" s="128"/>
      <c r="BA31" s="202"/>
      <c r="BB31" s="206"/>
      <c r="BC31" s="168">
        <v>43374</v>
      </c>
      <c r="BD31" s="160"/>
      <c r="BE31" s="128" t="str">
        <f t="shared" si="9"/>
        <v/>
      </c>
    </row>
    <row r="32" spans="1:57" hidden="1" x14ac:dyDescent="0.35">
      <c r="A32" s="134">
        <v>43405</v>
      </c>
      <c r="B32" s="164">
        <f t="shared" si="15"/>
        <v>17994.645983999999</v>
      </c>
      <c r="C32" s="166">
        <f t="shared" si="104"/>
        <v>-2.174798578099324E-3</v>
      </c>
      <c r="D32" s="423" t="s">
        <v>188</v>
      </c>
      <c r="E32" s="424"/>
      <c r="F32" s="162">
        <f t="shared" si="110"/>
        <v>-1.8485787913844252E-3</v>
      </c>
      <c r="G32" s="162">
        <f t="shared" si="111"/>
        <v>-1.4136190757645607E-3</v>
      </c>
      <c r="J32" s="168">
        <v>43405</v>
      </c>
      <c r="K32" s="160">
        <f>'2018'!I68</f>
        <v>3.786</v>
      </c>
      <c r="L32" s="128">
        <f t="shared" si="116"/>
        <v>7.3435504469987478E-3</v>
      </c>
      <c r="M32" s="202"/>
      <c r="O32" s="176">
        <v>43405</v>
      </c>
      <c r="P32" s="175">
        <f>'2018'!J65</f>
        <v>6193</v>
      </c>
      <c r="Q32" s="128">
        <f t="shared" si="101"/>
        <v>-3.6827066669931074E-3</v>
      </c>
      <c r="R32" s="218">
        <f t="shared" si="117"/>
        <v>23446.698</v>
      </c>
      <c r="S32" s="188">
        <f t="shared" si="94"/>
        <v>3.6337996378150716E-3</v>
      </c>
      <c r="U32" s="168">
        <v>43405</v>
      </c>
      <c r="V32" s="165">
        <v>2592.86</v>
      </c>
      <c r="W32" s="128">
        <f t="shared" si="118"/>
        <v>-2.9571049489683143E-2</v>
      </c>
      <c r="X32" s="194">
        <f t="shared" si="0"/>
        <v>9816.5679600000003</v>
      </c>
      <c r="Y32" s="189">
        <f t="shared" si="119"/>
        <v>-2.2444655536382641E-2</v>
      </c>
      <c r="Z32" s="225"/>
      <c r="AA32" s="223">
        <v>43405</v>
      </c>
      <c r="AB32" s="165">
        <v>11253.41</v>
      </c>
      <c r="AC32" s="128">
        <f t="shared" si="65"/>
        <v>-8.7105150655016561E-2</v>
      </c>
      <c r="AD32" s="194">
        <f t="shared" si="59"/>
        <v>42605.410259999997</v>
      </c>
      <c r="AE32" s="188">
        <f t="shared" si="96"/>
        <v>-8.0401261276046299E-2</v>
      </c>
      <c r="AG32" s="176">
        <v>43405</v>
      </c>
      <c r="AH32" s="198">
        <v>1955.07</v>
      </c>
      <c r="AI32" s="128">
        <f t="shared" si="67"/>
        <v>-1.5152507367201529E-2</v>
      </c>
      <c r="AJ32" s="199">
        <f t="shared" si="52"/>
        <v>7401.8950199999999</v>
      </c>
      <c r="AK32" s="128">
        <f t="shared" si="68"/>
        <v>-7.9202301224523541E-3</v>
      </c>
      <c r="AM32" s="176">
        <v>43405</v>
      </c>
      <c r="AN32" s="198">
        <v>1141.2</v>
      </c>
      <c r="AO32" s="128">
        <f t="shared" si="69"/>
        <v>5.3020097071253325E-2</v>
      </c>
      <c r="AP32" s="199">
        <f t="shared" si="53"/>
        <v>4320.5832</v>
      </c>
      <c r="AQ32" s="128">
        <f t="shared" si="70"/>
        <v>6.0753003275799466E-2</v>
      </c>
      <c r="AS32" s="176">
        <v>43405</v>
      </c>
      <c r="AT32" s="198"/>
      <c r="AU32" s="128"/>
      <c r="AV32" s="202"/>
      <c r="AW32" s="206"/>
      <c r="AX32" s="176">
        <v>43405</v>
      </c>
      <c r="AY32" s="198"/>
      <c r="AZ32" s="128"/>
      <c r="BA32" s="202"/>
      <c r="BB32" s="206"/>
      <c r="BC32" s="168">
        <v>43405</v>
      </c>
      <c r="BD32" s="160"/>
      <c r="BE32" s="128" t="str">
        <f t="shared" si="9"/>
        <v/>
      </c>
    </row>
    <row r="33" spans="1:73" hidden="1" x14ac:dyDescent="0.35">
      <c r="A33" s="168">
        <v>43435</v>
      </c>
      <c r="B33" s="164">
        <f t="shared" si="15"/>
        <v>18283.44929168421</v>
      </c>
      <c r="C33" s="166">
        <f t="shared" si="104"/>
        <v>1.6049402024413295E-2</v>
      </c>
      <c r="D33" s="423" t="s">
        <v>188</v>
      </c>
      <c r="E33" s="424"/>
      <c r="F33" s="162">
        <f t="shared" si="110"/>
        <v>1.36419917207513E-2</v>
      </c>
      <c r="G33" s="162">
        <f t="shared" si="111"/>
        <v>1.0432111315868643E-2</v>
      </c>
      <c r="J33" s="168">
        <v>43435</v>
      </c>
      <c r="K33" s="160">
        <f>'2018'!K68</f>
        <v>3.8845000000000001</v>
      </c>
      <c r="L33" s="128">
        <f t="shared" ref="L33" si="120">K33/K32-1</f>
        <v>2.6016904384574824E-2</v>
      </c>
      <c r="M33" s="128"/>
      <c r="O33" s="168">
        <v>43435</v>
      </c>
      <c r="P33" s="175">
        <f>'2018'!L65</f>
        <v>6094.2105263157891</v>
      </c>
      <c r="Q33" s="128">
        <f t="shared" si="101"/>
        <v>-1.5951796170549093E-2</v>
      </c>
      <c r="R33" s="218">
        <f t="shared" si="117"/>
        <v>23672.960789473684</v>
      </c>
      <c r="S33" s="188">
        <f t="shared" ref="S33" si="121">R33/R32-1</f>
        <v>9.6500918582942408E-3</v>
      </c>
      <c r="U33" s="168">
        <v>43435</v>
      </c>
      <c r="V33" s="165">
        <v>2625.61</v>
      </c>
      <c r="W33" s="128">
        <f t="shared" ref="W33" si="122">V33/V32-1</f>
        <v>1.2630840076209182E-2</v>
      </c>
      <c r="X33" s="194">
        <f t="shared" si="0"/>
        <v>10199.182045000001</v>
      </c>
      <c r="Y33" s="189">
        <f t="shared" si="119"/>
        <v>3.8976359819343775E-2</v>
      </c>
      <c r="Z33" s="225"/>
      <c r="AA33" s="223">
        <v>43435</v>
      </c>
      <c r="AB33" s="165">
        <v>10836.84</v>
      </c>
      <c r="AC33" s="128">
        <f t="shared" si="65"/>
        <v>-3.7017224112513403E-2</v>
      </c>
      <c r="AD33" s="194">
        <f t="shared" si="59"/>
        <v>42095.704980000002</v>
      </c>
      <c r="AE33" s="188">
        <f t="shared" si="96"/>
        <v>-1.1963393308256243E-2</v>
      </c>
      <c r="AG33" s="176">
        <v>43435</v>
      </c>
      <c r="AH33" s="198">
        <v>1965.47</v>
      </c>
      <c r="AI33" s="128">
        <f t="shared" si="67"/>
        <v>5.3195026265044909E-3</v>
      </c>
      <c r="AJ33" s="199">
        <f t="shared" si="52"/>
        <v>7634.8682150000004</v>
      </c>
      <c r="AK33" s="128">
        <f t="shared" si="68"/>
        <v>3.1474804002286527E-2</v>
      </c>
      <c r="AM33" s="176">
        <v>43435</v>
      </c>
      <c r="AN33" s="198">
        <v>1247.1199999999999</v>
      </c>
      <c r="AO33" s="128">
        <f t="shared" si="69"/>
        <v>9.2814581142656616E-2</v>
      </c>
      <c r="AP33" s="199">
        <f t="shared" si="53"/>
        <v>4844.4376400000001</v>
      </c>
      <c r="AQ33" s="128">
        <f t="shared" si="70"/>
        <v>0.12124623361031439</v>
      </c>
      <c r="AS33" s="176">
        <v>43435</v>
      </c>
      <c r="AT33" s="200">
        <v>16</v>
      </c>
      <c r="AU33" s="128"/>
      <c r="AV33" s="128">
        <f t="shared" ref="AV33:AV56" si="123">AT33/(R33/1000)</f>
        <v>0.67587658942579287</v>
      </c>
      <c r="AW33" s="206"/>
      <c r="AX33" s="168">
        <v>43435</v>
      </c>
      <c r="AY33" s="200">
        <v>16</v>
      </c>
      <c r="AZ33" s="128"/>
      <c r="BA33" s="128">
        <f>AY33/(AC33/1000)</f>
        <v>-432231.22164342186</v>
      </c>
      <c r="BB33" s="206"/>
      <c r="BC33" s="168">
        <v>43435</v>
      </c>
      <c r="BD33" s="160">
        <v>4.4234799999999996</v>
      </c>
      <c r="BE33" s="128" t="str">
        <f t="shared" si="9"/>
        <v/>
      </c>
    </row>
    <row r="34" spans="1:73" hidden="1" x14ac:dyDescent="0.35">
      <c r="A34" s="168">
        <v>43466</v>
      </c>
      <c r="B34" s="164">
        <f t="shared" si="15"/>
        <v>17147.324897018181</v>
      </c>
      <c r="C34" s="166">
        <f t="shared" si="104"/>
        <v>-6.2139499858091196E-2</v>
      </c>
      <c r="D34" s="423" t="s">
        <v>202</v>
      </c>
      <c r="E34" s="424"/>
      <c r="F34" s="162">
        <f t="shared" ref="F34:F42" si="124">C34*80%</f>
        <v>-4.971159988647296E-2</v>
      </c>
      <c r="G34" s="162">
        <f t="shared" ref="G34:G42" si="125">C34*64%</f>
        <v>-3.9769279909178369E-2</v>
      </c>
      <c r="J34" s="168">
        <v>43466</v>
      </c>
      <c r="K34" s="160">
        <f>'2019'!A30</f>
        <v>3.7416</v>
      </c>
      <c r="L34" s="128">
        <f t="shared" ref="L34" si="126">K34/K33-1</f>
        <v>-3.6787231303900159E-2</v>
      </c>
      <c r="M34" s="128"/>
      <c r="O34" s="168">
        <v>43466</v>
      </c>
      <c r="P34" s="175">
        <f>'2019'!B28</f>
        <v>5932.022727272727</v>
      </c>
      <c r="Q34" s="128">
        <f t="shared" ref="Q34" si="127">P34/P33-1</f>
        <v>-2.661342241832787E-2</v>
      </c>
      <c r="R34" s="218">
        <f t="shared" si="117"/>
        <v>22195.256236363635</v>
      </c>
      <c r="S34" s="188">
        <f t="shared" ref="S34:S39" si="128">R34/R33-1</f>
        <v>-6.2421619595936617E-2</v>
      </c>
      <c r="U34" s="168">
        <v>43466</v>
      </c>
      <c r="V34" s="165">
        <v>2559.1799999999998</v>
      </c>
      <c r="W34" s="128">
        <f t="shared" ref="W34" si="129">V34/V33-1</f>
        <v>-2.5300787245630674E-2</v>
      </c>
      <c r="X34" s="194">
        <f t="shared" si="0"/>
        <v>9575.4278880000002</v>
      </c>
      <c r="Y34" s="189">
        <f t="shared" si="119"/>
        <v>-6.1157272636955029E-2</v>
      </c>
      <c r="Z34" s="225"/>
      <c r="AA34" s="168">
        <v>43466</v>
      </c>
      <c r="AB34" s="165">
        <v>11454.55</v>
      </c>
      <c r="AC34" s="128">
        <f t="shared" si="65"/>
        <v>5.7000933851565572E-2</v>
      </c>
      <c r="AD34" s="194">
        <f t="shared" si="59"/>
        <v>42858.344279999998</v>
      </c>
      <c r="AE34" s="188">
        <f t="shared" ref="AE34:AE39" si="130">AD34/AD33-1</f>
        <v>1.8116796009529423E-2</v>
      </c>
      <c r="AG34" s="176">
        <v>43466</v>
      </c>
      <c r="AH34" s="198">
        <v>1994.16</v>
      </c>
      <c r="AI34" s="128">
        <f t="shared" si="67"/>
        <v>1.4597017507262944E-2</v>
      </c>
      <c r="AJ34" s="199">
        <f t="shared" si="52"/>
        <v>7461.349056</v>
      </c>
      <c r="AK34" s="128">
        <f t="shared" si="68"/>
        <v>-2.2727197656024045E-2</v>
      </c>
      <c r="AM34" s="176">
        <v>43466</v>
      </c>
      <c r="AN34" s="198">
        <v>1217</v>
      </c>
      <c r="AO34" s="128">
        <f t="shared" si="69"/>
        <v>-2.4151645390980692E-2</v>
      </c>
      <c r="AP34" s="199">
        <f t="shared" si="53"/>
        <v>4553.5272000000004</v>
      </c>
      <c r="AQ34" s="128">
        <f t="shared" si="70"/>
        <v>-6.0050404529513046E-2</v>
      </c>
      <c r="AS34" s="176">
        <v>43466</v>
      </c>
      <c r="AT34" s="200">
        <v>16</v>
      </c>
      <c r="AU34" s="128"/>
      <c r="AV34" s="128">
        <f t="shared" si="123"/>
        <v>0.72087475943559376</v>
      </c>
      <c r="AW34" s="206"/>
      <c r="AX34" s="168">
        <v>43466</v>
      </c>
      <c r="AY34" s="200">
        <v>16.22</v>
      </c>
      <c r="AZ34" s="128"/>
      <c r="BA34" s="128">
        <f t="shared" ref="BA34:BA43" si="131">AY34/(R34/1000)</f>
        <v>0.7307867873778332</v>
      </c>
      <c r="BB34" s="206"/>
      <c r="BC34" s="168">
        <v>43466</v>
      </c>
      <c r="BD34" s="160">
        <v>4.2727454545454542</v>
      </c>
      <c r="BE34" s="128">
        <f t="shared" si="9"/>
        <v>-3.4076009262966167E-2</v>
      </c>
    </row>
    <row r="35" spans="1:73" hidden="1" x14ac:dyDescent="0.35">
      <c r="A35" s="168">
        <v>43497</v>
      </c>
      <c r="B35" s="164">
        <f t="shared" si="15"/>
        <v>18051.789383999996</v>
      </c>
      <c r="C35" s="178">
        <f t="shared" ref="C35" si="132">(B35/B34-1)</f>
        <v>5.2746681620238878E-2</v>
      </c>
      <c r="D35" s="423" t="s">
        <v>205</v>
      </c>
      <c r="E35" s="424"/>
      <c r="F35" s="181">
        <f t="shared" si="124"/>
        <v>4.2197345296191104E-2</v>
      </c>
      <c r="G35" s="181">
        <f t="shared" si="125"/>
        <v>3.375787623695288E-2</v>
      </c>
      <c r="H35" s="183"/>
      <c r="I35" s="183"/>
      <c r="J35" s="184">
        <v>43497</v>
      </c>
      <c r="K35" s="186">
        <f>'2019'!C30</f>
        <v>3.7235999999999998</v>
      </c>
      <c r="L35" s="182">
        <f t="shared" ref="L35" si="133">K35/K34-1</f>
        <v>-4.81077613855041E-3</v>
      </c>
      <c r="M35" s="182"/>
      <c r="N35" s="183"/>
      <c r="O35" s="184">
        <v>43497</v>
      </c>
      <c r="P35" s="187">
        <f>'2019'!D28</f>
        <v>6278</v>
      </c>
      <c r="Q35" s="182">
        <f t="shared" ref="Q35" si="134">P35/P34-1</f>
        <v>5.8323659337417455E-2</v>
      </c>
      <c r="R35" s="218">
        <f t="shared" si="117"/>
        <v>23376.7608</v>
      </c>
      <c r="S35" s="188">
        <f t="shared" si="128"/>
        <v>5.3232301130213822E-2</v>
      </c>
      <c r="U35" s="184">
        <v>43497</v>
      </c>
      <c r="V35" s="185">
        <v>2702.85</v>
      </c>
      <c r="W35" s="182">
        <f t="shared" ref="W35" si="135">V35/V34-1</f>
        <v>5.6139075797716487E-2</v>
      </c>
      <c r="X35" s="194">
        <f t="shared" ref="X35:X66" si="136">V35*K35</f>
        <v>10064.332259999999</v>
      </c>
      <c r="Y35" s="189">
        <f t="shared" si="119"/>
        <v>5.1058227132878109E-2</v>
      </c>
      <c r="Z35" s="225"/>
      <c r="AA35" s="184">
        <v>43497</v>
      </c>
      <c r="AB35" s="165">
        <v>12649.75</v>
      </c>
      <c r="AC35" s="182">
        <f t="shared" si="65"/>
        <v>0.1043428157369779</v>
      </c>
      <c r="AD35" s="194">
        <f t="shared" si="59"/>
        <v>47102.609099999994</v>
      </c>
      <c r="AE35" s="188">
        <f t="shared" si="130"/>
        <v>9.9030069670250853E-2</v>
      </c>
      <c r="AG35" s="193">
        <v>43497</v>
      </c>
      <c r="AH35" s="198">
        <v>2062.08</v>
      </c>
      <c r="AI35" s="128">
        <f t="shared" si="67"/>
        <v>3.4059453604525114E-2</v>
      </c>
      <c r="AJ35" s="199">
        <f t="shared" si="52"/>
        <v>7678.3610879999997</v>
      </c>
      <c r="AK35" s="128">
        <f t="shared" si="68"/>
        <v>2.9084825059282116E-2</v>
      </c>
      <c r="AM35" s="193">
        <v>43497</v>
      </c>
      <c r="AN35" s="198">
        <v>1329</v>
      </c>
      <c r="AO35" s="128">
        <f t="shared" si="69"/>
        <v>9.2029580936729749E-2</v>
      </c>
      <c r="AP35" s="199">
        <f t="shared" si="53"/>
        <v>4948.6643999999997</v>
      </c>
      <c r="AQ35" s="128">
        <f t="shared" si="70"/>
        <v>8.6776071086168027E-2</v>
      </c>
      <c r="AS35" s="193">
        <v>43497</v>
      </c>
      <c r="AT35" s="200">
        <v>16</v>
      </c>
      <c r="AU35" s="128">
        <f t="shared" ref="AU35:AU39" si="137">AT35/AT34-1</f>
        <v>0</v>
      </c>
      <c r="AV35" s="128">
        <f t="shared" si="123"/>
        <v>0.68444042084735712</v>
      </c>
      <c r="AW35" s="206"/>
      <c r="AX35" s="184">
        <v>43497</v>
      </c>
      <c r="AY35" s="200">
        <v>16.97</v>
      </c>
      <c r="AZ35" s="128">
        <f t="shared" ref="AZ35:AZ42" si="138">AY35/AY34-1</f>
        <v>4.6239210850801404E-2</v>
      </c>
      <c r="BA35" s="128">
        <f t="shared" si="131"/>
        <v>0.72593462136122811</v>
      </c>
      <c r="BB35" s="206"/>
      <c r="BC35" s="184">
        <v>43497</v>
      </c>
      <c r="BD35" s="186">
        <v>4.2268200000000009</v>
      </c>
      <c r="BE35" s="128">
        <f t="shared" si="9"/>
        <v>-1.0748464900149024E-2</v>
      </c>
    </row>
    <row r="36" spans="1:73" hidden="1" x14ac:dyDescent="0.35">
      <c r="A36" s="168">
        <v>43525</v>
      </c>
      <c r="B36" s="164">
        <f t="shared" si="15"/>
        <v>19233.889143428569</v>
      </c>
      <c r="C36" s="178">
        <f t="shared" ref="C36:C40" si="139">(B36/B35-1)</f>
        <v>6.5483799654582286E-2</v>
      </c>
      <c r="D36" s="415" t="s">
        <v>203</v>
      </c>
      <c r="E36" s="415"/>
      <c r="F36" s="181">
        <f t="shared" si="124"/>
        <v>5.2387039723665832E-2</v>
      </c>
      <c r="G36" s="181">
        <f t="shared" si="125"/>
        <v>4.1909631778932664E-2</v>
      </c>
      <c r="H36" s="183"/>
      <c r="I36" s="183"/>
      <c r="J36" s="184">
        <v>43525</v>
      </c>
      <c r="K36" s="186">
        <f>'2019'!E30</f>
        <v>3.8382000000000001</v>
      </c>
      <c r="L36" s="182">
        <f t="shared" ref="L36" si="140">K36/K35-1</f>
        <v>3.0776667740896047E-2</v>
      </c>
      <c r="M36" s="182"/>
      <c r="N36" s="183"/>
      <c r="O36" s="184">
        <v>43525</v>
      </c>
      <c r="P36" s="187">
        <f>'2019'!F28</f>
        <v>6451.0238095238092</v>
      </c>
      <c r="Q36" s="182">
        <f t="shared" ref="Q36" si="141">P36/P35-1</f>
        <v>2.7560339204174777E-2</v>
      </c>
      <c r="R36" s="218">
        <f t="shared" si="117"/>
        <v>24760.319585714285</v>
      </c>
      <c r="S36" s="188">
        <f t="shared" si="128"/>
        <v>5.9185222347583943E-2</v>
      </c>
      <c r="U36" s="184">
        <v>43525</v>
      </c>
      <c r="V36" s="185">
        <v>2851.4</v>
      </c>
      <c r="W36" s="182">
        <f t="shared" ref="W36" si="142">V36/V35-1</f>
        <v>5.4960504652496578E-2</v>
      </c>
      <c r="X36" s="194">
        <f t="shared" si="136"/>
        <v>10944.243480000001</v>
      </c>
      <c r="Y36" s="189">
        <f t="shared" ref="Y36:Y41" si="143">X36/X35-1</f>
        <v>8.7428673583954453E-2</v>
      </c>
      <c r="Z36" s="225"/>
      <c r="AA36" s="184">
        <v>43525</v>
      </c>
      <c r="AB36" s="165">
        <v>13060.71</v>
      </c>
      <c r="AC36" s="182">
        <f t="shared" si="65"/>
        <v>3.2487598569141518E-2</v>
      </c>
      <c r="AD36" s="194">
        <f t="shared" si="59"/>
        <v>50129.617121999996</v>
      </c>
      <c r="AE36" s="188">
        <f t="shared" si="130"/>
        <v>6.4264126336899707E-2</v>
      </c>
      <c r="AG36" s="193">
        <v>43525</v>
      </c>
      <c r="AH36" s="198">
        <v>2054.5700000000002</v>
      </c>
      <c r="AI36" s="128">
        <f t="shared" si="67"/>
        <v>-3.6419537554313042E-3</v>
      </c>
      <c r="AJ36" s="199">
        <f t="shared" si="52"/>
        <v>7885.850574000001</v>
      </c>
      <c r="AK36" s="128">
        <f t="shared" si="68"/>
        <v>2.7022626784806159E-2</v>
      </c>
      <c r="AM36" s="193">
        <v>43525</v>
      </c>
      <c r="AN36" s="198">
        <v>1537.75</v>
      </c>
      <c r="AO36" s="128">
        <f t="shared" si="69"/>
        <v>0.15707298720842733</v>
      </c>
      <c r="AP36" s="199">
        <f t="shared" si="53"/>
        <v>5902.1920499999997</v>
      </c>
      <c r="AQ36" s="128">
        <f t="shared" si="70"/>
        <v>0.19268383808770717</v>
      </c>
      <c r="AS36" s="193">
        <v>43525</v>
      </c>
      <c r="AT36" s="200">
        <v>16</v>
      </c>
      <c r="AU36" s="128">
        <f t="shared" si="137"/>
        <v>0</v>
      </c>
      <c r="AV36" s="128">
        <f t="shared" si="123"/>
        <v>0.64619521345885056</v>
      </c>
      <c r="AW36" s="206"/>
      <c r="AX36" s="184">
        <v>43525</v>
      </c>
      <c r="AY36" s="200">
        <v>15.91</v>
      </c>
      <c r="AZ36" s="128">
        <f t="shared" si="138"/>
        <v>-6.246317030053028E-2</v>
      </c>
      <c r="BA36" s="128">
        <f t="shared" si="131"/>
        <v>0.64256036538314454</v>
      </c>
      <c r="BB36" s="206"/>
      <c r="BC36" s="184">
        <v>43525</v>
      </c>
      <c r="BD36" s="186">
        <v>4.3448947368421047</v>
      </c>
      <c r="BE36" s="128">
        <f t="shared" si="9"/>
        <v>2.7934649888593288E-2</v>
      </c>
    </row>
    <row r="37" spans="1:73" hidden="1" x14ac:dyDescent="0.35">
      <c r="A37" s="168">
        <v>43556</v>
      </c>
      <c r="B37" s="164">
        <f t="shared" si="15"/>
        <v>19634.720127999997</v>
      </c>
      <c r="C37" s="178">
        <f t="shared" si="139"/>
        <v>2.0839830238305046E-2</v>
      </c>
      <c r="D37" s="415" t="s">
        <v>204</v>
      </c>
      <c r="E37" s="415"/>
      <c r="F37" s="181">
        <f t="shared" si="124"/>
        <v>1.6671864190644037E-2</v>
      </c>
      <c r="G37" s="181">
        <f t="shared" si="125"/>
        <v>1.333749135251523E-2</v>
      </c>
      <c r="H37" s="183"/>
      <c r="I37" s="183"/>
      <c r="J37" s="184">
        <v>43556</v>
      </c>
      <c r="K37" s="186">
        <f>'2019'!G30</f>
        <v>3.8938000000000001</v>
      </c>
      <c r="L37" s="182">
        <f t="shared" ref="L37:L42" si="144">K37/K36-1</f>
        <v>1.4485956958991242E-2</v>
      </c>
      <c r="M37" s="182"/>
      <c r="N37" s="183"/>
      <c r="O37" s="184">
        <v>43556</v>
      </c>
      <c r="P37" s="187">
        <f>'2019'!H28</f>
        <v>6445.1</v>
      </c>
      <c r="Q37" s="182">
        <f t="shared" ref="Q37:Q42" si="145">P37/P36-1</f>
        <v>-9.1827432338154047E-4</v>
      </c>
      <c r="R37" s="218">
        <f t="shared" ref="R37" si="146">P37*K37</f>
        <v>25095.930380000002</v>
      </c>
      <c r="S37" s="188">
        <f t="shared" si="128"/>
        <v>1.3554380553284506E-2</v>
      </c>
      <c r="U37" s="184">
        <v>43556</v>
      </c>
      <c r="V37" s="185">
        <v>2938.75</v>
      </c>
      <c r="W37" s="182">
        <f t="shared" ref="W37:W42" si="147">V37/V36-1</f>
        <v>3.0634074489724217E-2</v>
      </c>
      <c r="X37" s="194">
        <f t="shared" si="136"/>
        <v>11442.90475</v>
      </c>
      <c r="Y37" s="188">
        <f t="shared" si="143"/>
        <v>4.5563795333252166E-2</v>
      </c>
      <c r="Z37" s="226"/>
      <c r="AA37" s="184">
        <v>43556</v>
      </c>
      <c r="AB37" s="165">
        <v>12819</v>
      </c>
      <c r="AC37" s="182">
        <f t="shared" ref="AC37:AC42" si="148">AB37/AB36-1</f>
        <v>-1.8506650863544083E-2</v>
      </c>
      <c r="AD37" s="194">
        <f t="shared" si="59"/>
        <v>49914.622200000005</v>
      </c>
      <c r="AE37" s="188">
        <f t="shared" si="130"/>
        <v>-4.2887804524172068E-3</v>
      </c>
      <c r="AG37" s="193">
        <v>43556</v>
      </c>
      <c r="AH37" s="170">
        <v>1948.85</v>
      </c>
      <c r="AI37" s="128">
        <f t="shared" si="67"/>
        <v>-5.1456022428050807E-2</v>
      </c>
      <c r="AJ37" s="199">
        <f t="shared" si="52"/>
        <v>7588.4321300000001</v>
      </c>
      <c r="AK37" s="128">
        <f t="shared" si="68"/>
        <v>-3.7715455195233116E-2</v>
      </c>
      <c r="AM37" s="193">
        <v>43556</v>
      </c>
      <c r="AN37" s="198">
        <v>1389.3</v>
      </c>
      <c r="AO37" s="128">
        <f t="shared" si="69"/>
        <v>-9.6537148431149467E-2</v>
      </c>
      <c r="AP37" s="199">
        <f t="shared" si="53"/>
        <v>5409.6563400000005</v>
      </c>
      <c r="AQ37" s="128">
        <f t="shared" si="70"/>
        <v>-8.3449624449275506E-2</v>
      </c>
      <c r="AS37" s="193">
        <v>43556</v>
      </c>
      <c r="AT37" s="200">
        <v>17.5</v>
      </c>
      <c r="AU37" s="128">
        <f t="shared" si="137"/>
        <v>9.375E-2</v>
      </c>
      <c r="AV37" s="128">
        <f t="shared" si="123"/>
        <v>0.6973242169155236</v>
      </c>
      <c r="AW37" s="206"/>
      <c r="AX37" s="184">
        <v>43556</v>
      </c>
      <c r="AY37" s="200">
        <v>16.03</v>
      </c>
      <c r="AZ37" s="128">
        <f t="shared" si="138"/>
        <v>7.5424261470773413E-3</v>
      </c>
      <c r="BA37" s="128">
        <f t="shared" si="131"/>
        <v>0.63874898269461966</v>
      </c>
      <c r="BB37" s="206"/>
      <c r="BC37" s="184">
        <v>43556</v>
      </c>
      <c r="BD37" s="186">
        <v>4.3772952380952379</v>
      </c>
      <c r="BE37" s="128">
        <f t="shared" si="9"/>
        <v>7.4571429725089899E-3</v>
      </c>
    </row>
    <row r="38" spans="1:73" hidden="1" x14ac:dyDescent="0.35">
      <c r="A38" s="168">
        <v>43586</v>
      </c>
      <c r="B38" s="164">
        <f t="shared" si="15"/>
        <v>18896.991809699997</v>
      </c>
      <c r="C38" s="178">
        <f t="shared" si="139"/>
        <v>-3.7572642415613866E-2</v>
      </c>
      <c r="D38" s="415" t="s">
        <v>206</v>
      </c>
      <c r="E38" s="415"/>
      <c r="F38" s="181">
        <f t="shared" si="124"/>
        <v>-3.0058113932491096E-2</v>
      </c>
      <c r="G38" s="181">
        <f t="shared" si="125"/>
        <v>-2.4046491145992874E-2</v>
      </c>
      <c r="I38" s="183"/>
      <c r="J38" s="184">
        <v>43586</v>
      </c>
      <c r="K38" s="186">
        <f>'2019'!I30</f>
        <v>4.0016999999999996</v>
      </c>
      <c r="L38" s="182">
        <f t="shared" si="144"/>
        <v>2.7710719605526624E-2</v>
      </c>
      <c r="M38" s="182"/>
      <c r="N38" s="183"/>
      <c r="O38" s="184">
        <v>43586</v>
      </c>
      <c r="P38" s="187">
        <f>'2019'!J28</f>
        <v>6038.5749999999998</v>
      </c>
      <c r="Q38" s="182">
        <f t="shared" si="145"/>
        <v>-6.3075049262230287E-2</v>
      </c>
      <c r="R38" s="218">
        <f t="shared" ref="R38" si="149">P38*K38</f>
        <v>24164.565577499998</v>
      </c>
      <c r="S38" s="188">
        <f t="shared" si="128"/>
        <v>-3.7112184660914038E-2</v>
      </c>
      <c r="U38" s="184">
        <v>43586</v>
      </c>
      <c r="V38" s="185">
        <v>2747.74</v>
      </c>
      <c r="W38" s="182">
        <f t="shared" si="147"/>
        <v>-6.4997022543598515E-2</v>
      </c>
      <c r="X38" s="194">
        <f t="shared" si="136"/>
        <v>10995.631157999998</v>
      </c>
      <c r="Y38" s="188">
        <f t="shared" si="143"/>
        <v>-3.9087417204971664E-2</v>
      </c>
      <c r="Z38" s="226"/>
      <c r="AA38" s="184">
        <v>43586</v>
      </c>
      <c r="AB38" s="165">
        <v>11998.33</v>
      </c>
      <c r="AC38" s="182">
        <f t="shared" si="148"/>
        <v>-6.4019814338091896E-2</v>
      </c>
      <c r="AD38" s="194">
        <f t="shared" si="59"/>
        <v>48013.717160999993</v>
      </c>
      <c r="AE38" s="188">
        <f t="shared" si="130"/>
        <v>-3.8083129856886111E-2</v>
      </c>
      <c r="AG38" s="184">
        <v>43586</v>
      </c>
      <c r="AH38" s="170">
        <v>1817.21</v>
      </c>
      <c r="AI38" s="128">
        <f t="shared" si="67"/>
        <v>-6.7547528029350601E-2</v>
      </c>
      <c r="AJ38" s="199">
        <f t="shared" si="52"/>
        <v>7271.9292569999998</v>
      </c>
      <c r="AK38" s="128">
        <f t="shared" si="68"/>
        <v>-4.1708599033091764E-2</v>
      </c>
      <c r="AM38" s="184">
        <v>43586</v>
      </c>
      <c r="AN38" s="198">
        <v>1328.25</v>
      </c>
      <c r="AO38" s="128">
        <f t="shared" si="69"/>
        <v>-4.3942992874109188E-2</v>
      </c>
      <c r="AP38" s="199">
        <f t="shared" si="53"/>
        <v>5315.2580249999992</v>
      </c>
      <c r="AQ38" s="128">
        <f t="shared" si="70"/>
        <v>-1.744996522274489E-2</v>
      </c>
      <c r="AS38" s="184">
        <v>43586</v>
      </c>
      <c r="AT38" s="200">
        <v>18.5</v>
      </c>
      <c r="AU38" s="128">
        <f t="shared" si="137"/>
        <v>5.7142857142857162E-2</v>
      </c>
      <c r="AV38" s="128">
        <f t="shared" si="123"/>
        <v>0.76558380247587132</v>
      </c>
      <c r="AW38" s="206"/>
      <c r="AX38" s="184">
        <v>43586</v>
      </c>
      <c r="AY38" s="200">
        <v>17.3</v>
      </c>
      <c r="AZ38" s="128">
        <f t="shared" si="138"/>
        <v>7.922645040548959E-2</v>
      </c>
      <c r="BA38" s="128">
        <f t="shared" si="131"/>
        <v>0.71592431258554456</v>
      </c>
      <c r="BB38" s="206"/>
      <c r="BC38" s="184">
        <v>43586</v>
      </c>
      <c r="BD38" s="186">
        <v>4.4760863636363641</v>
      </c>
      <c r="BE38" s="128">
        <f t="shared" si="9"/>
        <v>2.2568988420373248E-2</v>
      </c>
    </row>
    <row r="39" spans="1:73" hidden="1" x14ac:dyDescent="0.35">
      <c r="A39" s="168">
        <v>43617</v>
      </c>
      <c r="B39" s="164">
        <f t="shared" si="15"/>
        <v>17629.489601500001</v>
      </c>
      <c r="C39" s="178">
        <f t="shared" si="139"/>
        <v>-6.7074284677912321E-2</v>
      </c>
      <c r="D39" s="415" t="s">
        <v>212</v>
      </c>
      <c r="E39" s="415"/>
      <c r="F39" s="181">
        <f t="shared" si="124"/>
        <v>-5.365942774232986E-2</v>
      </c>
      <c r="G39" s="181">
        <f t="shared" si="125"/>
        <v>-4.2927542193863889E-2</v>
      </c>
      <c r="I39" s="183"/>
      <c r="J39" s="184">
        <v>43617</v>
      </c>
      <c r="K39" s="186">
        <f>'2019'!K30</f>
        <v>3.8645</v>
      </c>
      <c r="L39" s="182">
        <f t="shared" si="144"/>
        <v>-3.4285428692805486E-2</v>
      </c>
      <c r="M39" s="182"/>
      <c r="N39" s="183"/>
      <c r="O39" s="184">
        <v>43617</v>
      </c>
      <c r="P39" s="187">
        <f>'2019'!L28</f>
        <v>5868.4250000000002</v>
      </c>
      <c r="Q39" s="182">
        <f t="shared" si="145"/>
        <v>-2.8177177562587086E-2</v>
      </c>
      <c r="R39" s="218">
        <f t="shared" ref="R39:R43" si="150">P39*K39</f>
        <v>22678.5284125</v>
      </c>
      <c r="S39" s="188">
        <f t="shared" si="128"/>
        <v>-6.1496539643306036E-2</v>
      </c>
      <c r="U39" s="184">
        <v>43617</v>
      </c>
      <c r="V39" s="185">
        <v>2602.13</v>
      </c>
      <c r="W39" s="182">
        <f t="shared" si="147"/>
        <v>-5.2992641225152237E-2</v>
      </c>
      <c r="X39" s="194">
        <f t="shared" si="136"/>
        <v>10055.931385</v>
      </c>
      <c r="Y39" s="188">
        <f t="shared" si="143"/>
        <v>-8.5461194495989323E-2</v>
      </c>
      <c r="Z39" s="226"/>
      <c r="AA39" s="184">
        <v>43617</v>
      </c>
      <c r="AB39" s="165">
        <v>11970</v>
      </c>
      <c r="AC39" s="182">
        <f t="shared" si="148"/>
        <v>-2.3611619283683272E-3</v>
      </c>
      <c r="AD39" s="194">
        <f t="shared" si="59"/>
        <v>46258.065000000002</v>
      </c>
      <c r="AE39" s="188">
        <f t="shared" si="130"/>
        <v>-3.6565637172246479E-2</v>
      </c>
      <c r="AG39" s="184">
        <v>43617</v>
      </c>
      <c r="AH39" s="170">
        <v>1891.5</v>
      </c>
      <c r="AI39" s="128">
        <f t="shared" si="67"/>
        <v>4.0881351082153294E-2</v>
      </c>
      <c r="AJ39" s="199">
        <f t="shared" si="52"/>
        <v>7309.7017500000002</v>
      </c>
      <c r="AK39" s="128">
        <f t="shared" si="68"/>
        <v>5.1942877419552946E-3</v>
      </c>
      <c r="AM39" s="184">
        <v>43617</v>
      </c>
      <c r="AN39" s="198">
        <v>1439.63</v>
      </c>
      <c r="AO39" s="128">
        <f t="shared" si="69"/>
        <v>8.3854696028609066E-2</v>
      </c>
      <c r="AP39" s="199">
        <f t="shared" si="53"/>
        <v>5563.450135</v>
      </c>
      <c r="AQ39" s="128">
        <f t="shared" si="70"/>
        <v>4.6694273134557873E-2</v>
      </c>
      <c r="AS39" s="184">
        <v>43617</v>
      </c>
      <c r="AT39" s="200">
        <v>18</v>
      </c>
      <c r="AU39" s="128">
        <f t="shared" si="137"/>
        <v>-2.7027027027026973E-2</v>
      </c>
      <c r="AV39" s="128">
        <f t="shared" si="123"/>
        <v>0.79370229287358529</v>
      </c>
      <c r="AW39" s="206"/>
      <c r="AX39" s="184">
        <v>43617</v>
      </c>
      <c r="AY39" s="200">
        <v>17.36</v>
      </c>
      <c r="AZ39" s="128">
        <f t="shared" si="138"/>
        <v>3.4682080924854919E-3</v>
      </c>
      <c r="BA39" s="128">
        <f t="shared" si="131"/>
        <v>0.76548176690474667</v>
      </c>
      <c r="BB39" s="206"/>
      <c r="BC39" s="184">
        <v>43617</v>
      </c>
      <c r="BD39" s="186">
        <v>4.3593000000000002</v>
      </c>
      <c r="BE39" s="128">
        <f t="shared" si="9"/>
        <v>-2.6091177459204973E-2</v>
      </c>
    </row>
    <row r="40" spans="1:73" hidden="1" x14ac:dyDescent="0.35">
      <c r="A40" s="168">
        <v>43647</v>
      </c>
      <c r="B40" s="164">
        <f t="shared" si="15"/>
        <v>17181.420224857138</v>
      </c>
      <c r="C40" s="178">
        <f t="shared" si="139"/>
        <v>-2.5415901808339303E-2</v>
      </c>
      <c r="D40" s="415" t="s">
        <v>219</v>
      </c>
      <c r="E40" s="415"/>
      <c r="F40" s="181">
        <f t="shared" si="124"/>
        <v>-2.0332721446671444E-2</v>
      </c>
      <c r="G40" s="181">
        <f t="shared" si="125"/>
        <v>-1.6266177157337153E-2</v>
      </c>
      <c r="I40" s="183"/>
      <c r="J40" s="184">
        <v>43647</v>
      </c>
      <c r="K40" s="186">
        <f>'2019'!A68</f>
        <v>3.7818999999999998</v>
      </c>
      <c r="L40" s="182">
        <f t="shared" si="144"/>
        <v>-2.1374045801526798E-2</v>
      </c>
      <c r="M40" s="182"/>
      <c r="N40" s="183"/>
      <c r="O40" s="184">
        <v>43647</v>
      </c>
      <c r="P40" s="187">
        <f>'2019'!B65</f>
        <v>5943.6428571428569</v>
      </c>
      <c r="Q40" s="182">
        <f t="shared" si="145"/>
        <v>1.2817384075430205E-2</v>
      </c>
      <c r="R40" s="218">
        <f t="shared" si="150"/>
        <v>22478.26292142857</v>
      </c>
      <c r="S40" s="188">
        <f t="shared" ref="S40" si="151">R40/R39-1</f>
        <v>-8.830621080380463E-3</v>
      </c>
      <c r="U40" s="184">
        <v>43647</v>
      </c>
      <c r="V40" s="185">
        <v>2442.1999999999998</v>
      </c>
      <c r="W40" s="182">
        <f t="shared" si="147"/>
        <v>-6.1461187565571396E-2</v>
      </c>
      <c r="X40" s="194">
        <f t="shared" si="136"/>
        <v>9236.1561799999981</v>
      </c>
      <c r="Y40" s="188">
        <f t="shared" si="143"/>
        <v>-8.1521559129055454E-2</v>
      </c>
      <c r="Z40" s="226"/>
      <c r="AA40" s="184">
        <v>43647</v>
      </c>
      <c r="AB40" s="165">
        <v>13462.39</v>
      </c>
      <c r="AC40" s="182">
        <f t="shared" si="148"/>
        <v>0.12467752715121128</v>
      </c>
      <c r="AD40" s="194">
        <f t="shared" si="59"/>
        <v>50913.412740999993</v>
      </c>
      <c r="AE40" s="209">
        <f t="shared" ref="AE40" si="152">AD40/AD39-1</f>
        <v>0.10063861817393338</v>
      </c>
      <c r="AG40" s="184">
        <v>43647</v>
      </c>
      <c r="AH40" s="170">
        <v>1974.02</v>
      </c>
      <c r="AI40" s="128">
        <f t="shared" ref="AI40" si="153">AH40/AH39-1</f>
        <v>4.3626751255617213E-2</v>
      </c>
      <c r="AJ40" s="199">
        <f t="shared" si="52"/>
        <v>7465.5462379999999</v>
      </c>
      <c r="AK40" s="128">
        <f t="shared" ref="AK40" si="154">AJ40/AJ39-1</f>
        <v>2.1320225274580995E-2</v>
      </c>
      <c r="AM40" s="184">
        <v>43647</v>
      </c>
      <c r="AN40" s="198">
        <v>1543.48</v>
      </c>
      <c r="AO40" s="128">
        <f t="shared" ref="AO40" si="155">AN40/AN39-1</f>
        <v>7.2136590651764587E-2</v>
      </c>
      <c r="AP40" s="199">
        <f t="shared" si="53"/>
        <v>5837.2870119999998</v>
      </c>
      <c r="AQ40" s="128">
        <f t="shared" ref="AQ40" si="156">AP40/AP39-1</f>
        <v>4.9220694057681147E-2</v>
      </c>
      <c r="AS40" s="184">
        <v>43647</v>
      </c>
      <c r="AT40" s="200">
        <v>17</v>
      </c>
      <c r="AU40" s="128">
        <f t="shared" ref="AU40" si="157">AT40/AT39-1</f>
        <v>-5.555555555555558E-2</v>
      </c>
      <c r="AV40" s="128">
        <f t="shared" si="123"/>
        <v>0.75628619788915574</v>
      </c>
      <c r="AW40" s="206"/>
      <c r="AX40" s="184">
        <v>43647</v>
      </c>
      <c r="AY40" s="200"/>
      <c r="AZ40" s="128">
        <f t="shared" si="138"/>
        <v>-1</v>
      </c>
      <c r="BA40" s="128">
        <f t="shared" si="131"/>
        <v>0</v>
      </c>
      <c r="BB40" s="206"/>
      <c r="BC40" s="184">
        <v>43647</v>
      </c>
      <c r="BD40" s="186">
        <v>4.238847826086956</v>
      </c>
      <c r="BE40" s="128">
        <f>IFERROR(BD40/BD39-1,"")</f>
        <v>-2.7631081575721805E-2</v>
      </c>
    </row>
    <row r="41" spans="1:73" hidden="1" x14ac:dyDescent="0.35">
      <c r="A41" s="168">
        <v>43678</v>
      </c>
      <c r="B41" s="164">
        <f t="shared" si="15"/>
        <v>17426.063691428568</v>
      </c>
      <c r="C41" s="178">
        <f t="shared" ref="C41:C45" si="158">(B41/B40-1)</f>
        <v>1.4238838429520007E-2</v>
      </c>
      <c r="D41" s="415" t="s">
        <v>220</v>
      </c>
      <c r="E41" s="415"/>
      <c r="F41" s="181">
        <f t="shared" si="124"/>
        <v>1.1391070743616005E-2</v>
      </c>
      <c r="G41" s="181">
        <f t="shared" si="125"/>
        <v>9.1128565948928042E-3</v>
      </c>
      <c r="I41" s="183"/>
      <c r="J41" s="168">
        <v>43678</v>
      </c>
      <c r="K41" s="186">
        <f>'2019'!C68</f>
        <v>4.0199999999999996</v>
      </c>
      <c r="L41" s="182">
        <f t="shared" si="144"/>
        <v>6.2957772548190016E-2</v>
      </c>
      <c r="M41" s="182"/>
      <c r="N41" s="183"/>
      <c r="O41" s="168">
        <v>43678</v>
      </c>
      <c r="P41" s="187">
        <f>'2019'!D65</f>
        <v>5707.9761904761908</v>
      </c>
      <c r="Q41" s="182">
        <f t="shared" si="145"/>
        <v>-3.9650206503146546E-2</v>
      </c>
      <c r="R41" s="218">
        <f t="shared" si="150"/>
        <v>22946.064285714285</v>
      </c>
      <c r="S41" s="188">
        <f t="shared" ref="S41" si="159">R41/R40-1</f>
        <v>2.0811277362529523E-2</v>
      </c>
      <c r="U41" s="168">
        <v>43678</v>
      </c>
      <c r="V41" s="185">
        <v>2275.14</v>
      </c>
      <c r="W41" s="182">
        <f t="shared" si="147"/>
        <v>-6.8405535992138167E-2</v>
      </c>
      <c r="X41" s="194">
        <f t="shared" si="136"/>
        <v>9146.0627999999979</v>
      </c>
      <c r="Y41" s="188">
        <f t="shared" si="143"/>
        <v>-9.7544236199782475E-3</v>
      </c>
      <c r="Z41" s="226"/>
      <c r="AA41" s="168">
        <v>43678</v>
      </c>
      <c r="AB41" s="165">
        <v>15464.69</v>
      </c>
      <c r="AC41" s="182">
        <f t="shared" si="148"/>
        <v>0.14873287729741902</v>
      </c>
      <c r="AD41" s="194">
        <f t="shared" si="59"/>
        <v>62168.053799999994</v>
      </c>
      <c r="AE41" s="209">
        <f t="shared" ref="AE41" si="160">AD41/AD40-1</f>
        <v>0.22105454050493778</v>
      </c>
      <c r="AG41" s="168">
        <v>43678</v>
      </c>
      <c r="AH41" s="170">
        <v>1974.02</v>
      </c>
      <c r="AI41" s="128">
        <f t="shared" ref="AI41" si="161">AH41/AH40-1</f>
        <v>0</v>
      </c>
      <c r="AJ41" s="199">
        <f t="shared" si="52"/>
        <v>7935.5603999999994</v>
      </c>
      <c r="AK41" s="128">
        <f t="shared" ref="AK41" si="162">AJ41/AJ40-1</f>
        <v>6.2957772548190016E-2</v>
      </c>
      <c r="AM41" s="168">
        <v>43678</v>
      </c>
      <c r="AN41" s="198">
        <v>1449</v>
      </c>
      <c r="AO41" s="128">
        <f t="shared" ref="AO41" si="163">AN41/AN40-1</f>
        <v>-6.1212325394562894E-2</v>
      </c>
      <c r="AP41" s="199">
        <f t="shared" si="53"/>
        <v>5824.98</v>
      </c>
      <c r="AQ41" s="128">
        <f t="shared" ref="AQ41" si="164">AP41/AP40-1</f>
        <v>-2.1083445057096251E-3</v>
      </c>
      <c r="AS41" s="168">
        <v>43678</v>
      </c>
      <c r="AT41" s="200">
        <v>17</v>
      </c>
      <c r="AU41" s="128">
        <f t="shared" ref="AU41" si="165">AT41/AT40-1</f>
        <v>0</v>
      </c>
      <c r="AV41" s="128">
        <f t="shared" si="123"/>
        <v>0.74086779276495907</v>
      </c>
      <c r="AW41" s="206"/>
      <c r="AX41" s="168">
        <v>43678</v>
      </c>
      <c r="AY41" s="200">
        <v>15.87</v>
      </c>
      <c r="AZ41" s="128" t="e">
        <f>AY41/AY40-1</f>
        <v>#DIV/0!</v>
      </c>
      <c r="BA41" s="128">
        <f t="shared" si="131"/>
        <v>0.69162187477528825</v>
      </c>
      <c r="BB41" s="206"/>
      <c r="BC41" s="168">
        <v>43678</v>
      </c>
      <c r="BD41" s="186">
        <v>4.4737999999999998</v>
      </c>
      <c r="BE41" s="128">
        <f t="shared" ref="BE41:BE42" si="166">IFERROR(BD41/BD40-1,"")</f>
        <v>5.5428310605322384E-2</v>
      </c>
    </row>
    <row r="42" spans="1:73" hidden="1" x14ac:dyDescent="0.35">
      <c r="A42" s="168">
        <v>43709</v>
      </c>
      <c r="B42" s="164">
        <f t="shared" si="15"/>
        <v>18037.091204800003</v>
      </c>
      <c r="C42" s="178">
        <f t="shared" si="158"/>
        <v>3.5064000923626937E-2</v>
      </c>
      <c r="D42" s="415" t="s">
        <v>225</v>
      </c>
      <c r="E42" s="415"/>
      <c r="F42" s="181">
        <f t="shared" si="124"/>
        <v>2.8051200738901549E-2</v>
      </c>
      <c r="G42" s="181">
        <f t="shared" si="125"/>
        <v>2.2440960591121242E-2</v>
      </c>
      <c r="I42" s="183"/>
      <c r="J42" s="168">
        <v>43709</v>
      </c>
      <c r="K42" s="186">
        <f>'2019'!E68</f>
        <v>4.1203000000000003</v>
      </c>
      <c r="L42" s="182">
        <f t="shared" si="144"/>
        <v>2.4950248756218985E-2</v>
      </c>
      <c r="M42" s="182"/>
      <c r="N42" s="183"/>
      <c r="O42" s="168">
        <v>43709</v>
      </c>
      <c r="P42" s="187">
        <f>'2019'!F65</f>
        <v>5749.6</v>
      </c>
      <c r="Q42" s="182">
        <f t="shared" si="145"/>
        <v>7.2922184912507237E-3</v>
      </c>
      <c r="R42" s="218">
        <f t="shared" si="150"/>
        <v>23690.076880000004</v>
      </c>
      <c r="S42" s="188">
        <f t="shared" ref="S42" si="167">R42/R41-1</f>
        <v>3.2424409912811258E-2</v>
      </c>
      <c r="U42" s="168">
        <v>43709</v>
      </c>
      <c r="V42" s="185">
        <v>2319.64</v>
      </c>
      <c r="W42" s="182">
        <f t="shared" si="147"/>
        <v>1.9559235915152406E-2</v>
      </c>
      <c r="X42" s="194">
        <f t="shared" si="136"/>
        <v>9557.6126920000006</v>
      </c>
      <c r="Y42" s="188">
        <f t="shared" ref="Y42" si="168">X42/X41-1</f>
        <v>4.4997492472936385E-2</v>
      </c>
      <c r="Z42" s="226"/>
      <c r="AA42" s="168">
        <v>43709</v>
      </c>
      <c r="AB42" s="165">
        <v>17673.099999999999</v>
      </c>
      <c r="AC42" s="182">
        <f t="shared" si="148"/>
        <v>0.14280337982849955</v>
      </c>
      <c r="AD42" s="194">
        <f t="shared" si="59"/>
        <v>72818.473929999993</v>
      </c>
      <c r="AE42" s="209">
        <f>AD42/AD41-1</f>
        <v>0.17131660843466845</v>
      </c>
      <c r="AG42" s="168">
        <v>43709</v>
      </c>
      <c r="AH42" s="170">
        <v>2070.86</v>
      </c>
      <c r="AI42" s="128">
        <f t="shared" ref="AI42" si="169">AH42/AH41-1</f>
        <v>4.905725372589953E-2</v>
      </c>
      <c r="AJ42" s="199">
        <f t="shared" si="52"/>
        <v>8532.5644580000007</v>
      </c>
      <c r="AK42" s="128">
        <f t="shared" ref="AK42" si="170">AJ42/AJ41-1</f>
        <v>7.5231493165876628E-2</v>
      </c>
      <c r="AM42" s="168">
        <v>43709</v>
      </c>
      <c r="AN42" s="198">
        <v>1532</v>
      </c>
      <c r="AO42" s="128">
        <f t="shared" ref="AO42" si="171">AN42/AN41-1</f>
        <v>5.7280883367839985E-2</v>
      </c>
      <c r="AP42" s="199">
        <f t="shared" si="53"/>
        <v>6312.2996000000003</v>
      </c>
      <c r="AQ42" s="128">
        <f t="shared" ref="AQ42" si="172">AP42/AP41-1</f>
        <v>8.3660304413062603E-2</v>
      </c>
      <c r="AS42" s="168">
        <v>43709</v>
      </c>
      <c r="AT42" s="200">
        <v>17.5</v>
      </c>
      <c r="AU42" s="128">
        <f t="shared" ref="AU42" si="173">AT42/AT41-1</f>
        <v>2.9411764705882248E-2</v>
      </c>
      <c r="AV42" s="128">
        <f t="shared" si="123"/>
        <v>0.73870591845880063</v>
      </c>
      <c r="AW42" s="206"/>
      <c r="AX42" s="168">
        <v>43709</v>
      </c>
      <c r="AY42" s="200">
        <v>0</v>
      </c>
      <c r="AZ42" s="128">
        <f t="shared" si="138"/>
        <v>-1</v>
      </c>
      <c r="BA42" s="128">
        <f t="shared" si="131"/>
        <v>0</v>
      </c>
      <c r="BB42" s="206"/>
      <c r="BC42" s="168">
        <v>43709</v>
      </c>
      <c r="BD42" s="186">
        <v>4.5379619047619046</v>
      </c>
      <c r="BE42" s="128">
        <f t="shared" si="166"/>
        <v>1.4341701632148318E-2</v>
      </c>
    </row>
    <row r="43" spans="1:73" hidden="1" x14ac:dyDescent="0.35">
      <c r="A43" s="168">
        <v>43739</v>
      </c>
      <c r="B43" s="164">
        <f t="shared" ref="B43:B74" si="174">(($P43*0.6)+($V43*0.4))*($K43)</f>
        <v>18078.025726636522</v>
      </c>
      <c r="C43" s="178">
        <f t="shared" si="158"/>
        <v>2.269463594308796E-3</v>
      </c>
      <c r="D43" s="415" t="s">
        <v>226</v>
      </c>
      <c r="E43" s="415"/>
      <c r="F43" s="208">
        <f t="shared" ref="F43" si="175">C43*80%</f>
        <v>1.8155708754470368E-3</v>
      </c>
      <c r="G43" s="208">
        <f t="shared" ref="G43:G48" si="176">C43*64%</f>
        <v>1.4524567003576295E-3</v>
      </c>
      <c r="I43" s="183"/>
      <c r="J43" s="168">
        <v>43739</v>
      </c>
      <c r="K43" s="186">
        <v>4.0863800000000001</v>
      </c>
      <c r="L43" s="182">
        <f t="shared" ref="L43:L44" si="177">K43/K42-1</f>
        <v>-8.2324102613887673E-3</v>
      </c>
      <c r="M43" s="182"/>
      <c r="N43" s="183"/>
      <c r="O43" s="168">
        <v>43739</v>
      </c>
      <c r="P43" s="187">
        <f>'2019'!H65</f>
        <v>5742.891304347826</v>
      </c>
      <c r="Q43" s="182">
        <f t="shared" ref="Q43" si="178">P43/P42-1</f>
        <v>-1.1668108480893391E-3</v>
      </c>
      <c r="R43" s="218">
        <f t="shared" si="150"/>
        <v>23467.636168260869</v>
      </c>
      <c r="S43" s="188">
        <f t="shared" ref="S43" si="179">R43/R42-1</f>
        <v>-9.3896154438792845E-3</v>
      </c>
      <c r="U43" s="168">
        <v>43739</v>
      </c>
      <c r="V43" s="185">
        <v>2445.59</v>
      </c>
      <c r="W43" s="182">
        <f t="shared" ref="W43:W44" si="180">V43/V42-1</f>
        <v>5.4297218533910563E-2</v>
      </c>
      <c r="X43" s="194">
        <f t="shared" si="136"/>
        <v>9993.6100642000001</v>
      </c>
      <c r="Y43" s="188">
        <f t="shared" ref="Y43:Y44" si="181">X43/X42-1</f>
        <v>4.5617811293498178E-2</v>
      </c>
      <c r="Z43" s="226"/>
      <c r="AA43" s="168">
        <v>43739</v>
      </c>
      <c r="AB43" s="165">
        <v>17113.48</v>
      </c>
      <c r="AC43" s="182">
        <f t="shared" ref="AC43:AC44" si="182">AB43/AB42-1</f>
        <v>-3.1665072907412939E-2</v>
      </c>
      <c r="AD43" s="194">
        <f t="shared" si="59"/>
        <v>69932.182402399994</v>
      </c>
      <c r="AE43" s="209">
        <f t="shared" ref="AE43:AE44" si="183">AD43/AD42-1</f>
        <v>-3.9636803297671053E-2</v>
      </c>
      <c r="AG43" s="168">
        <v>43739</v>
      </c>
      <c r="AH43" s="170">
        <v>2184.3000000000002</v>
      </c>
      <c r="AI43" s="128">
        <f t="shared" ref="AI43" si="184">AH43/AH42-1</f>
        <v>5.4779173869793141E-2</v>
      </c>
      <c r="AJ43" s="199">
        <f t="shared" si="52"/>
        <v>8925.8798340000012</v>
      </c>
      <c r="AK43" s="128">
        <f t="shared" ref="AK43" si="185">AJ43/AJ42-1</f>
        <v>4.6095798975328561E-2</v>
      </c>
      <c r="AM43" s="168">
        <v>43739</v>
      </c>
      <c r="AN43" s="198">
        <v>1794</v>
      </c>
      <c r="AO43" s="128">
        <f t="shared" ref="AO43" si="186">AN43/AN42-1</f>
        <v>0.171018276762402</v>
      </c>
      <c r="AP43" s="199">
        <f t="shared" si="53"/>
        <v>7330.9657200000001</v>
      </c>
      <c r="AQ43" s="128">
        <f t="shared" ref="AQ43" si="187">AP43/AP42-1</f>
        <v>0.16137797388450958</v>
      </c>
      <c r="AS43" s="168">
        <v>43739</v>
      </c>
      <c r="AT43" s="200">
        <v>17.5</v>
      </c>
      <c r="AU43" s="128">
        <f t="shared" ref="AU43:AU50" si="188">AT43/AT42-1</f>
        <v>0</v>
      </c>
      <c r="AV43" s="128">
        <f t="shared" si="123"/>
        <v>0.74570782819908032</v>
      </c>
      <c r="AW43" s="206"/>
      <c r="AX43" s="168">
        <v>43739</v>
      </c>
      <c r="AY43" s="200"/>
      <c r="AZ43" s="128" t="e">
        <f t="shared" ref="AZ43" si="189">AY43/AY42-1</f>
        <v>#DIV/0!</v>
      </c>
      <c r="BA43" s="128">
        <f t="shared" si="131"/>
        <v>0</v>
      </c>
      <c r="BB43" s="206"/>
      <c r="BC43" s="168">
        <v>43739</v>
      </c>
      <c r="BD43" s="186">
        <v>4.5182000000000002</v>
      </c>
      <c r="BE43" s="128">
        <f t="shared" ref="BE43:BE44" si="190">IFERROR(BD43/BD42-1,"")</f>
        <v>-4.3547974127255973E-3</v>
      </c>
    </row>
    <row r="44" spans="1:73" hidden="1" x14ac:dyDescent="0.35">
      <c r="A44" s="168">
        <v>43770</v>
      </c>
      <c r="B44" s="164">
        <f t="shared" si="174"/>
        <v>18650.536783714288</v>
      </c>
      <c r="C44" s="178">
        <f t="shared" si="158"/>
        <v>3.1668892706254725E-2</v>
      </c>
      <c r="D44" s="415" t="s">
        <v>227</v>
      </c>
      <c r="E44" s="415"/>
      <c r="F44" s="208">
        <f t="shared" ref="F44:F49" si="191">C44*80%</f>
        <v>2.533511416500378E-2</v>
      </c>
      <c r="G44" s="208">
        <f t="shared" si="176"/>
        <v>2.0268091332003024E-2</v>
      </c>
      <c r="I44" s="183"/>
      <c r="J44" s="168">
        <v>43770</v>
      </c>
      <c r="K44" s="186">
        <f>'2019'!I68</f>
        <v>4.154725</v>
      </c>
      <c r="L44" s="182">
        <f t="shared" si="177"/>
        <v>1.6725072068676905E-2</v>
      </c>
      <c r="M44" s="182"/>
      <c r="N44" s="183"/>
      <c r="O44" s="168">
        <v>43770</v>
      </c>
      <c r="P44" s="187">
        <f>'2019'!J65</f>
        <v>5859.6904761904761</v>
      </c>
      <c r="Q44" s="182">
        <f t="shared" ref="Q44" si="192">P44/P43-1</f>
        <v>2.0338043269985562E-2</v>
      </c>
      <c r="R44" s="218">
        <f t="shared" ref="R44:R49" si="193">P44*K44</f>
        <v>24345.402513690475</v>
      </c>
      <c r="S44" s="188">
        <f t="shared" ref="S44" si="194">R44/R43-1</f>
        <v>3.7403270578088899E-2</v>
      </c>
      <c r="U44" s="168">
        <v>43770</v>
      </c>
      <c r="V44" s="185">
        <v>2432.9499999999998</v>
      </c>
      <c r="W44" s="182">
        <f t="shared" si="180"/>
        <v>-5.1684869499795116E-3</v>
      </c>
      <c r="X44" s="194">
        <f t="shared" si="136"/>
        <v>10108.23818875</v>
      </c>
      <c r="Y44" s="188">
        <f t="shared" si="181"/>
        <v>1.1470141801973144E-2</v>
      </c>
      <c r="Z44" s="226"/>
      <c r="AA44" s="168">
        <v>43770</v>
      </c>
      <c r="AB44" s="165">
        <v>15199.52</v>
      </c>
      <c r="AC44" s="182">
        <f t="shared" si="182"/>
        <v>-0.11183932198477453</v>
      </c>
      <c r="AD44" s="194">
        <f t="shared" si="59"/>
        <v>63149.825732000005</v>
      </c>
      <c r="AE44" s="209">
        <f t="shared" si="183"/>
        <v>-9.6984770636404871E-2</v>
      </c>
      <c r="AG44" s="168">
        <v>43770</v>
      </c>
      <c r="AH44" s="170">
        <v>2031.9</v>
      </c>
      <c r="AI44" s="128">
        <f t="shared" ref="AI44" si="195">AH44/AH43-1</f>
        <v>-6.9770635901661882E-2</v>
      </c>
      <c r="AJ44" s="199">
        <f t="shared" si="52"/>
        <v>8441.9857274999995</v>
      </c>
      <c r="AK44" s="128">
        <f t="shared" ref="AK44" si="196">AJ44/AJ43-1</f>
        <v>-5.421248274671786E-2</v>
      </c>
      <c r="AM44" s="168">
        <v>43770</v>
      </c>
      <c r="AN44" s="198">
        <v>1767.76</v>
      </c>
      <c r="AO44" s="128">
        <f t="shared" ref="AO44:AO46" si="197">AN44/AN43-1</f>
        <v>-1.4626532887402455E-2</v>
      </c>
      <c r="AP44" s="199">
        <f t="shared" si="53"/>
        <v>7344.5566660000004</v>
      </c>
      <c r="AQ44" s="128">
        <f t="shared" ref="AQ44:AQ46" si="198">AP44/AP43-1</f>
        <v>1.8539093646179339E-3</v>
      </c>
      <c r="AS44" s="168">
        <v>43770</v>
      </c>
      <c r="AT44" s="200">
        <v>18</v>
      </c>
      <c r="AU44" s="128">
        <f t="shared" si="188"/>
        <v>2.857142857142847E-2</v>
      </c>
      <c r="AV44" s="128">
        <f t="shared" si="123"/>
        <v>0.73935930982771059</v>
      </c>
      <c r="AW44" s="206"/>
      <c r="AX44" s="168">
        <v>43770</v>
      </c>
      <c r="AY44" s="200"/>
      <c r="AZ44" s="128" t="e">
        <f t="shared" ref="AZ44:AZ50" si="199">AY44/AY43-1</f>
        <v>#DIV/0!</v>
      </c>
      <c r="BA44" s="128"/>
      <c r="BB44" s="206"/>
      <c r="BC44" s="168">
        <v>43770</v>
      </c>
      <c r="BD44" s="186">
        <v>4.5897500000000004</v>
      </c>
      <c r="BE44" s="128">
        <f t="shared" si="190"/>
        <v>1.583595237041302E-2</v>
      </c>
    </row>
    <row r="45" spans="1:73" hidden="1" x14ac:dyDescent="0.35">
      <c r="A45" s="168">
        <v>43800</v>
      </c>
      <c r="B45" s="164">
        <f t="shared" si="174"/>
        <v>18683.551859800005</v>
      </c>
      <c r="C45" s="178">
        <f t="shared" si="158"/>
        <v>1.7701944168462269E-3</v>
      </c>
      <c r="D45" s="415" t="s">
        <v>228</v>
      </c>
      <c r="E45" s="415"/>
      <c r="F45" s="208">
        <f t="shared" si="191"/>
        <v>1.4161555334769817E-3</v>
      </c>
      <c r="G45" s="208">
        <f t="shared" si="176"/>
        <v>1.1329244267815853E-3</v>
      </c>
      <c r="I45" s="183"/>
      <c r="J45" s="168">
        <v>43800</v>
      </c>
      <c r="K45" s="229">
        <f>'2019'!K68</f>
        <v>4.1089238095238105</v>
      </c>
      <c r="L45" s="182">
        <f t="shared" ref="L45" si="200">K45/K44-1</f>
        <v>-1.1023880154809151E-2</v>
      </c>
      <c r="M45" s="182"/>
      <c r="N45" s="183"/>
      <c r="O45" s="168">
        <v>43800</v>
      </c>
      <c r="P45" s="187">
        <f>'2019'!L65</f>
        <v>6062.4250000000002</v>
      </c>
      <c r="Q45" s="182">
        <f t="shared" ref="Q45" si="201">P45/P44-1</f>
        <v>3.459816258781756E-2</v>
      </c>
      <c r="R45" s="218">
        <f t="shared" si="193"/>
        <v>24910.042425952386</v>
      </c>
      <c r="S45" s="188">
        <f t="shared" ref="S45" si="202">R45/R44-1</f>
        <v>2.3192876435063736E-2</v>
      </c>
      <c r="U45" s="168">
        <v>43800</v>
      </c>
      <c r="V45" s="185">
        <v>2274.0300000000002</v>
      </c>
      <c r="W45" s="182">
        <f t="shared" ref="W45" si="203">V45/V44-1</f>
        <v>-6.5319879159045469E-2</v>
      </c>
      <c r="X45" s="258">
        <f t="shared" si="136"/>
        <v>9343.8160105714323</v>
      </c>
      <c r="Y45" s="188">
        <f t="shared" ref="Y45" si="204">X45/X44-1</f>
        <v>-7.5623680794278614E-2</v>
      </c>
      <c r="Z45" s="226"/>
      <c r="AA45" s="168">
        <v>43800</v>
      </c>
      <c r="AB45" s="165">
        <v>13800.5</v>
      </c>
      <c r="AC45" s="182">
        <f t="shared" ref="AC45" si="205">AB45/AB44-1</f>
        <v>-9.2043696116719476E-2</v>
      </c>
      <c r="AD45" s="258">
        <f t="shared" si="59"/>
        <v>56705.203033333346</v>
      </c>
      <c r="AE45" s="209">
        <f t="shared" ref="AE45" si="206">AD45/AD44-1</f>
        <v>-0.10205289759653235</v>
      </c>
      <c r="AG45" s="168">
        <v>43800</v>
      </c>
      <c r="AH45" s="170">
        <v>1899.25</v>
      </c>
      <c r="AI45" s="128">
        <f t="shared" ref="AI45" si="207">AH45/AH44-1</f>
        <v>-6.5283724592745784E-2</v>
      </c>
      <c r="AJ45" s="199">
        <f t="shared" si="52"/>
        <v>7803.873545238097</v>
      </c>
      <c r="AK45" s="128">
        <f t="shared" ref="AK45" si="208">AJ45/AJ44-1</f>
        <v>-7.5587924791584826E-2</v>
      </c>
      <c r="AM45" s="168">
        <v>43800</v>
      </c>
      <c r="AN45" s="198">
        <v>1903.61</v>
      </c>
      <c r="AO45" s="128">
        <f t="shared" si="197"/>
        <v>7.6848667239896695E-2</v>
      </c>
      <c r="AP45" s="199">
        <f t="shared" si="53"/>
        <v>7821.7884530476204</v>
      </c>
      <c r="AQ45" s="128">
        <f t="shared" si="198"/>
        <v>6.4977616587378106E-2</v>
      </c>
      <c r="AS45" s="168">
        <v>43800</v>
      </c>
      <c r="AT45" s="200">
        <v>18</v>
      </c>
      <c r="AU45" s="128">
        <f t="shared" si="188"/>
        <v>0</v>
      </c>
      <c r="AV45" s="128">
        <f t="shared" si="123"/>
        <v>0.72260013420317593</v>
      </c>
      <c r="AW45" s="206"/>
      <c r="AX45" s="168">
        <v>43800</v>
      </c>
      <c r="AY45" s="200"/>
      <c r="AZ45" s="128" t="e">
        <f t="shared" si="199"/>
        <v>#DIV/0!</v>
      </c>
      <c r="BA45" s="128"/>
      <c r="BB45" s="206"/>
      <c r="BC45" s="168">
        <v>43800</v>
      </c>
      <c r="BD45" s="186">
        <v>4.5674714285714275</v>
      </c>
      <c r="BE45" s="128">
        <f t="shared" ref="BE45" si="209">IFERROR(BD45/BD44-1,"")</f>
        <v>-4.8539836436783945E-3</v>
      </c>
    </row>
    <row r="46" spans="1:73" hidden="1" x14ac:dyDescent="0.35">
      <c r="A46" s="168">
        <v>43831</v>
      </c>
      <c r="B46" s="164">
        <f t="shared" si="174"/>
        <v>18970.557844381819</v>
      </c>
      <c r="C46" s="249">
        <f>(B46/B45-1)</f>
        <v>1.5361425211623869E-2</v>
      </c>
      <c r="D46" s="416" t="s">
        <v>242</v>
      </c>
      <c r="E46" s="416"/>
      <c r="F46" s="208">
        <f t="shared" si="191"/>
        <v>1.2289140169299096E-2</v>
      </c>
      <c r="G46" s="208">
        <f t="shared" si="176"/>
        <v>9.8313121354392762E-3</v>
      </c>
      <c r="I46" s="183"/>
      <c r="J46" s="168">
        <v>43831</v>
      </c>
      <c r="K46" s="229">
        <f>'2020'!A30</f>
        <v>4.1489000000000003</v>
      </c>
      <c r="L46" s="248">
        <f t="shared" ref="L46:L48" si="210">K46/K45-1</f>
        <v>9.7291145636557719E-3</v>
      </c>
      <c r="M46" s="186">
        <f>'[3]Pricing MP (LME Revisada)'!$K$21</f>
        <v>4</v>
      </c>
      <c r="N46" s="183"/>
      <c r="O46" s="168">
        <v>43831</v>
      </c>
      <c r="P46" s="231">
        <f>'2020'!B28</f>
        <v>6049.204545454545</v>
      </c>
      <c r="Q46" s="248">
        <f>P46/P45-1</f>
        <v>-2.1807205112566175E-3</v>
      </c>
      <c r="R46" s="218">
        <f t="shared" si="193"/>
        <v>25097.544738636363</v>
      </c>
      <c r="S46" s="153">
        <f t="shared" ref="S46:S48" si="211">R46/R45-1</f>
        <v>7.5271775727137058E-3</v>
      </c>
      <c r="U46" s="168">
        <v>43831</v>
      </c>
      <c r="V46" s="232">
        <v>2357.27</v>
      </c>
      <c r="W46" s="248">
        <f t="shared" ref="W46:W52" si="212">V46/V45-1</f>
        <v>3.6604618232828789E-2</v>
      </c>
      <c r="X46" s="258">
        <f t="shared" si="136"/>
        <v>9780.0775030000004</v>
      </c>
      <c r="Y46" s="153">
        <f t="shared" ref="Y46:Y48" si="213">X46/X45-1</f>
        <v>4.6689863320830582E-2</v>
      </c>
      <c r="Z46" s="226"/>
      <c r="AA46" s="168">
        <v>43831</v>
      </c>
      <c r="AB46" s="233">
        <v>13552.95</v>
      </c>
      <c r="AC46" s="230">
        <f t="shared" ref="AC46" si="214">AB46/AB45-1</f>
        <v>-1.7937755878410178E-2</v>
      </c>
      <c r="AD46" s="258">
        <f t="shared" si="59"/>
        <v>56229.834255000009</v>
      </c>
      <c r="AE46" s="209">
        <f t="shared" ref="AE46" si="215">AD46/AD45-1</f>
        <v>-8.3831597967103377E-3</v>
      </c>
      <c r="AG46" s="168">
        <v>43831</v>
      </c>
      <c r="AH46" s="234">
        <v>1925.16</v>
      </c>
      <c r="AI46" s="235">
        <f t="shared" ref="AI46" si="216">AH46/AH45-1</f>
        <v>1.3642227194945455E-2</v>
      </c>
      <c r="AJ46" s="199">
        <f t="shared" si="52"/>
        <v>7987.2963240000008</v>
      </c>
      <c r="AK46" s="235">
        <f t="shared" ref="AK46" si="217">AJ46/AJ45-1</f>
        <v>2.3504068549884183E-2</v>
      </c>
      <c r="AM46" s="168">
        <v>43831</v>
      </c>
      <c r="AN46" s="198">
        <v>2240.59</v>
      </c>
      <c r="AO46" s="235">
        <f t="shared" si="197"/>
        <v>0.17702155378465134</v>
      </c>
      <c r="AP46" s="199">
        <f t="shared" si="53"/>
        <v>9295.9838510000009</v>
      </c>
      <c r="AQ46" s="235">
        <f t="shared" si="198"/>
        <v>0.1884729313253144</v>
      </c>
      <c r="AS46" s="168">
        <v>43831</v>
      </c>
      <c r="AT46" s="200">
        <v>18</v>
      </c>
      <c r="AU46" s="128">
        <f t="shared" si="188"/>
        <v>0</v>
      </c>
      <c r="AV46" s="235">
        <f t="shared" si="123"/>
        <v>0.71720163017739091</v>
      </c>
      <c r="AW46" s="236"/>
      <c r="AX46" s="168">
        <v>43831</v>
      </c>
      <c r="AY46" s="200"/>
      <c r="AZ46" s="128" t="e">
        <f t="shared" si="199"/>
        <v>#DIV/0!</v>
      </c>
      <c r="BA46" s="235"/>
      <c r="BB46" s="236"/>
      <c r="BC46" s="168">
        <v>43831</v>
      </c>
      <c r="BD46" s="229">
        <v>4.6050318181818177</v>
      </c>
      <c r="BE46" s="235">
        <f t="shared" ref="BE46" si="218">IFERROR(BD46/BD45-1,"")</f>
        <v>8.2234536543424053E-3</v>
      </c>
      <c r="BG46" s="168">
        <v>43831</v>
      </c>
      <c r="BH46" s="127"/>
      <c r="BI46" s="127"/>
      <c r="BK46" s="168">
        <v>43831</v>
      </c>
      <c r="BL46" s="127"/>
      <c r="BM46" s="127"/>
      <c r="BO46" s="168">
        <v>43831</v>
      </c>
      <c r="BP46" s="127"/>
      <c r="BQ46" s="127"/>
      <c r="BS46" s="168">
        <v>43831</v>
      </c>
      <c r="BT46" s="282">
        <v>-5.3699999999999998E-2</v>
      </c>
      <c r="BU46" s="282">
        <v>4.4000000000000003E-3</v>
      </c>
    </row>
    <row r="47" spans="1:73" hidden="1" x14ac:dyDescent="0.35">
      <c r="A47" s="168">
        <v>43862</v>
      </c>
      <c r="B47" s="164">
        <f t="shared" si="174"/>
        <v>18490.373104799997</v>
      </c>
      <c r="C47" s="249">
        <f t="shared" ref="C47" si="219">(B47/B46-1)</f>
        <v>-2.5312104341941088E-2</v>
      </c>
      <c r="D47" s="416" t="s">
        <v>243</v>
      </c>
      <c r="E47" s="416"/>
      <c r="F47" s="208">
        <f t="shared" si="191"/>
        <v>-2.0249683473552871E-2</v>
      </c>
      <c r="G47" s="208">
        <f t="shared" si="176"/>
        <v>-1.6199746778842297E-2</v>
      </c>
      <c r="I47" s="183"/>
      <c r="J47" s="168">
        <v>43862</v>
      </c>
      <c r="K47" s="229">
        <f>'2020'!C30</f>
        <v>4.3403999999999998</v>
      </c>
      <c r="L47" s="248">
        <f t="shared" si="210"/>
        <v>4.6156812649135848E-2</v>
      </c>
      <c r="M47" s="186">
        <f>'[3]Pricing MP (LME Revisada)'!$K$21</f>
        <v>4</v>
      </c>
      <c r="N47" s="183"/>
      <c r="O47" s="168">
        <v>43862</v>
      </c>
      <c r="P47" s="231">
        <f>'2020'!D28</f>
        <v>5686.45</v>
      </c>
      <c r="Q47" s="248">
        <f t="shared" ref="Q47:Q48" si="220">P47/P46-1</f>
        <v>-5.9967313508537901E-2</v>
      </c>
      <c r="R47" s="218">
        <f t="shared" si="193"/>
        <v>24681.467579999997</v>
      </c>
      <c r="S47" s="153">
        <f t="shared" si="211"/>
        <v>-1.6578400914087688E-2</v>
      </c>
      <c r="U47" s="168">
        <v>43862</v>
      </c>
      <c r="V47" s="232">
        <v>2120.48</v>
      </c>
      <c r="W47" s="248">
        <f t="shared" si="212"/>
        <v>-0.1004509453732495</v>
      </c>
      <c r="X47" s="258">
        <f t="shared" si="136"/>
        <v>9203.7313919999997</v>
      </c>
      <c r="Y47" s="153">
        <f t="shared" si="213"/>
        <v>-5.8930628190135392E-2</v>
      </c>
      <c r="Z47" s="226"/>
      <c r="AA47" s="168">
        <v>43862</v>
      </c>
      <c r="AB47" s="233">
        <v>12743.5</v>
      </c>
      <c r="AC47" s="230">
        <f t="shared" ref="AC47" si="221">AB47/AB46-1</f>
        <v>-5.9725004519311398E-2</v>
      </c>
      <c r="AD47" s="258">
        <f t="shared" si="59"/>
        <v>55311.8874</v>
      </c>
      <c r="AE47" s="209">
        <f t="shared" ref="AE47" si="222">AD47/AD46-1</f>
        <v>-1.6324907714242221E-2</v>
      </c>
      <c r="AG47" s="168">
        <v>43862</v>
      </c>
      <c r="AH47" s="234">
        <v>1872.3</v>
      </c>
      <c r="AI47" s="235">
        <f t="shared" ref="AI47:AI48" si="223">AH47/AH46-1</f>
        <v>-2.7457458081406316E-2</v>
      </c>
      <c r="AJ47" s="199">
        <f t="shared" si="52"/>
        <v>8126.5309199999992</v>
      </c>
      <c r="AK47" s="235">
        <f t="shared" ref="AK47:AK48" si="224">AJ47/AJ46-1</f>
        <v>1.7432005819244534E-2</v>
      </c>
      <c r="AM47" s="168">
        <v>43862</v>
      </c>
      <c r="AN47" s="198">
        <v>2524.6999999999998</v>
      </c>
      <c r="AO47" s="235">
        <f t="shared" ref="AO47" si="225">AN47/AN46-1</f>
        <v>0.12680142283951978</v>
      </c>
      <c r="AP47" s="199">
        <f t="shared" si="53"/>
        <v>10958.207879999998</v>
      </c>
      <c r="AQ47" s="235">
        <f t="shared" ref="AQ47:AQ48" si="226">AP47/AP46-1</f>
        <v>0.1788109850063031</v>
      </c>
      <c r="AS47" s="168">
        <v>43862</v>
      </c>
      <c r="AT47" s="200">
        <v>18</v>
      </c>
      <c r="AU47" s="128">
        <f t="shared" si="188"/>
        <v>0</v>
      </c>
      <c r="AV47" s="235">
        <f t="shared" si="123"/>
        <v>0.7292921274497407</v>
      </c>
      <c r="AW47" s="236"/>
      <c r="AX47" s="168">
        <v>43862</v>
      </c>
      <c r="AY47" s="200"/>
      <c r="AZ47" s="128" t="e">
        <f t="shared" si="199"/>
        <v>#DIV/0!</v>
      </c>
      <c r="BA47" s="235"/>
      <c r="BB47" s="236"/>
      <c r="BC47" s="168">
        <v>43862</v>
      </c>
      <c r="BD47" s="229">
        <v>4.7374055555555561</v>
      </c>
      <c r="BE47" s="235">
        <f t="shared" ref="BE47" si="227">IFERROR(BD47/BD46-1,"")</f>
        <v>2.8745455536505427E-2</v>
      </c>
      <c r="BG47" s="168">
        <v>43862</v>
      </c>
      <c r="BH47" s="127"/>
      <c r="BI47" s="127"/>
      <c r="BK47" s="168">
        <v>43862</v>
      </c>
      <c r="BL47" s="127"/>
      <c r="BM47" s="127"/>
      <c r="BO47" s="168">
        <v>43862</v>
      </c>
      <c r="BP47" s="127"/>
      <c r="BQ47" s="127"/>
      <c r="BS47" s="168">
        <v>43862</v>
      </c>
      <c r="BT47" s="282">
        <v>-2.5700000000000001E-2</v>
      </c>
      <c r="BU47" s="282">
        <v>-8.9999999999999993E-3</v>
      </c>
    </row>
    <row r="48" spans="1:73" hidden="1" x14ac:dyDescent="0.35">
      <c r="A48" s="168">
        <v>43891</v>
      </c>
      <c r="B48" s="164">
        <f t="shared" si="174"/>
        <v>18895.383687219834</v>
      </c>
      <c r="C48" s="249">
        <f t="shared" ref="C48:C52" si="228">(B48/B47-1)</f>
        <v>2.1903862086736225E-2</v>
      </c>
      <c r="D48" s="419" t="s">
        <v>245</v>
      </c>
      <c r="E48" s="420"/>
      <c r="F48" s="208">
        <f t="shared" si="191"/>
        <v>1.752308966938898E-2</v>
      </c>
      <c r="G48" s="208">
        <f t="shared" si="176"/>
        <v>1.4018471735511184E-2</v>
      </c>
      <c r="I48" s="183"/>
      <c r="J48" s="168">
        <v>43891</v>
      </c>
      <c r="K48" s="229">
        <v>4.8832181818181812</v>
      </c>
      <c r="L48" s="248">
        <f t="shared" si="210"/>
        <v>0.12506178735097717</v>
      </c>
      <c r="M48" s="186">
        <v>4</v>
      </c>
      <c r="N48" s="183"/>
      <c r="O48" s="168">
        <v>43891</v>
      </c>
      <c r="P48" s="231">
        <f>'2020'!F28</f>
        <v>5178.681818181818</v>
      </c>
      <c r="Q48" s="248">
        <f t="shared" si="220"/>
        <v>-8.9294407199251191E-2</v>
      </c>
      <c r="R48" s="218">
        <f t="shared" si="193"/>
        <v>25288.633212396689</v>
      </c>
      <c r="S48" s="153">
        <f t="shared" si="211"/>
        <v>2.4600061986941757E-2</v>
      </c>
      <c r="U48" s="168">
        <v>43891</v>
      </c>
      <c r="V48" s="232">
        <v>1905.61</v>
      </c>
      <c r="W48" s="248">
        <f t="shared" si="212"/>
        <v>-0.10133083075530069</v>
      </c>
      <c r="X48" s="258">
        <f t="shared" si="136"/>
        <v>9305.5093994545441</v>
      </c>
      <c r="Y48" s="153">
        <f t="shared" si="213"/>
        <v>1.1058341787659298E-2</v>
      </c>
      <c r="Z48" s="226"/>
      <c r="AA48" s="168">
        <v>43891</v>
      </c>
      <c r="AB48" s="233">
        <v>11873</v>
      </c>
      <c r="AC48" s="230">
        <f t="shared" ref="AC48" si="229">AB48/AB47-1</f>
        <v>-6.8309334170361335E-2</v>
      </c>
      <c r="AD48" s="258">
        <f t="shared" si="59"/>
        <v>57978.449472727269</v>
      </c>
      <c r="AE48" s="209">
        <f t="shared" ref="AE48" si="230">AD48/AD47-1</f>
        <v>4.820956575651536E-2</v>
      </c>
      <c r="AG48" s="168">
        <v>43891</v>
      </c>
      <c r="AH48" s="234">
        <v>1744.64</v>
      </c>
      <c r="AI48" s="235">
        <f t="shared" si="223"/>
        <v>-6.8183517598675358E-2</v>
      </c>
      <c r="AJ48" s="199">
        <f t="shared" si="52"/>
        <v>8519.4577687272722</v>
      </c>
      <c r="AK48" s="235">
        <f t="shared" si="224"/>
        <v>4.8351117173534686E-2</v>
      </c>
      <c r="AL48" s="198"/>
      <c r="AM48" s="168">
        <v>43891</v>
      </c>
      <c r="AN48" s="198">
        <v>2108.91</v>
      </c>
      <c r="AO48" s="235">
        <f t="shared" ref="AO48" si="231">AN48/AN47-1</f>
        <v>-0.16468887392561493</v>
      </c>
      <c r="AP48" s="199">
        <f t="shared" si="53"/>
        <v>10298.267655818179</v>
      </c>
      <c r="AQ48" s="235">
        <f t="shared" si="226"/>
        <v>-6.0223371504594891E-2</v>
      </c>
      <c r="AR48" s="200"/>
      <c r="AS48" s="168">
        <v>43891</v>
      </c>
      <c r="AT48" s="200">
        <v>17</v>
      </c>
      <c r="AU48" s="128">
        <f t="shared" si="188"/>
        <v>-5.555555555555558E-2</v>
      </c>
      <c r="AV48" s="235">
        <f t="shared" si="123"/>
        <v>0.67223878242919288</v>
      </c>
      <c r="AW48" s="200"/>
      <c r="AX48" s="168">
        <v>43891</v>
      </c>
      <c r="AY48" s="200"/>
      <c r="AZ48" s="128" t="e">
        <f t="shared" si="199"/>
        <v>#DIV/0!</v>
      </c>
      <c r="BA48" s="235">
        <f>AY48/(R48/1000)</f>
        <v>0</v>
      </c>
      <c r="BB48" s="229"/>
      <c r="BC48" s="168">
        <v>43891</v>
      </c>
      <c r="BD48" s="229">
        <v>5.391372727272727</v>
      </c>
      <c r="BE48" s="235">
        <f t="shared" ref="BE48" si="232">IFERROR(BD48/BD47-1,"")</f>
        <v>0.13804331591376284</v>
      </c>
      <c r="BG48" s="168">
        <v>43891</v>
      </c>
      <c r="BH48" s="127"/>
      <c r="BI48" s="127"/>
      <c r="BK48" s="168">
        <v>43891</v>
      </c>
      <c r="BL48" s="127"/>
      <c r="BM48" s="127"/>
      <c r="BO48" s="168">
        <v>43891</v>
      </c>
      <c r="BP48" s="127"/>
      <c r="BQ48" s="127"/>
      <c r="BS48" s="168">
        <v>43891</v>
      </c>
      <c r="BT48" s="282">
        <v>2.2700000000000001E-2</v>
      </c>
      <c r="BU48" s="282">
        <v>1.4800000000000001E-2</v>
      </c>
    </row>
    <row r="49" spans="1:73" hidden="1" x14ac:dyDescent="0.35">
      <c r="A49" s="168">
        <v>43922</v>
      </c>
      <c r="B49" s="164">
        <f t="shared" si="174"/>
        <v>20163.1704918</v>
      </c>
      <c r="C49" s="249">
        <f t="shared" si="228"/>
        <v>6.709505483276601E-2</v>
      </c>
      <c r="D49" s="419" t="s">
        <v>246</v>
      </c>
      <c r="E49" s="420"/>
      <c r="F49" s="208">
        <f t="shared" si="191"/>
        <v>5.3676043866212809E-2</v>
      </c>
      <c r="G49" s="208">
        <f t="shared" ref="G49" si="233">C49*64%</f>
        <v>4.2940835092970246E-2</v>
      </c>
      <c r="I49" s="183"/>
      <c r="J49" s="168">
        <v>43922</v>
      </c>
      <c r="K49" s="229">
        <f>'2020'!G30</f>
        <v>5.3249000000000004</v>
      </c>
      <c r="L49" s="248">
        <f t="shared" ref="L49" si="234">K49/K48-1</f>
        <v>9.0448921538329952E-2</v>
      </c>
      <c r="M49" s="186">
        <v>4</v>
      </c>
      <c r="N49" s="183"/>
      <c r="O49" s="168">
        <v>43922</v>
      </c>
      <c r="P49" s="231">
        <f>'2020'!H28</f>
        <v>5048.25</v>
      </c>
      <c r="Q49" s="248">
        <f t="shared" ref="Q49" si="235">P49/P48-1</f>
        <v>-2.5186296969218147E-2</v>
      </c>
      <c r="R49" s="218">
        <f t="shared" si="193"/>
        <v>26881.426425000001</v>
      </c>
      <c r="S49" s="153">
        <f t="shared" ref="S49" si="236">R49/R48-1</f>
        <v>6.2984551170701897E-2</v>
      </c>
      <c r="U49" s="168">
        <v>43922</v>
      </c>
      <c r="V49" s="232">
        <v>1894.08</v>
      </c>
      <c r="W49" s="248">
        <f t="shared" si="212"/>
        <v>-6.0505559899454164E-3</v>
      </c>
      <c r="X49" s="258">
        <f t="shared" si="136"/>
        <v>10085.786592</v>
      </c>
      <c r="Y49" s="153">
        <f t="shared" ref="Y49" si="237">X49/X48-1</f>
        <v>8.385109928438661E-2</v>
      </c>
      <c r="Z49" s="226"/>
      <c r="AA49" s="168">
        <v>43922</v>
      </c>
      <c r="AB49" s="233">
        <v>11753.2</v>
      </c>
      <c r="AC49" s="230">
        <f t="shared" ref="AC49" si="238">AB49/AB48-1</f>
        <v>-1.0090120441337391E-2</v>
      </c>
      <c r="AD49" s="258">
        <f t="shared" si="59"/>
        <v>62584.614680000006</v>
      </c>
      <c r="AE49" s="209">
        <f t="shared" ref="AE49" si="239">AD49/AD48-1</f>
        <v>7.9446160584881742E-2</v>
      </c>
      <c r="AG49" s="168">
        <v>43922</v>
      </c>
      <c r="AH49" s="234">
        <v>1651.53</v>
      </c>
      <c r="AI49" s="235">
        <f t="shared" ref="AI49" si="240">AH49/AH48-1</f>
        <v>-5.3369176449009625E-2</v>
      </c>
      <c r="AJ49" s="199">
        <f t="shared" si="52"/>
        <v>8794.2320970000001</v>
      </c>
      <c r="AK49" s="235">
        <f t="shared" ref="AK49" si="241">AJ49/AJ48-1</f>
        <v>3.2252560636118588E-2</v>
      </c>
      <c r="AL49" s="198"/>
      <c r="AM49" s="168">
        <v>43922</v>
      </c>
      <c r="AN49" s="198">
        <v>2073.15</v>
      </c>
      <c r="AO49" s="235">
        <f t="shared" ref="AO49" si="242">AN49/AN48-1</f>
        <v>-1.6956626883081638E-2</v>
      </c>
      <c r="AP49" s="199">
        <f t="shared" si="53"/>
        <v>11039.316435000001</v>
      </c>
      <c r="AQ49" s="235">
        <f t="shared" ref="AQ49" si="243">AP49/AP48-1</f>
        <v>7.1958586040745676E-2</v>
      </c>
      <c r="AR49" s="200"/>
      <c r="AS49" s="168">
        <v>43922</v>
      </c>
      <c r="AT49" s="200">
        <v>17.7</v>
      </c>
      <c r="AU49" s="128">
        <f t="shared" si="188"/>
        <v>4.1176470588235148E-2</v>
      </c>
      <c r="AV49" s="235">
        <f t="shared" si="123"/>
        <v>0.65844720143045754</v>
      </c>
      <c r="AW49" s="200"/>
      <c r="AX49" s="168">
        <v>43891</v>
      </c>
      <c r="AY49" s="200"/>
      <c r="AZ49" s="128" t="e">
        <f t="shared" si="199"/>
        <v>#DIV/0!</v>
      </c>
      <c r="BA49" s="235">
        <f>AY49/(R49/1000)</f>
        <v>0</v>
      </c>
      <c r="BB49" s="229"/>
      <c r="BC49" s="168">
        <v>43922</v>
      </c>
      <c r="BD49" s="229">
        <v>5.7879649999999998</v>
      </c>
      <c r="BE49" s="235">
        <f t="shared" ref="BE49:BE52" si="244">IFERROR(BD49/BD48-1,"")</f>
        <v>7.3560536952133937E-2</v>
      </c>
      <c r="BG49" s="168">
        <v>43922</v>
      </c>
      <c r="BH49" s="127"/>
      <c r="BI49" s="127"/>
      <c r="BK49" s="168">
        <v>43922</v>
      </c>
      <c r="BL49" s="127"/>
      <c r="BM49" s="127"/>
      <c r="BO49" s="168">
        <v>43922</v>
      </c>
      <c r="BP49" s="127"/>
      <c r="BQ49" s="127"/>
      <c r="BS49" s="168">
        <v>43922</v>
      </c>
      <c r="BT49" s="282">
        <v>6.7500000000000004E-2</v>
      </c>
      <c r="BU49" s="282">
        <v>0.1003</v>
      </c>
    </row>
    <row r="50" spans="1:73" hidden="1" x14ac:dyDescent="0.35">
      <c r="A50" s="168">
        <v>43952</v>
      </c>
      <c r="B50" s="164">
        <f t="shared" si="174"/>
        <v>22140.106155789475</v>
      </c>
      <c r="C50" s="249">
        <f t="shared" si="228"/>
        <v>9.804686543683494E-2</v>
      </c>
      <c r="D50" s="419" t="s">
        <v>247</v>
      </c>
      <c r="E50" s="420"/>
      <c r="F50" s="208">
        <f t="shared" ref="F50" si="245">C50*80%</f>
        <v>7.8437492349467952E-2</v>
      </c>
      <c r="G50" s="208">
        <f t="shared" ref="G50" si="246">C50*64%</f>
        <v>6.2749993879574362E-2</v>
      </c>
      <c r="I50" s="183"/>
      <c r="J50" s="168">
        <v>43952</v>
      </c>
      <c r="K50" s="229">
        <f>'2020'!I30</f>
        <v>5.64</v>
      </c>
      <c r="L50" s="248">
        <f t="shared" ref="L50" si="247">K50/K49-1</f>
        <v>5.9174820184416443E-2</v>
      </c>
      <c r="M50" s="186">
        <v>4</v>
      </c>
      <c r="N50" s="183"/>
      <c r="O50" s="168">
        <v>43952</v>
      </c>
      <c r="P50" s="231">
        <f>'2020'!J28</f>
        <v>5233.6578947368425</v>
      </c>
      <c r="Q50" s="248">
        <f t="shared" ref="Q50" si="248">P50/P49-1</f>
        <v>3.6727161835654387E-2</v>
      </c>
      <c r="R50" s="218">
        <f t="shared" ref="R50:R55" si="249">P50*K50</f>
        <v>29517.830526315789</v>
      </c>
      <c r="S50" s="153">
        <f t="shared" ref="S50:S55" si="250">R50/R49-1</f>
        <v>9.8075305217579789E-2</v>
      </c>
      <c r="U50" s="168">
        <v>43952</v>
      </c>
      <c r="V50" s="232">
        <v>1963.39</v>
      </c>
      <c r="W50" s="248">
        <f t="shared" si="212"/>
        <v>3.6592963338401896E-2</v>
      </c>
      <c r="X50" s="258">
        <f t="shared" si="136"/>
        <v>11073.5196</v>
      </c>
      <c r="Y50" s="153">
        <f t="shared" ref="Y50" si="251">X50/X49-1</f>
        <v>9.793316554838305E-2</v>
      </c>
      <c r="Z50" s="226"/>
      <c r="AA50" s="168">
        <v>43952</v>
      </c>
      <c r="AB50" s="233">
        <v>12136.17</v>
      </c>
      <c r="AC50" s="230">
        <f t="shared" ref="AC50" si="252">AB50/AB49-1</f>
        <v>3.2584317462478252E-2</v>
      </c>
      <c r="AD50" s="258">
        <f t="shared" si="59"/>
        <v>68447.998800000001</v>
      </c>
      <c r="AE50" s="209">
        <f t="shared" ref="AE50" si="253">AD50/AD49-1</f>
        <v>9.3687308773569011E-2</v>
      </c>
      <c r="AG50" s="168">
        <v>43952</v>
      </c>
      <c r="AH50" s="234">
        <v>1618.31</v>
      </c>
      <c r="AI50" s="235">
        <f t="shared" ref="AI50" si="254">AH50/AH49-1</f>
        <v>-2.0114681537725665E-2</v>
      </c>
      <c r="AJ50" s="199">
        <f t="shared" si="52"/>
        <v>9127.268399999999</v>
      </c>
      <c r="AK50" s="235">
        <f t="shared" ref="AK50" si="255">AJ50/AJ49-1</f>
        <v>3.7869855983629241E-2</v>
      </c>
      <c r="AL50" s="198"/>
      <c r="AM50" s="168">
        <v>43952</v>
      </c>
      <c r="AN50" s="198">
        <v>1902</v>
      </c>
      <c r="AO50" s="235">
        <f t="shared" ref="AO50" si="256">AN50/AN49-1</f>
        <v>-8.2555531437667362E-2</v>
      </c>
      <c r="AP50" s="199">
        <f t="shared" si="53"/>
        <v>10727.279999999999</v>
      </c>
      <c r="AQ50" s="235">
        <f t="shared" ref="AQ50" si="257">AP50/AP49-1</f>
        <v>-2.8265919981303789E-2</v>
      </c>
      <c r="AR50" s="200"/>
      <c r="AS50" s="168">
        <v>43952</v>
      </c>
      <c r="AT50" s="200">
        <f>R50*0.58*(1+3%)/1000</f>
        <v>17.633951956421051</v>
      </c>
      <c r="AU50" s="128">
        <f t="shared" si="188"/>
        <v>-3.7315278858163214E-3</v>
      </c>
      <c r="AV50" s="235">
        <f t="shared" si="123"/>
        <v>0.59739999999999993</v>
      </c>
      <c r="AW50" s="200"/>
      <c r="AX50" s="168">
        <v>43891</v>
      </c>
      <c r="AY50" s="200">
        <f>0.66*R50/1000</f>
        <v>19.48176814736842</v>
      </c>
      <c r="AZ50" s="128" t="e">
        <f t="shared" si="199"/>
        <v>#DIV/0!</v>
      </c>
      <c r="BA50" s="235">
        <v>0</v>
      </c>
      <c r="BB50" s="229"/>
      <c r="BC50" s="168">
        <v>43952</v>
      </c>
      <c r="BD50" s="229">
        <v>6.1521499999999998</v>
      </c>
      <c r="BE50" s="235">
        <f t="shared" si="244"/>
        <v>6.2921078479223791E-2</v>
      </c>
      <c r="BF50" s="237"/>
      <c r="BG50" s="168">
        <v>43952</v>
      </c>
      <c r="BH50" s="127"/>
      <c r="BI50" s="127"/>
      <c r="BK50" s="168">
        <v>43952</v>
      </c>
      <c r="BL50" s="127"/>
      <c r="BM50" s="127"/>
      <c r="BO50" s="168">
        <v>43952</v>
      </c>
      <c r="BP50" s="127"/>
      <c r="BQ50" s="127"/>
      <c r="BS50" s="168">
        <v>43952</v>
      </c>
      <c r="BT50" s="282">
        <v>7.6799999999999993E-2</v>
      </c>
      <c r="BU50" s="282">
        <v>0.10730000000000001</v>
      </c>
    </row>
    <row r="51" spans="1:73" hidden="1" x14ac:dyDescent="0.35">
      <c r="A51" s="168">
        <v>43983</v>
      </c>
      <c r="B51" s="164">
        <f t="shared" si="174"/>
        <v>22102.079295673593</v>
      </c>
      <c r="C51" s="249">
        <f t="shared" si="228"/>
        <v>-1.7175554556200234E-3</v>
      </c>
      <c r="D51" s="419" t="s">
        <v>254</v>
      </c>
      <c r="E51" s="420"/>
      <c r="F51" s="208">
        <f t="shared" ref="F51:F56" si="258">C51*80%</f>
        <v>-1.3740443644960189E-3</v>
      </c>
      <c r="G51" s="208">
        <f t="shared" ref="G51" si="259">C51*64%</f>
        <v>-1.099235491596815E-3</v>
      </c>
      <c r="I51" s="183"/>
      <c r="J51" s="168">
        <v>43984</v>
      </c>
      <c r="K51" s="229">
        <f>'2020'!K30</f>
        <v>5.1959952380952377</v>
      </c>
      <c r="L51" s="248">
        <f t="shared" ref="L51:L56" si="260">K51/K50-1</f>
        <v>-7.8724248564674082E-2</v>
      </c>
      <c r="M51" s="186">
        <v>5</v>
      </c>
      <c r="N51" s="183"/>
      <c r="O51" s="168">
        <v>43984</v>
      </c>
      <c r="P51" s="231">
        <f>'2020'!L28</f>
        <v>5742.386363636364</v>
      </c>
      <c r="Q51" s="248">
        <f t="shared" ref="Q51:Q56" si="261">P51/P50-1</f>
        <v>9.7203233213068341E-2</v>
      </c>
      <c r="R51" s="218">
        <f t="shared" si="249"/>
        <v>29837.412200757575</v>
      </c>
      <c r="S51" s="153">
        <f t="shared" si="250"/>
        <v>1.0826733155638646E-2</v>
      </c>
      <c r="U51" s="168">
        <v>43984</v>
      </c>
      <c r="V51" s="232">
        <v>2020.61</v>
      </c>
      <c r="W51" s="248">
        <f t="shared" si="212"/>
        <v>2.9143471241067642E-2</v>
      </c>
      <c r="X51" s="258">
        <f t="shared" si="136"/>
        <v>10499.079938047618</v>
      </c>
      <c r="Y51" s="153">
        <f t="shared" ref="Y51:Y56" si="262">X51/X50-1</f>
        <v>-5.1875075197625686E-2</v>
      </c>
      <c r="Z51" s="226"/>
      <c r="AA51" s="168">
        <v>43984</v>
      </c>
      <c r="AB51" s="233">
        <v>12703.27</v>
      </c>
      <c r="AC51" s="230">
        <f t="shared" ref="AC51:AC56" si="263">AB51/AB50-1</f>
        <v>4.6728086373213351E-2</v>
      </c>
      <c r="AD51" s="258">
        <f t="shared" si="59"/>
        <v>66006.130428238088</v>
      </c>
      <c r="AE51" s="209">
        <f t="shared" ref="AE51:AE56" si="264">AD51/AD50-1</f>
        <v>-3.5674795678057314E-2</v>
      </c>
      <c r="AG51" s="168">
        <v>43984</v>
      </c>
      <c r="AH51" s="234">
        <v>1739.86</v>
      </c>
      <c r="AI51" s="235">
        <f t="shared" ref="AI51:AI56" si="265">AH51/AH50-1</f>
        <v>7.5109218876482142E-2</v>
      </c>
      <c r="AJ51" s="199">
        <f t="shared" si="52"/>
        <v>9040.3042749523793</v>
      </c>
      <c r="AK51" s="235">
        <f t="shared" ref="AK51:AK56" si="266">AJ51/AJ50-1</f>
        <v>-9.5279465045225997E-3</v>
      </c>
      <c r="AL51" s="198"/>
      <c r="AM51" s="168">
        <v>43984</v>
      </c>
      <c r="AN51" s="198">
        <v>1920.55</v>
      </c>
      <c r="AO51" s="235">
        <f t="shared" ref="AO51:AO56" si="267">AN51/AN50-1</f>
        <v>9.7528916929547904E-3</v>
      </c>
      <c r="AP51" s="199">
        <f t="shared" si="53"/>
        <v>9979.1686545238081</v>
      </c>
      <c r="AQ51" s="235">
        <f t="shared" ref="AQ51:AQ56" si="268">AP51/AP50-1</f>
        <v>-6.9739145941579817E-2</v>
      </c>
      <c r="AR51" s="200"/>
      <c r="AS51" s="168">
        <v>43984</v>
      </c>
      <c r="AT51" s="200">
        <f>R51*0.58*(1+3%)/1000</f>
        <v>17.824870048732574</v>
      </c>
      <c r="AU51" s="128">
        <f>AT51/AT50-1</f>
        <v>1.0826733155638646E-2</v>
      </c>
      <c r="AV51" s="235">
        <f t="shared" si="123"/>
        <v>0.59739999999999993</v>
      </c>
      <c r="AW51" s="200"/>
      <c r="AX51" s="168">
        <v>43984</v>
      </c>
      <c r="AY51" s="200"/>
      <c r="AZ51" s="128">
        <f>AY51/AY50-1</f>
        <v>-1</v>
      </c>
      <c r="BA51" s="235"/>
      <c r="BB51" s="229"/>
      <c r="BC51" s="168">
        <v>43984</v>
      </c>
      <c r="BD51" s="229">
        <v>5.8476857142857126</v>
      </c>
      <c r="BE51" s="235">
        <f t="shared" si="244"/>
        <v>-4.948908685813691E-2</v>
      </c>
      <c r="BF51" s="237"/>
      <c r="BG51" s="168">
        <v>43983</v>
      </c>
      <c r="BH51" s="127"/>
      <c r="BI51" s="127"/>
      <c r="BK51" s="168">
        <v>43983</v>
      </c>
      <c r="BL51" s="127"/>
      <c r="BM51" s="127"/>
      <c r="BO51" s="168">
        <v>43983</v>
      </c>
      <c r="BP51" s="127"/>
      <c r="BQ51" s="127"/>
      <c r="BS51" s="168">
        <v>43984</v>
      </c>
      <c r="BT51" s="282">
        <v>7.4800000000000005E-2</v>
      </c>
      <c r="BU51" s="282">
        <v>6.7199999999999996E-2</v>
      </c>
    </row>
    <row r="52" spans="1:73" hidden="1" x14ac:dyDescent="0.35">
      <c r="A52" s="168">
        <v>44013</v>
      </c>
      <c r="B52" s="164">
        <f t="shared" si="174"/>
        <v>24693.474118328159</v>
      </c>
      <c r="C52" s="249">
        <f t="shared" si="228"/>
        <v>0.11724665304055004</v>
      </c>
      <c r="D52" s="416" t="s">
        <v>262</v>
      </c>
      <c r="E52" s="416"/>
      <c r="F52" s="208">
        <f t="shared" si="258"/>
        <v>9.3797322432440045E-2</v>
      </c>
      <c r="G52" s="208">
        <f t="shared" ref="G52" si="269">C52*64%</f>
        <v>7.5037857945952025E-2</v>
      </c>
      <c r="I52" s="183"/>
      <c r="J52" s="168">
        <v>44013</v>
      </c>
      <c r="K52" s="229">
        <f>'2020'!A68</f>
        <v>5.2795956521739118</v>
      </c>
      <c r="L52" s="248">
        <f t="shared" si="260"/>
        <v>1.6089393898159221E-2</v>
      </c>
      <c r="M52" s="186">
        <v>6</v>
      </c>
      <c r="N52" s="183"/>
      <c r="O52" s="168">
        <v>44013</v>
      </c>
      <c r="P52" s="231">
        <f>'2020'!B65</f>
        <v>6353.760869565217</v>
      </c>
      <c r="Q52" s="248">
        <f t="shared" si="261"/>
        <v>0.10646697508902903</v>
      </c>
      <c r="R52" s="218">
        <f t="shared" si="249"/>
        <v>33545.288261909256</v>
      </c>
      <c r="S52" s="153">
        <f t="shared" si="250"/>
        <v>0.12426935808654127</v>
      </c>
      <c r="U52" s="168">
        <v>44013</v>
      </c>
      <c r="V52" s="232">
        <v>2162.2399999999998</v>
      </c>
      <c r="W52" s="248">
        <f t="shared" si="212"/>
        <v>7.0092694780289122E-2</v>
      </c>
      <c r="X52" s="258">
        <f t="shared" si="136"/>
        <v>11415.752902956518</v>
      </c>
      <c r="Y52" s="153">
        <f t="shared" si="262"/>
        <v>8.7309837654151679E-2</v>
      </c>
      <c r="Z52" s="226"/>
      <c r="AA52" s="168">
        <v>44013</v>
      </c>
      <c r="AB52" s="233">
        <v>13341.35</v>
      </c>
      <c r="AC52" s="230">
        <f t="shared" si="263"/>
        <v>5.0229586555272876E-2</v>
      </c>
      <c r="AD52" s="258">
        <f t="shared" si="59"/>
        <v>70436.933454130427</v>
      </c>
      <c r="AE52" s="209">
        <f t="shared" si="264"/>
        <v>6.7127144056861709E-2</v>
      </c>
      <c r="AG52" s="168">
        <v>44013</v>
      </c>
      <c r="AH52" s="234">
        <v>1812.15</v>
      </c>
      <c r="AI52" s="235">
        <f t="shared" si="265"/>
        <v>4.1549320060234818E-2</v>
      </c>
      <c r="AJ52" s="199">
        <f t="shared" si="52"/>
        <v>9567.4192610869541</v>
      </c>
      <c r="AK52" s="235">
        <f t="shared" si="266"/>
        <v>5.8307217335043848E-2</v>
      </c>
      <c r="AL52" s="198"/>
      <c r="AM52" s="168">
        <v>44013</v>
      </c>
      <c r="AN52" s="198">
        <v>2040.39</v>
      </c>
      <c r="AO52" s="235">
        <f t="shared" si="267"/>
        <v>6.2398792012704707E-2</v>
      </c>
      <c r="AP52" s="199">
        <f t="shared" si="53"/>
        <v>10772.434172739129</v>
      </c>
      <c r="AQ52" s="235">
        <f t="shared" si="268"/>
        <v>7.9492144654325969E-2</v>
      </c>
      <c r="AR52" s="200"/>
      <c r="AS52" s="168">
        <v>44013</v>
      </c>
      <c r="AT52" s="200">
        <f>R52*0.58*(1+3%)/1000</f>
        <v>20.03995520766459</v>
      </c>
      <c r="AU52" s="128">
        <f>AT52/AT51-1</f>
        <v>0.12426935808654149</v>
      </c>
      <c r="AV52" s="235">
        <f t="shared" si="123"/>
        <v>0.59740000000000004</v>
      </c>
      <c r="AW52" s="200"/>
      <c r="AX52" s="168">
        <v>44013</v>
      </c>
      <c r="AY52" s="200"/>
      <c r="AZ52" s="128" t="e">
        <f>AY52/AY51-1</f>
        <v>#DIV/0!</v>
      </c>
      <c r="BA52" s="235"/>
      <c r="BB52" s="229"/>
      <c r="BC52" s="168">
        <v>44013</v>
      </c>
      <c r="BD52" s="229">
        <v>6.059634782608696</v>
      </c>
      <c r="BE52" s="235">
        <f t="shared" si="244"/>
        <v>3.6244948630737461E-2</v>
      </c>
      <c r="BF52" s="237"/>
      <c r="BG52" s="168">
        <v>44013</v>
      </c>
      <c r="BH52" s="127"/>
      <c r="BI52" s="127"/>
      <c r="BK52" s="168">
        <v>44013</v>
      </c>
      <c r="BL52" s="127"/>
      <c r="BM52" s="127"/>
      <c r="BO52" s="168">
        <v>44013</v>
      </c>
      <c r="BP52" s="127"/>
      <c r="BQ52" s="127"/>
      <c r="BS52" s="168">
        <v>44013</v>
      </c>
      <c r="BT52" s="282">
        <v>-4.6199999999999998E-2</v>
      </c>
      <c r="BU52" s="282">
        <v>-4.7800000000000002E-2</v>
      </c>
    </row>
    <row r="53" spans="1:73" hidden="1" x14ac:dyDescent="0.35">
      <c r="A53" s="168">
        <v>44044</v>
      </c>
      <c r="B53" s="164">
        <f t="shared" si="174"/>
        <v>26542.784396266663</v>
      </c>
      <c r="C53" s="249">
        <f t="shared" ref="C53:C57" si="270">(B53/B52-1)</f>
        <v>7.4890647993750559E-2</v>
      </c>
      <c r="D53" s="416" t="s">
        <v>261</v>
      </c>
      <c r="E53" s="416"/>
      <c r="F53" s="208">
        <f t="shared" si="258"/>
        <v>5.9912518395000447E-2</v>
      </c>
      <c r="G53" s="208">
        <f t="shared" ref="G53:G57" si="271">C53*64%</f>
        <v>4.7930014716000356E-2</v>
      </c>
      <c r="I53" s="183"/>
      <c r="J53" s="168">
        <v>44044</v>
      </c>
      <c r="K53" s="229">
        <f>'2020'!C68</f>
        <v>5.460633333333333</v>
      </c>
      <c r="L53" s="248">
        <f t="shared" si="260"/>
        <v>3.4290065581987772E-2</v>
      </c>
      <c r="M53" s="186">
        <v>7</v>
      </c>
      <c r="N53" s="183"/>
      <c r="O53" s="168">
        <v>44044</v>
      </c>
      <c r="P53" s="231">
        <f>'2020'!D65</f>
        <v>6496.7</v>
      </c>
      <c r="Q53" s="248">
        <f t="shared" si="261"/>
        <v>2.2496775275170799E-2</v>
      </c>
      <c r="R53" s="218">
        <f t="shared" si="249"/>
        <v>35476.096576666663</v>
      </c>
      <c r="S53" s="153">
        <f t="shared" si="250"/>
        <v>5.7558256756727433E-2</v>
      </c>
      <c r="T53" s="106"/>
      <c r="U53" s="168">
        <v>44044</v>
      </c>
      <c r="V53" s="232">
        <v>2406.83</v>
      </c>
      <c r="W53" s="248">
        <f t="shared" ref="W53:W59" si="272">V53/V52-1</f>
        <v>0.11311880272310204</v>
      </c>
      <c r="X53" s="258">
        <f t="shared" si="136"/>
        <v>13142.816125666666</v>
      </c>
      <c r="Y53" s="153">
        <f t="shared" si="262"/>
        <v>0.15128771946902098</v>
      </c>
      <c r="Z53" s="226"/>
      <c r="AA53" s="168">
        <v>44044</v>
      </c>
      <c r="AB53" s="233">
        <v>14486.85</v>
      </c>
      <c r="AC53" s="230">
        <f t="shared" si="263"/>
        <v>8.5860876148215803E-2</v>
      </c>
      <c r="AD53" s="258">
        <f t="shared" si="59"/>
        <v>79107.376004999998</v>
      </c>
      <c r="AE53" s="209">
        <f t="shared" si="264"/>
        <v>0.12309511680425289</v>
      </c>
      <c r="AF53" s="259"/>
      <c r="AG53" s="168">
        <v>44044</v>
      </c>
      <c r="AH53" s="234">
        <v>1935.2</v>
      </c>
      <c r="AI53" s="235">
        <f t="shared" si="265"/>
        <v>6.7902767430952249E-2</v>
      </c>
      <c r="AJ53" s="199">
        <f t="shared" ref="AJ53:AJ84" si="273">AH53*K53</f>
        <v>10567.417626666665</v>
      </c>
      <c r="AK53" s="235">
        <f t="shared" si="266"/>
        <v>0.10452122336134573</v>
      </c>
      <c r="AL53" s="198"/>
      <c r="AM53" s="168">
        <v>44044</v>
      </c>
      <c r="AN53" s="198">
        <v>2169.75</v>
      </c>
      <c r="AO53" s="235">
        <f t="shared" si="267"/>
        <v>6.3399644185670345E-2</v>
      </c>
      <c r="AP53" s="199">
        <f t="shared" ref="AP53:AP84" si="274">AN53*K53</f>
        <v>11848.209175</v>
      </c>
      <c r="AQ53" s="235">
        <f t="shared" si="268"/>
        <v>9.9863687724659478E-2</v>
      </c>
      <c r="AR53" s="200"/>
      <c r="AS53" s="168">
        <v>44044</v>
      </c>
      <c r="AT53" s="200">
        <f>R53*0.75*(1+3%)/1000</f>
        <v>27.405284605474996</v>
      </c>
      <c r="AU53" s="128">
        <f>AT53/AT52-1</f>
        <v>0.36753222856473355</v>
      </c>
      <c r="AV53" s="235">
        <f t="shared" si="123"/>
        <v>0.77249999999999996</v>
      </c>
      <c r="AW53" s="200"/>
      <c r="AX53" s="168">
        <v>44044</v>
      </c>
      <c r="AY53" s="200"/>
      <c r="AZ53" s="128" t="e">
        <f>AY53/AY52-1</f>
        <v>#DIV/0!</v>
      </c>
      <c r="BA53" s="235"/>
      <c r="BB53" s="229"/>
      <c r="BC53" s="168">
        <v>44044</v>
      </c>
      <c r="BD53" s="229">
        <v>6.4620809523809521</v>
      </c>
      <c r="BE53" s="235">
        <f>IFERROR(BD53/BD52-1,"")</f>
        <v>6.6414261619740955E-2</v>
      </c>
      <c r="BF53" s="237"/>
      <c r="BG53" s="168">
        <v>44044</v>
      </c>
      <c r="BH53" s="127"/>
      <c r="BI53" s="127"/>
      <c r="BK53" s="168">
        <v>44044</v>
      </c>
      <c r="BL53" s="127"/>
      <c r="BM53" s="127"/>
      <c r="BO53" s="168">
        <v>44044</v>
      </c>
      <c r="BP53" s="127"/>
      <c r="BQ53" s="127"/>
      <c r="BS53" s="168">
        <v>44044</v>
      </c>
      <c r="BT53" s="282">
        <v>-3.3999999999999998E-3</v>
      </c>
      <c r="BU53" s="282">
        <v>2.6100000000000002E-2</v>
      </c>
    </row>
    <row r="54" spans="1:73" hidden="1" x14ac:dyDescent="0.35">
      <c r="A54" s="168">
        <v>44075</v>
      </c>
      <c r="B54" s="164">
        <f t="shared" si="174"/>
        <v>27035.16631309524</v>
      </c>
      <c r="C54" s="249">
        <f t="shared" si="270"/>
        <v>1.8550499807316045E-2</v>
      </c>
      <c r="D54" s="416" t="s">
        <v>260</v>
      </c>
      <c r="E54" s="416"/>
      <c r="F54" s="208">
        <f t="shared" si="258"/>
        <v>1.4840399845852836E-2</v>
      </c>
      <c r="G54" s="208">
        <f t="shared" si="271"/>
        <v>1.1872319876682269E-2</v>
      </c>
      <c r="I54" s="183"/>
      <c r="J54" s="168">
        <v>44075</v>
      </c>
      <c r="K54" s="229">
        <v>5.3988809523809529</v>
      </c>
      <c r="L54" s="248">
        <f t="shared" si="260"/>
        <v>-1.130864813343635E-2</v>
      </c>
      <c r="M54" s="186">
        <v>7</v>
      </c>
      <c r="N54" s="183"/>
      <c r="O54" s="168">
        <v>44075</v>
      </c>
      <c r="P54" s="231">
        <f>'2020'!F65</f>
        <v>6712.25</v>
      </c>
      <c r="Q54" s="248">
        <f t="shared" si="261"/>
        <v>3.3178382871303924E-2</v>
      </c>
      <c r="R54" s="218">
        <f t="shared" si="249"/>
        <v>36238.638672619054</v>
      </c>
      <c r="S54" s="153">
        <f t="shared" si="250"/>
        <v>2.149453208033969E-2</v>
      </c>
      <c r="T54" s="106"/>
      <c r="U54" s="168">
        <v>44075</v>
      </c>
      <c r="V54" s="232">
        <v>2450.5</v>
      </c>
      <c r="W54" s="248">
        <f t="shared" si="272"/>
        <v>1.8144197969943932E-2</v>
      </c>
      <c r="X54" s="258">
        <f t="shared" si="136"/>
        <v>13229.957773809525</v>
      </c>
      <c r="Y54" s="153">
        <f t="shared" si="262"/>
        <v>6.6303634860020999E-3</v>
      </c>
      <c r="Z54" s="226"/>
      <c r="AA54" s="168">
        <v>44075</v>
      </c>
      <c r="AB54" s="233">
        <v>14866.27</v>
      </c>
      <c r="AC54" s="230">
        <f t="shared" si="263"/>
        <v>2.6190648760772595E-2</v>
      </c>
      <c r="AD54" s="258">
        <f t="shared" ref="AD54:AD85" si="275">AB54*K54</f>
        <v>80261.221935952388</v>
      </c>
      <c r="AE54" s="209">
        <f t="shared" si="264"/>
        <v>1.4585819796114396E-2</v>
      </c>
      <c r="AF54" s="259"/>
      <c r="AG54" s="168">
        <v>44075</v>
      </c>
      <c r="AH54" s="234">
        <v>1881.36</v>
      </c>
      <c r="AI54" s="235">
        <f t="shared" si="265"/>
        <v>-2.7821413807358475E-2</v>
      </c>
      <c r="AJ54" s="199">
        <f t="shared" si="273"/>
        <v>10157.238668571428</v>
      </c>
      <c r="AK54" s="235">
        <f t="shared" si="266"/>
        <v>-3.8815439361472692E-2</v>
      </c>
      <c r="AL54" s="198"/>
      <c r="AM54" s="168">
        <v>44075</v>
      </c>
      <c r="AN54" s="198">
        <v>2299</v>
      </c>
      <c r="AO54" s="235">
        <f t="shared" si="267"/>
        <v>5.9569074778200282E-2</v>
      </c>
      <c r="AP54" s="199">
        <f t="shared" si="274"/>
        <v>12412.02730952381</v>
      </c>
      <c r="AQ54" s="235">
        <f t="shared" si="268"/>
        <v>4.7586780938462692E-2</v>
      </c>
      <c r="AR54" s="200"/>
      <c r="AS54" s="168">
        <v>44075</v>
      </c>
      <c r="AT54" s="200">
        <f>R54*0.75*(1+3%)/1000</f>
        <v>27.994348374598218</v>
      </c>
      <c r="AU54" s="128">
        <f>AT54/AT53-1</f>
        <v>2.149453208033969E-2</v>
      </c>
      <c r="AV54" s="235">
        <f t="shared" si="123"/>
        <v>0.77249999999999996</v>
      </c>
      <c r="AW54" s="200"/>
      <c r="AX54" s="168">
        <v>44075</v>
      </c>
      <c r="AY54" s="200">
        <f>0.88*R54/1000</f>
        <v>31.890002031904768</v>
      </c>
      <c r="AZ54" s="128" t="e">
        <f>AY54/AY53-1</f>
        <v>#DIV/0!</v>
      </c>
      <c r="BA54" s="235"/>
      <c r="BB54" s="229"/>
      <c r="BC54" s="168">
        <v>44075</v>
      </c>
      <c r="BD54" s="229">
        <v>6.3606619047619049</v>
      </c>
      <c r="BE54" s="235">
        <f>IFERROR(BD54/BD53-1,"")</f>
        <v>-1.5694487327906237E-2</v>
      </c>
      <c r="BF54" s="237"/>
      <c r="BG54" s="168">
        <v>44075</v>
      </c>
      <c r="BH54" s="127"/>
      <c r="BI54" s="127"/>
      <c r="BK54" s="168">
        <v>44075</v>
      </c>
      <c r="BL54" s="127"/>
      <c r="BM54" s="127"/>
      <c r="BO54" s="168">
        <v>44075</v>
      </c>
      <c r="BP54" s="127"/>
      <c r="BQ54" s="127"/>
      <c r="BS54" s="168">
        <v>44075</v>
      </c>
      <c r="BT54" s="282">
        <v>2.81E-2</v>
      </c>
      <c r="BU54" s="282">
        <v>1.1599999999999999E-2</v>
      </c>
    </row>
    <row r="55" spans="1:73" hidden="1" x14ac:dyDescent="0.35">
      <c r="A55" s="168">
        <v>44105</v>
      </c>
      <c r="B55" s="164">
        <f t="shared" si="174"/>
        <v>28117.796993662338</v>
      </c>
      <c r="C55" s="249">
        <f t="shared" si="270"/>
        <v>4.0045275402751823E-2</v>
      </c>
      <c r="D55" s="416" t="s">
        <v>259</v>
      </c>
      <c r="E55" s="416"/>
      <c r="F55" s="208">
        <f t="shared" si="258"/>
        <v>3.2036220322201457E-2</v>
      </c>
      <c r="G55" s="208">
        <f t="shared" si="271"/>
        <v>2.5628976257761168E-2</v>
      </c>
      <c r="I55" s="183"/>
      <c r="J55" s="168">
        <v>44105</v>
      </c>
      <c r="K55" s="229">
        <f>'2020'!G68</f>
        <v>5.6254904761904765</v>
      </c>
      <c r="L55" s="248">
        <f t="shared" si="260"/>
        <v>4.1973424827896455E-2</v>
      </c>
      <c r="M55" s="253"/>
      <c r="N55" s="183"/>
      <c r="O55" s="168">
        <v>44105</v>
      </c>
      <c r="P55" s="231">
        <f>'2020'!H65</f>
        <v>6702.772727272727</v>
      </c>
      <c r="Q55" s="248">
        <f t="shared" si="261"/>
        <v>-1.4119367912805991E-3</v>
      </c>
      <c r="R55" s="218">
        <f t="shared" si="249"/>
        <v>37706.384141341994</v>
      </c>
      <c r="S55" s="153">
        <f t="shared" si="250"/>
        <v>4.0502224213845306E-2</v>
      </c>
      <c r="T55" s="125"/>
      <c r="U55" s="168">
        <v>44105</v>
      </c>
      <c r="V55" s="232">
        <v>2441.5500000000002</v>
      </c>
      <c r="W55" s="248">
        <f t="shared" si="272"/>
        <v>-3.6523158539072398E-3</v>
      </c>
      <c r="X55" s="258">
        <f t="shared" si="136"/>
        <v>13734.916272142858</v>
      </c>
      <c r="Y55" s="153">
        <f t="shared" si="262"/>
        <v>3.8167808769047351E-2</v>
      </c>
      <c r="Z55" s="226"/>
      <c r="AA55" s="168">
        <v>44105</v>
      </c>
      <c r="AB55" s="233">
        <v>15219.36</v>
      </c>
      <c r="AC55" s="230">
        <f t="shared" si="263"/>
        <v>2.3751082147707603E-2</v>
      </c>
      <c r="AD55" s="258">
        <f t="shared" si="275"/>
        <v>85616.36473371429</v>
      </c>
      <c r="AE55" s="209">
        <f t="shared" si="264"/>
        <v>6.6721421236711986E-2</v>
      </c>
      <c r="AF55" s="259"/>
      <c r="AG55" s="168">
        <v>44105</v>
      </c>
      <c r="AH55" s="234">
        <v>1777.07</v>
      </c>
      <c r="AI55" s="235">
        <f t="shared" si="265"/>
        <v>-5.5433303567631875E-2</v>
      </c>
      <c r="AJ55" s="199">
        <f t="shared" si="273"/>
        <v>9996.8903605238102</v>
      </c>
      <c r="AK55" s="235">
        <f t="shared" si="266"/>
        <v>-1.5786604339993349E-2</v>
      </c>
      <c r="AL55" s="254"/>
      <c r="AM55" s="168">
        <v>44105</v>
      </c>
      <c r="AN55" s="198">
        <v>2363.75</v>
      </c>
      <c r="AO55" s="235">
        <f t="shared" si="267"/>
        <v>2.8164419312744604E-2</v>
      </c>
      <c r="AP55" s="199">
        <f t="shared" si="274"/>
        <v>13297.253113095239</v>
      </c>
      <c r="AQ55" s="235">
        <f t="shared" si="268"/>
        <v>7.1320001277485945E-2</v>
      </c>
      <c r="AR55" s="255"/>
      <c r="AS55" s="168">
        <v>44105</v>
      </c>
      <c r="AT55" s="200">
        <f>R55*0.75*(1+3%)/1000</f>
        <v>29.128181749186695</v>
      </c>
      <c r="AU55" s="128">
        <f t="shared" ref="AU55" si="276">AT55/AT54-1</f>
        <v>4.0502224213845528E-2</v>
      </c>
      <c r="AV55" s="235">
        <f t="shared" si="123"/>
        <v>0.77250000000000019</v>
      </c>
      <c r="AW55" s="255"/>
      <c r="AX55" s="252"/>
      <c r="AY55" s="255"/>
      <c r="AZ55" s="202"/>
      <c r="BA55" s="238"/>
      <c r="BB55" s="237"/>
      <c r="BC55" s="168">
        <v>44105</v>
      </c>
      <c r="BD55" s="229">
        <v>6.6206428571428573</v>
      </c>
      <c r="BE55" s="235">
        <f t="shared" ref="BE55:BE56" si="277">IFERROR(BD55/BD54-1,"")</f>
        <v>4.087325443069334E-2</v>
      </c>
      <c r="BF55" s="237"/>
      <c r="BG55" s="168">
        <v>44105</v>
      </c>
      <c r="BH55" s="127"/>
      <c r="BI55" s="127"/>
      <c r="BK55" s="168">
        <v>44105</v>
      </c>
      <c r="BL55" s="127"/>
      <c r="BM55" s="127"/>
      <c r="BO55" s="168">
        <v>44105</v>
      </c>
      <c r="BP55" s="127"/>
      <c r="BQ55" s="127"/>
      <c r="BS55" s="168">
        <v>44105</v>
      </c>
      <c r="BT55" s="282">
        <v>6.13E-2</v>
      </c>
      <c r="BU55" s="282">
        <v>1.7000000000000001E-2</v>
      </c>
    </row>
    <row r="56" spans="1:73" hidden="1" x14ac:dyDescent="0.35">
      <c r="A56" s="168">
        <v>44136</v>
      </c>
      <c r="B56" s="164">
        <f t="shared" si="174"/>
        <v>28743.486729145719</v>
      </c>
      <c r="C56" s="249">
        <f t="shared" si="270"/>
        <v>2.2252445155088507E-2</v>
      </c>
      <c r="D56" s="416" t="s">
        <v>265</v>
      </c>
      <c r="E56" s="416"/>
      <c r="F56" s="208">
        <f t="shared" si="258"/>
        <v>1.7801956124070806E-2</v>
      </c>
      <c r="G56" s="208">
        <f t="shared" si="271"/>
        <v>1.4241564899256645E-2</v>
      </c>
      <c r="I56" s="183"/>
      <c r="J56" s="168">
        <v>44136</v>
      </c>
      <c r="K56" s="229">
        <v>5.4172350000000007</v>
      </c>
      <c r="L56" s="248">
        <f t="shared" si="260"/>
        <v>-3.7019967782703334E-2</v>
      </c>
      <c r="M56" s="253"/>
      <c r="N56" s="183"/>
      <c r="O56" s="168">
        <v>44136</v>
      </c>
      <c r="P56" s="231">
        <f>'2020'!J65</f>
        <v>7063.4285714285716</v>
      </c>
      <c r="Q56" s="248">
        <f t="shared" si="261"/>
        <v>5.3806963003292907E-2</v>
      </c>
      <c r="R56" s="218">
        <f t="shared" ref="R56" si="278">P56*K56</f>
        <v>38264.252477142865</v>
      </c>
      <c r="S56" s="153">
        <f t="shared" ref="S56:S61" si="279">R56/R55-1</f>
        <v>1.479506318372259E-2</v>
      </c>
      <c r="T56" s="106"/>
      <c r="U56" s="168">
        <v>44136</v>
      </c>
      <c r="V56" s="232">
        <v>2669.69</v>
      </c>
      <c r="W56" s="248">
        <f t="shared" si="272"/>
        <v>9.3440642214986269E-2</v>
      </c>
      <c r="X56" s="258">
        <f t="shared" si="136"/>
        <v>14462.338107150003</v>
      </c>
      <c r="Y56" s="153">
        <f t="shared" si="262"/>
        <v>5.2961504867889087E-2</v>
      </c>
      <c r="Z56" s="226"/>
      <c r="AA56" s="168">
        <v>44136</v>
      </c>
      <c r="AB56" s="233">
        <v>15796.05</v>
      </c>
      <c r="AC56" s="230">
        <f t="shared" si="263"/>
        <v>3.7891869303308345E-2</v>
      </c>
      <c r="AD56" s="258">
        <f t="shared" si="275"/>
        <v>85570.914921750009</v>
      </c>
      <c r="AE56" s="209">
        <f t="shared" si="264"/>
        <v>-5.308542602298072E-4</v>
      </c>
      <c r="AF56" s="259"/>
      <c r="AG56" s="168">
        <v>44136</v>
      </c>
      <c r="AH56" s="234">
        <v>1914.48</v>
      </c>
      <c r="AI56" s="235">
        <f t="shared" si="265"/>
        <v>7.7323909581502148E-2</v>
      </c>
      <c r="AJ56" s="199">
        <f t="shared" si="273"/>
        <v>10371.188062800002</v>
      </c>
      <c r="AK56" s="235">
        <f t="shared" si="266"/>
        <v>3.7441413157258907E-2</v>
      </c>
      <c r="AL56" s="254"/>
      <c r="AM56" s="168">
        <v>44136</v>
      </c>
      <c r="AN56" s="198">
        <v>2353.2399999999998</v>
      </c>
      <c r="AO56" s="235">
        <f t="shared" si="267"/>
        <v>-4.4463246959282055E-3</v>
      </c>
      <c r="AP56" s="199">
        <f t="shared" si="274"/>
        <v>12748.054091400001</v>
      </c>
      <c r="AQ56" s="235">
        <f t="shared" si="268"/>
        <v>-4.1301689681636722E-2</v>
      </c>
      <c r="AR56" s="255"/>
      <c r="AS56" s="168">
        <v>44136</v>
      </c>
      <c r="AT56" s="262">
        <v>29.817418742813572</v>
      </c>
      <c r="AU56" s="128">
        <f t="shared" ref="AU56:AU57" si="280">AT56/AT55-1</f>
        <v>2.3662204512512108E-2</v>
      </c>
      <c r="AV56" s="235">
        <f t="shared" si="123"/>
        <v>0.77924999999999978</v>
      </c>
      <c r="AW56" s="255"/>
      <c r="AX56" s="252"/>
      <c r="AY56" s="255"/>
      <c r="AZ56" s="202"/>
      <c r="BA56" s="238"/>
      <c r="BB56" s="237"/>
      <c r="BC56" s="168">
        <v>44136</v>
      </c>
      <c r="BD56" s="229">
        <v>6.4143149999999993</v>
      </c>
      <c r="BE56" s="235">
        <f t="shared" si="277"/>
        <v>-3.1164323706157293E-2</v>
      </c>
      <c r="BF56" s="237"/>
      <c r="BG56" s="168">
        <v>44136</v>
      </c>
      <c r="BH56" s="127"/>
      <c r="BI56" s="127"/>
      <c r="BK56" s="168">
        <v>44136</v>
      </c>
      <c r="BL56" s="127"/>
      <c r="BM56" s="127"/>
      <c r="BO56" s="168">
        <v>44136</v>
      </c>
      <c r="BP56" s="127"/>
      <c r="BQ56" s="127"/>
      <c r="BS56" s="168">
        <v>44136</v>
      </c>
      <c r="BT56" s="282">
        <v>8.3500000000000005E-2</v>
      </c>
      <c r="BU56" s="282">
        <v>6.3100000000000003E-2</v>
      </c>
    </row>
    <row r="57" spans="1:73" hidden="1" x14ac:dyDescent="0.35">
      <c r="A57" s="168">
        <v>44166</v>
      </c>
      <c r="B57" s="164">
        <f t="shared" si="174"/>
        <v>29666.20236617143</v>
      </c>
      <c r="C57" s="249">
        <f t="shared" si="270"/>
        <v>3.2101729540351176E-2</v>
      </c>
      <c r="D57" s="416" t="s">
        <v>266</v>
      </c>
      <c r="E57" s="416"/>
      <c r="F57" s="208">
        <f t="shared" ref="F57:F63" si="281">C57*80%</f>
        <v>2.5681383632280941E-2</v>
      </c>
      <c r="G57" s="208">
        <f t="shared" si="271"/>
        <v>2.0545106905824752E-2</v>
      </c>
      <c r="I57" s="183"/>
      <c r="J57" s="168">
        <v>44166</v>
      </c>
      <c r="K57" s="261">
        <f>'2020'!K68</f>
        <v>5.1449454545454545</v>
      </c>
      <c r="L57" s="248">
        <f t="shared" ref="L57:L61" si="282">K57/K56-1</f>
        <v>-5.0263565352905326E-2</v>
      </c>
      <c r="M57" s="253"/>
      <c r="N57" s="183"/>
      <c r="O57" s="168">
        <v>44166</v>
      </c>
      <c r="P57" s="231">
        <f>'2020'!L65</f>
        <v>7755.2380952380954</v>
      </c>
      <c r="Q57" s="248">
        <f t="shared" ref="Q57:Q62" si="283">P57/P56-1</f>
        <v>9.7942453415311492E-2</v>
      </c>
      <c r="R57" s="218">
        <f t="shared" ref="R57:R58" si="284">P57*K57</f>
        <v>39900.276987012985</v>
      </c>
      <c r="S57" s="153">
        <f t="shared" si="279"/>
        <v>4.2755951154341831E-2</v>
      </c>
      <c r="T57" s="106"/>
      <c r="U57" s="168">
        <v>44166</v>
      </c>
      <c r="V57" s="232">
        <v>2782.36</v>
      </c>
      <c r="W57" s="248">
        <f t="shared" si="272"/>
        <v>4.2203401893103676E-2</v>
      </c>
      <c r="X57" s="258">
        <f t="shared" si="136"/>
        <v>14315.090434909091</v>
      </c>
      <c r="Y57" s="153">
        <f t="shared" ref="Y57:Y62" si="285">X57/X56-1</f>
        <v>-1.0181456908970654E-2</v>
      </c>
      <c r="Z57" s="226"/>
      <c r="AA57" s="168">
        <v>44166</v>
      </c>
      <c r="AB57" s="233">
        <v>16807.05</v>
      </c>
      <c r="AC57" s="230">
        <f t="shared" ref="AC57:AC62" si="286">AB57/AB56-1</f>
        <v>6.4003342607803937E-2</v>
      </c>
      <c r="AD57" s="258">
        <f t="shared" si="275"/>
        <v>86471.35550181818</v>
      </c>
      <c r="AE57" s="209">
        <f t="shared" ref="AE57:AE62" si="287">AD57/AD56-1</f>
        <v>1.0522741060926766E-2</v>
      </c>
      <c r="AF57" s="259"/>
      <c r="AG57" s="168">
        <v>44166</v>
      </c>
      <c r="AH57" s="234">
        <v>1914.48</v>
      </c>
      <c r="AI57" s="235">
        <f t="shared" ref="AI57:AI62" si="288">AH57/AH56-1</f>
        <v>0</v>
      </c>
      <c r="AJ57" s="199">
        <f t="shared" si="273"/>
        <v>9849.8951738181822</v>
      </c>
      <c r="AK57" s="235">
        <f t="shared" ref="AK57:AK62" si="289">AJ57/AJ56-1</f>
        <v>-5.0263565352905326E-2</v>
      </c>
      <c r="AL57" s="254"/>
      <c r="AM57" s="168">
        <v>44166</v>
      </c>
      <c r="AN57" s="198">
        <v>2427</v>
      </c>
      <c r="AO57" s="235">
        <f t="shared" ref="AO57:AO60" si="290">AN57/AN56-1</f>
        <v>3.1344019309547777E-2</v>
      </c>
      <c r="AP57" s="199">
        <f t="shared" si="274"/>
        <v>12486.782618181818</v>
      </c>
      <c r="AQ57" s="235">
        <f t="shared" ref="AQ57:AQ61" si="291">AP57/AP56-1</f>
        <v>-2.0495008206345755E-2</v>
      </c>
      <c r="AR57" s="255"/>
      <c r="AS57" s="168">
        <v>44166</v>
      </c>
      <c r="AT57" s="200">
        <f>R57*AV57*(1+3%)/1000</f>
        <v>30.822963972467534</v>
      </c>
      <c r="AU57" s="128">
        <f t="shared" si="280"/>
        <v>3.3723416447519083E-2</v>
      </c>
      <c r="AV57" s="235">
        <v>0.75</v>
      </c>
      <c r="AW57" s="255"/>
      <c r="AX57" s="252"/>
      <c r="AY57" s="255"/>
      <c r="AZ57" s="202"/>
      <c r="BA57" s="238"/>
      <c r="BB57" s="237"/>
      <c r="BC57" s="168">
        <v>44166</v>
      </c>
      <c r="BD57" s="229">
        <v>6.2602954545454557</v>
      </c>
      <c r="BE57" s="235">
        <f t="shared" ref="BE57:BE59" si="292">IFERROR(BD57/BD56-1,"")</f>
        <v>-2.4011846230586387E-2</v>
      </c>
      <c r="BF57" s="237"/>
      <c r="BG57" s="168">
        <v>44166</v>
      </c>
      <c r="BH57" s="127"/>
      <c r="BI57" s="127"/>
      <c r="BK57" s="168">
        <v>44166</v>
      </c>
      <c r="BL57" s="127"/>
      <c r="BM57" s="127"/>
      <c r="BO57" s="168">
        <v>44166</v>
      </c>
      <c r="BP57" s="127"/>
      <c r="BQ57" s="127"/>
      <c r="BS57" s="168">
        <v>44166</v>
      </c>
      <c r="BT57" s="282">
        <v>1E-3</v>
      </c>
      <c r="BU57" s="282">
        <v>2.01E-2</v>
      </c>
    </row>
    <row r="58" spans="1:73" hidden="1" x14ac:dyDescent="0.35">
      <c r="A58" s="168">
        <v>44197</v>
      </c>
      <c r="B58" s="164">
        <f t="shared" si="174"/>
        <v>31412.629128000004</v>
      </c>
      <c r="C58" s="249">
        <f t="shared" ref="C58:C59" si="293">(B58/B57-1)</f>
        <v>5.886923915209441E-2</v>
      </c>
      <c r="D58" s="416" t="s">
        <v>267</v>
      </c>
      <c r="E58" s="416"/>
      <c r="F58" s="208">
        <f t="shared" si="281"/>
        <v>4.7095391321675534E-2</v>
      </c>
      <c r="G58" s="208">
        <f t="shared" ref="G58:G64" si="294">C58*64%</f>
        <v>3.767631305734042E-2</v>
      </c>
      <c r="I58" s="183"/>
      <c r="J58" s="168">
        <v>44197</v>
      </c>
      <c r="K58" s="261">
        <f>'2021'!A30</f>
        <v>5.3556000000000008</v>
      </c>
      <c r="L58" s="248">
        <f t="shared" si="282"/>
        <v>4.0943980323141727E-2</v>
      </c>
      <c r="M58" s="253"/>
      <c r="N58" s="183"/>
      <c r="O58" s="168">
        <v>44197</v>
      </c>
      <c r="P58" s="231">
        <f>'2021'!B28</f>
        <v>7970.5</v>
      </c>
      <c r="Q58" s="248">
        <f t="shared" si="283"/>
        <v>2.7756969175979362E-2</v>
      </c>
      <c r="R58" s="218">
        <f t="shared" si="284"/>
        <v>42686.80980000001</v>
      </c>
      <c r="S58" s="153">
        <f t="shared" si="279"/>
        <v>6.9837430298892444E-2</v>
      </c>
      <c r="T58" s="106"/>
      <c r="U58" s="168">
        <v>44197</v>
      </c>
      <c r="V58" s="232">
        <v>2707.7</v>
      </c>
      <c r="W58" s="248">
        <f t="shared" si="272"/>
        <v>-2.6833335729380958E-2</v>
      </c>
      <c r="X58" s="258">
        <f t="shared" si="136"/>
        <v>14501.358120000001</v>
      </c>
      <c r="Y58" s="153">
        <f t="shared" si="285"/>
        <v>1.3011981023652863E-2</v>
      </c>
      <c r="Z58" s="226"/>
      <c r="AA58" s="168">
        <v>44197</v>
      </c>
      <c r="AB58" s="233">
        <v>17847.599999999999</v>
      </c>
      <c r="AC58" s="230">
        <f t="shared" si="286"/>
        <v>6.1911519273162074E-2</v>
      </c>
      <c r="AD58" s="258">
        <f t="shared" si="275"/>
        <v>95584.60656</v>
      </c>
      <c r="AE58" s="209">
        <f t="shared" si="287"/>
        <v>0.10539040362319985</v>
      </c>
      <c r="AF58" s="259"/>
      <c r="AG58" s="168">
        <v>44197</v>
      </c>
      <c r="AH58" s="234">
        <v>2040.5</v>
      </c>
      <c r="AI58" s="235">
        <f t="shared" si="288"/>
        <v>6.5824662571559944E-2</v>
      </c>
      <c r="AJ58" s="199">
        <f t="shared" si="273"/>
        <v>10928.101800000002</v>
      </c>
      <c r="AK58" s="235">
        <f t="shared" si="289"/>
        <v>0.10946376658380896</v>
      </c>
      <c r="AL58" s="254"/>
      <c r="AM58" s="168">
        <v>44197</v>
      </c>
      <c r="AN58" s="198">
        <v>2378.1</v>
      </c>
      <c r="AO58" s="235">
        <f t="shared" si="290"/>
        <v>-2.0148331273176834E-2</v>
      </c>
      <c r="AP58" s="199">
        <f t="shared" si="274"/>
        <v>12736.152360000002</v>
      </c>
      <c r="AQ58" s="235">
        <f t="shared" si="291"/>
        <v>1.997069617077174E-2</v>
      </c>
      <c r="AR58" s="255"/>
      <c r="AS58" s="168">
        <v>44197</v>
      </c>
      <c r="AT58" s="200">
        <f>R58*AV58*(1+4.088%)/1000</f>
        <v>33.323884938468005</v>
      </c>
      <c r="AU58" s="128">
        <f t="shared" ref="AU58" si="295">AT58/AT57-1</f>
        <v>8.1138237329622331E-2</v>
      </c>
      <c r="AV58" s="235">
        <v>0.75</v>
      </c>
      <c r="AW58" s="255"/>
      <c r="AX58" s="252"/>
      <c r="AY58" s="255"/>
      <c r="AZ58" s="202"/>
      <c r="BA58" s="238"/>
      <c r="BB58" s="237"/>
      <c r="BC58" s="168">
        <v>44197</v>
      </c>
      <c r="BD58" s="229">
        <v>6.5151500000000011</v>
      </c>
      <c r="BE58" s="235">
        <f t="shared" si="292"/>
        <v>4.0709667347968548E-2</v>
      </c>
      <c r="BF58" s="237"/>
      <c r="BG58" s="168">
        <v>44197</v>
      </c>
      <c r="BH58" s="311"/>
      <c r="BI58" s="249"/>
      <c r="BK58" s="168">
        <v>44197</v>
      </c>
      <c r="BL58" s="311"/>
      <c r="BM58" s="249"/>
      <c r="BO58" s="168">
        <v>44197</v>
      </c>
      <c r="BP58" s="311"/>
      <c r="BQ58" s="249"/>
      <c r="BS58" s="168">
        <v>44197</v>
      </c>
      <c r="BT58" s="282">
        <v>-0.14030000000000001</v>
      </c>
      <c r="BU58" s="282">
        <v>-2.5399999999999999E-2</v>
      </c>
    </row>
    <row r="59" spans="1:73" hidden="1" x14ac:dyDescent="0.35">
      <c r="A59" s="168">
        <v>44228</v>
      </c>
      <c r="B59" s="164">
        <f t="shared" si="174"/>
        <v>33434.645240166661</v>
      </c>
      <c r="C59" s="249">
        <f t="shared" si="293"/>
        <v>6.4369528062339532E-2</v>
      </c>
      <c r="D59" s="416" t="s">
        <v>282</v>
      </c>
      <c r="E59" s="416"/>
      <c r="F59" s="208">
        <f t="shared" si="281"/>
        <v>5.1495622449871631E-2</v>
      </c>
      <c r="G59" s="208">
        <f t="shared" si="294"/>
        <v>4.1196497959897299E-2</v>
      </c>
      <c r="I59" s="183"/>
      <c r="J59" s="168">
        <v>44228</v>
      </c>
      <c r="K59" s="261">
        <f>'2021'!C30</f>
        <v>5.4158944444444437</v>
      </c>
      <c r="L59" s="248">
        <f t="shared" si="282"/>
        <v>1.125820532609656E-2</v>
      </c>
      <c r="M59" s="253"/>
      <c r="N59" s="183"/>
      <c r="O59" s="168">
        <v>44228</v>
      </c>
      <c r="P59" s="231">
        <f>'2021'!D28</f>
        <v>8460.25</v>
      </c>
      <c r="Q59" s="248">
        <f t="shared" si="283"/>
        <v>6.1445329653095682E-2</v>
      </c>
      <c r="R59" s="218">
        <f t="shared" ref="R59" si="296">P59*K59</f>
        <v>45819.820973611102</v>
      </c>
      <c r="S59" s="166">
        <f t="shared" si="279"/>
        <v>7.3395299116756574E-2</v>
      </c>
      <c r="T59" s="106"/>
      <c r="U59" s="168">
        <v>44228</v>
      </c>
      <c r="V59" s="232">
        <v>2743.2</v>
      </c>
      <c r="W59" s="248">
        <f t="shared" si="272"/>
        <v>1.311075820807317E-2</v>
      </c>
      <c r="X59" s="268">
        <f t="shared" si="136"/>
        <v>14856.881639999998</v>
      </c>
      <c r="Y59" s="166">
        <f t="shared" si="285"/>
        <v>2.4516567142057299E-2</v>
      </c>
      <c r="Z59" s="226"/>
      <c r="AA59" s="168">
        <v>44228</v>
      </c>
      <c r="AB59" s="233">
        <v>18568.05</v>
      </c>
      <c r="AC59" s="230">
        <f t="shared" si="286"/>
        <v>4.0366772002958351E-2</v>
      </c>
      <c r="AD59" s="258">
        <f t="shared" si="275"/>
        <v>100562.59883916665</v>
      </c>
      <c r="AE59" s="209">
        <f t="shared" si="287"/>
        <v>5.2079434736616026E-2</v>
      </c>
      <c r="AF59" s="259"/>
      <c r="AG59" s="168">
        <v>44228</v>
      </c>
      <c r="AH59" s="234">
        <v>2085.75</v>
      </c>
      <c r="AI59" s="235">
        <f t="shared" si="288"/>
        <v>2.2175937270277002E-2</v>
      </c>
      <c r="AJ59" s="199">
        <f t="shared" si="273"/>
        <v>11296.201837499999</v>
      </c>
      <c r="AK59" s="235">
        <f t="shared" si="289"/>
        <v>3.3683803851460858E-2</v>
      </c>
      <c r="AL59" s="254"/>
      <c r="AM59" s="168">
        <v>44228</v>
      </c>
      <c r="AN59" s="198">
        <v>2345.11</v>
      </c>
      <c r="AO59" s="235">
        <f t="shared" si="290"/>
        <v>-1.3872419158151406E-2</v>
      </c>
      <c r="AP59" s="199">
        <f t="shared" si="274"/>
        <v>12700.86822061111</v>
      </c>
      <c r="AQ59" s="235">
        <f t="shared" si="291"/>
        <v>-2.7703923753069626E-3</v>
      </c>
      <c r="AR59" s="255"/>
      <c r="AS59" s="168">
        <v>44228</v>
      </c>
      <c r="AT59" s="200">
        <f>R59*AV59*(1+3%)/1000</f>
        <v>35.395811702114578</v>
      </c>
      <c r="AU59" s="128">
        <f t="shared" ref="AU59" si="297">AT59/AT58-1</f>
        <v>6.2175426648854115E-2</v>
      </c>
      <c r="AV59" s="235">
        <v>0.75</v>
      </c>
      <c r="AW59" s="255"/>
      <c r="AX59" s="252"/>
      <c r="AY59" s="255"/>
      <c r="AZ59" s="202"/>
      <c r="BA59" s="238"/>
      <c r="BB59" s="237"/>
      <c r="BC59" s="168">
        <v>44228</v>
      </c>
      <c r="BD59" s="229">
        <v>6.5487555555555552</v>
      </c>
      <c r="BE59" s="235">
        <f t="shared" si="292"/>
        <v>5.158063215053188E-3</v>
      </c>
      <c r="BF59" s="237"/>
      <c r="BG59" s="168">
        <v>44228</v>
      </c>
      <c r="BH59" s="311"/>
      <c r="BI59" s="249"/>
      <c r="BK59" s="168">
        <v>44228</v>
      </c>
      <c r="BL59" s="311"/>
      <c r="BM59" s="249"/>
      <c r="BO59" s="168">
        <v>44228</v>
      </c>
      <c r="BP59" s="311"/>
      <c r="BQ59" s="249"/>
      <c r="BS59" s="168">
        <v>44228</v>
      </c>
      <c r="BT59" s="282">
        <v>0.19719999999999999</v>
      </c>
      <c r="BU59" s="282">
        <v>0.1125</v>
      </c>
    </row>
    <row r="60" spans="1:73" hidden="1" x14ac:dyDescent="0.35">
      <c r="A60" s="168">
        <v>44256</v>
      </c>
      <c r="B60" s="164">
        <f t="shared" si="174"/>
        <v>36808.592034687746</v>
      </c>
      <c r="C60" s="249">
        <f t="shared" ref="C60:C66" si="298">(B60/B59-1)</f>
        <v>0.10091169714185577</v>
      </c>
      <c r="D60" s="416" t="s">
        <v>282</v>
      </c>
      <c r="E60" s="416"/>
      <c r="F60" s="208">
        <f t="shared" si="281"/>
        <v>8.072935771348462E-2</v>
      </c>
      <c r="G60" s="208">
        <f t="shared" si="294"/>
        <v>6.4583486170787699E-2</v>
      </c>
      <c r="I60" s="183"/>
      <c r="J60" s="168">
        <v>44256</v>
      </c>
      <c r="K60" s="261">
        <f>'2021'!E30</f>
        <v>5.6455478260869567</v>
      </c>
      <c r="L60" s="248">
        <f t="shared" si="282"/>
        <v>4.2403592610282148E-2</v>
      </c>
      <c r="M60" s="253"/>
      <c r="N60" s="183"/>
      <c r="O60" s="168">
        <v>44256</v>
      </c>
      <c r="P60" s="231">
        <f>'2021'!F28</f>
        <v>9005.454545454546</v>
      </c>
      <c r="Q60" s="248">
        <f t="shared" si="283"/>
        <v>6.4443077385957448E-2</v>
      </c>
      <c r="R60" s="218">
        <f t="shared" ref="R60" si="299">P60*K60</f>
        <v>50840.724332015816</v>
      </c>
      <c r="S60" s="153">
        <f t="shared" si="279"/>
        <v>0.10957928799626671</v>
      </c>
      <c r="T60" s="106"/>
      <c r="U60" s="168">
        <v>44256</v>
      </c>
      <c r="V60" s="232">
        <v>2791.65</v>
      </c>
      <c r="W60" s="248">
        <f t="shared" ref="W60" si="300">V60/V59-1</f>
        <v>1.7661854768154184E-2</v>
      </c>
      <c r="X60" s="258">
        <f t="shared" si="136"/>
        <v>15760.393588695653</v>
      </c>
      <c r="Y60" s="153">
        <f t="shared" si="285"/>
        <v>6.081437347276708E-2</v>
      </c>
      <c r="Z60" s="226"/>
      <c r="AA60" s="168">
        <v>44256</v>
      </c>
      <c r="AB60" s="233">
        <v>16460.740000000002</v>
      </c>
      <c r="AC60" s="230">
        <f t="shared" si="286"/>
        <v>-0.11349118512714029</v>
      </c>
      <c r="AD60" s="258">
        <f t="shared" si="275"/>
        <v>92929.894922782623</v>
      </c>
      <c r="AE60" s="209">
        <f t="shared" si="287"/>
        <v>-7.5900026495847372E-2</v>
      </c>
      <c r="AF60" s="259"/>
      <c r="AG60" s="168">
        <v>44256</v>
      </c>
      <c r="AH60" s="234">
        <v>1960.76</v>
      </c>
      <c r="AI60" s="235">
        <f t="shared" si="288"/>
        <v>-5.9925686204003403E-2</v>
      </c>
      <c r="AJ60" s="199">
        <f t="shared" si="273"/>
        <v>11069.564355478262</v>
      </c>
      <c r="AK60" s="235">
        <f t="shared" si="289"/>
        <v>-2.0063157978407298E-2</v>
      </c>
      <c r="AL60" s="254"/>
      <c r="AM60" s="168">
        <v>44256</v>
      </c>
      <c r="AN60" s="198">
        <v>2480.2600000000002</v>
      </c>
      <c r="AO60" s="235">
        <f t="shared" si="290"/>
        <v>5.7630558907684426E-2</v>
      </c>
      <c r="AP60" s="199">
        <f t="shared" si="274"/>
        <v>14002.426451130437</v>
      </c>
      <c r="AQ60" s="235">
        <f t="shared" si="291"/>
        <v>0.10247789425979126</v>
      </c>
      <c r="AR60" s="255"/>
      <c r="AS60" s="168">
        <v>44256</v>
      </c>
      <c r="AT60" s="200">
        <f>R60*AV60*(1+3%)/1000</f>
        <v>39.27445954648222</v>
      </c>
      <c r="AU60" s="128">
        <f>AT60/AT59-1</f>
        <v>0.10957928799626671</v>
      </c>
      <c r="AV60" s="235">
        <v>0.75</v>
      </c>
      <c r="AW60" s="91"/>
      <c r="AX60" s="91"/>
      <c r="AY60" s="91"/>
      <c r="AZ60" s="202"/>
      <c r="BA60" s="238"/>
      <c r="BB60" s="237"/>
      <c r="BC60" s="168">
        <v>44256</v>
      </c>
      <c r="BD60" s="229">
        <v>6.7163304347826109</v>
      </c>
      <c r="BE60" s="235">
        <f t="shared" ref="BE60" si="301">IFERROR(BD60/BD59-1,"")</f>
        <v>2.5588812684403273E-2</v>
      </c>
      <c r="BF60" s="237"/>
      <c r="BG60" s="168">
        <v>44256</v>
      </c>
      <c r="BH60" s="311"/>
      <c r="BI60" s="249"/>
      <c r="BK60" s="168">
        <v>44256</v>
      </c>
      <c r="BL60" s="311"/>
      <c r="BM60" s="249"/>
      <c r="BO60" s="168">
        <v>44256</v>
      </c>
      <c r="BP60" s="311"/>
      <c r="BQ60" s="249"/>
      <c r="BS60" s="168">
        <v>44256</v>
      </c>
      <c r="BT60" s="282">
        <v>6.2100000000000002E-2</v>
      </c>
      <c r="BU60" s="282">
        <v>7.6700000000000004E-2</v>
      </c>
    </row>
    <row r="61" spans="1:73" hidden="1" x14ac:dyDescent="0.35">
      <c r="A61" s="168">
        <v>44287</v>
      </c>
      <c r="B61" s="164">
        <f t="shared" si="174"/>
        <v>37441.755234449993</v>
      </c>
      <c r="C61" s="249">
        <f t="shared" si="298"/>
        <v>1.7201505538857909E-2</v>
      </c>
      <c r="D61" s="416" t="s">
        <v>283</v>
      </c>
      <c r="E61" s="416"/>
      <c r="F61" s="208">
        <f t="shared" si="281"/>
        <v>1.3761204431086327E-2</v>
      </c>
      <c r="G61" s="208">
        <f t="shared" si="294"/>
        <v>1.1008963544869061E-2</v>
      </c>
      <c r="I61" s="183"/>
      <c r="J61" s="168">
        <v>44287</v>
      </c>
      <c r="K61" s="261">
        <f>'2021'!G30</f>
        <v>5.5615350000000001</v>
      </c>
      <c r="L61" s="248">
        <f t="shared" si="282"/>
        <v>-1.4881253099787717E-2</v>
      </c>
      <c r="M61" s="183"/>
      <c r="N61" s="183"/>
      <c r="O61" s="168">
        <v>44287</v>
      </c>
      <c r="P61" s="231">
        <f>'2021'!H28</f>
        <v>9335.5499999999993</v>
      </c>
      <c r="Q61" s="248">
        <f t="shared" si="283"/>
        <v>3.6655057540884162E-2</v>
      </c>
      <c r="R61" s="218">
        <f t="shared" ref="R61" si="302">P61*K61</f>
        <v>51919.988069249994</v>
      </c>
      <c r="S61" s="153">
        <f t="shared" si="279"/>
        <v>2.1228331252443056E-2</v>
      </c>
      <c r="U61" s="168">
        <v>44287</v>
      </c>
      <c r="V61" s="232">
        <v>2827.35</v>
      </c>
      <c r="W61" s="248">
        <f t="shared" ref="W61" si="303">V61/V60-1</f>
        <v>1.2788136048573318E-2</v>
      </c>
      <c r="X61" s="268">
        <f t="shared" si="136"/>
        <v>15724.40598225</v>
      </c>
      <c r="Y61" s="153">
        <f t="shared" si="285"/>
        <v>-2.2834205404277386E-3</v>
      </c>
      <c r="Z61" s="227"/>
      <c r="AA61" s="168">
        <v>44287</v>
      </c>
      <c r="AB61" s="233">
        <v>16480.7</v>
      </c>
      <c r="AC61" s="230">
        <f t="shared" si="286"/>
        <v>1.2125821803878889E-3</v>
      </c>
      <c r="AD61" s="258">
        <f t="shared" si="275"/>
        <v>91657.98987450001</v>
      </c>
      <c r="AE61" s="209">
        <f t="shared" si="287"/>
        <v>-1.3686715661730409E-2</v>
      </c>
      <c r="AG61" s="168">
        <v>44287</v>
      </c>
      <c r="AH61" s="234">
        <v>2006.33</v>
      </c>
      <c r="AI61" s="235">
        <f t="shared" si="288"/>
        <v>2.3240988188253597E-2</v>
      </c>
      <c r="AJ61" s="199">
        <f t="shared" si="273"/>
        <v>11158.27451655</v>
      </c>
      <c r="AK61" s="235">
        <f t="shared" si="289"/>
        <v>8.013880060947054E-3</v>
      </c>
      <c r="AL61" s="255"/>
      <c r="AM61" s="168">
        <v>44287</v>
      </c>
      <c r="AN61" s="198">
        <v>2782.85</v>
      </c>
      <c r="AO61" s="235">
        <f>AN61/AN60-1</f>
        <v>0.1219993065243159</v>
      </c>
      <c r="AP61" s="199">
        <f t="shared" si="274"/>
        <v>15476.917674750001</v>
      </c>
      <c r="AQ61" s="235">
        <f t="shared" si="291"/>
        <v>0.10530255086614115</v>
      </c>
      <c r="AR61" s="252"/>
      <c r="AS61" s="168">
        <v>44287</v>
      </c>
      <c r="AT61" s="200">
        <f>R61*AV61*(1+4%)/1000</f>
        <v>40.497590694015003</v>
      </c>
      <c r="AU61" s="128">
        <f t="shared" ref="AU61" si="304">AT61/AT60-1</f>
        <v>3.1143169419942662E-2</v>
      </c>
      <c r="AV61" s="235">
        <v>0.75</v>
      </c>
      <c r="AW61" s="91"/>
      <c r="AX61" s="91"/>
      <c r="AY61" s="91"/>
      <c r="AZ61" s="237"/>
      <c r="BA61" s="238"/>
      <c r="BB61"/>
      <c r="BC61" s="168">
        <v>44287</v>
      </c>
      <c r="BD61" s="229">
        <v>6.6565099999999999</v>
      </c>
      <c r="BE61" s="235">
        <f t="shared" ref="BE61" si="305">IFERROR(BD61/BD60-1,"")</f>
        <v>-8.9067140700541669E-3</v>
      </c>
      <c r="BG61" s="168">
        <v>44287</v>
      </c>
      <c r="BH61" s="311"/>
      <c r="BI61" s="249"/>
      <c r="BK61" s="168">
        <v>44287</v>
      </c>
      <c r="BL61" s="311"/>
      <c r="BM61" s="249"/>
      <c r="BO61" s="168">
        <v>44287</v>
      </c>
      <c r="BP61" s="311"/>
      <c r="BQ61" s="249"/>
      <c r="BS61" s="168">
        <v>44287</v>
      </c>
      <c r="BT61" s="282">
        <v>8.5599999999999996E-2</v>
      </c>
      <c r="BU61" s="282">
        <v>5.7200000000000001E-2</v>
      </c>
    </row>
    <row r="62" spans="1:73" hidden="1" x14ac:dyDescent="0.35">
      <c r="A62" s="168">
        <v>44317</v>
      </c>
      <c r="B62" s="164">
        <f t="shared" si="174"/>
        <v>38615.340263202001</v>
      </c>
      <c r="C62" s="249">
        <f t="shared" si="298"/>
        <v>3.1344284513462162E-2</v>
      </c>
      <c r="D62" s="269"/>
      <c r="E62" s="270"/>
      <c r="F62" s="208">
        <f t="shared" si="281"/>
        <v>2.5075427610769731E-2</v>
      </c>
      <c r="G62" s="208">
        <f t="shared" si="294"/>
        <v>2.0060342088615783E-2</v>
      </c>
      <c r="I62" s="183"/>
      <c r="J62" s="168">
        <v>44317</v>
      </c>
      <c r="K62" s="261">
        <f>'2021'!I30</f>
        <v>5.2904476190476188</v>
      </c>
      <c r="L62" s="248">
        <f t="shared" ref="L62:L66" si="306">K62/K61-1</f>
        <v>-4.8743266194024026E-2</v>
      </c>
      <c r="M62" s="183"/>
      <c r="N62" s="183"/>
      <c r="O62" s="168">
        <v>44317</v>
      </c>
      <c r="P62" s="231">
        <f>'2021'!J28</f>
        <v>10184.921052631578</v>
      </c>
      <c r="Q62" s="248">
        <f t="shared" si="283"/>
        <v>9.0982433025539988E-2</v>
      </c>
      <c r="R62" s="218">
        <f t="shared" ref="R62" si="307">P62*K62</f>
        <v>53882.7913330827</v>
      </c>
      <c r="S62" s="153">
        <f t="shared" ref="S62" si="308">R62/R61-1</f>
        <v>3.7804385879572022E-2</v>
      </c>
      <c r="U62" s="168">
        <v>44317</v>
      </c>
      <c r="V62" s="232">
        <v>2970.29</v>
      </c>
      <c r="W62" s="248">
        <f t="shared" ref="W62" si="309">V62/V61-1</f>
        <v>5.0556174509699847E-2</v>
      </c>
      <c r="X62" s="268">
        <f t="shared" si="136"/>
        <v>15714.163658380952</v>
      </c>
      <c r="Y62" s="153">
        <f t="shared" si="285"/>
        <v>-6.5136475620186651E-4</v>
      </c>
      <c r="Z62" s="227"/>
      <c r="AA62" s="168">
        <v>44317</v>
      </c>
      <c r="AB62" s="233">
        <v>17605.740000000002</v>
      </c>
      <c r="AC62" s="230">
        <f t="shared" si="286"/>
        <v>6.8264090724301729E-2</v>
      </c>
      <c r="AD62" s="258">
        <f t="shared" si="275"/>
        <v>93142.245264571437</v>
      </c>
      <c r="AE62" s="209">
        <f t="shared" si="287"/>
        <v>1.6193409784610147E-2</v>
      </c>
      <c r="AG62" s="168">
        <v>44317</v>
      </c>
      <c r="AH62" s="234">
        <v>2185.92</v>
      </c>
      <c r="AI62" s="235">
        <f t="shared" si="288"/>
        <v>8.9511695483793785E-2</v>
      </c>
      <c r="AJ62" s="199">
        <f t="shared" si="273"/>
        <v>11564.495259428571</v>
      </c>
      <c r="AK62" s="235">
        <f t="shared" si="289"/>
        <v>3.6405336889324902E-2</v>
      </c>
      <c r="AL62" s="255"/>
      <c r="AM62" s="168">
        <v>44317</v>
      </c>
      <c r="AN62" s="198">
        <v>2870.37</v>
      </c>
      <c r="AO62" s="235">
        <f>AN62/AN61-1</f>
        <v>3.1449772715022473E-2</v>
      </c>
      <c r="AP62" s="199">
        <f t="shared" si="274"/>
        <v>15185.542132285713</v>
      </c>
      <c r="AQ62" s="235">
        <f t="shared" ref="AQ62" si="310">AP62/AP61-1</f>
        <v>-1.8826458122191636E-2</v>
      </c>
      <c r="AR62" s="252"/>
      <c r="AS62" s="168">
        <v>44317</v>
      </c>
      <c r="AT62" s="200">
        <f>R62*AV62*(1+3.96%)/1000</f>
        <v>42.012412402404578</v>
      </c>
      <c r="AU62" s="128">
        <f t="shared" ref="AU62" si="311">AT62/AT61-1</f>
        <v>3.7405230346541307E-2</v>
      </c>
      <c r="AV62" s="235">
        <v>0.75</v>
      </c>
      <c r="AW62" s="91"/>
      <c r="AX62" s="91"/>
      <c r="AY62" s="91"/>
      <c r="AZ62" s="237"/>
      <c r="BA62" s="238"/>
      <c r="BB62"/>
      <c r="BC62" s="168">
        <v>44317</v>
      </c>
      <c r="BD62" s="229">
        <v>6.4267904761904768</v>
      </c>
      <c r="BE62" s="235">
        <f t="shared" ref="BE62" si="312">IFERROR(BD62/BD61-1,"")</f>
        <v>-3.4510505326293073E-2</v>
      </c>
      <c r="BG62" s="168">
        <v>44317</v>
      </c>
      <c r="BH62" s="311"/>
      <c r="BI62" s="249"/>
      <c r="BK62" s="168">
        <v>44317</v>
      </c>
      <c r="BL62" s="311"/>
      <c r="BM62" s="249"/>
      <c r="BO62" s="168">
        <v>44317</v>
      </c>
      <c r="BP62" s="311"/>
      <c r="BQ62" s="249"/>
      <c r="BS62" s="168">
        <v>44317</v>
      </c>
      <c r="BT62" s="282">
        <v>-2.0899999999999998E-2</v>
      </c>
      <c r="BU62" s="282">
        <v>-1.1000000000000001E-3</v>
      </c>
    </row>
    <row r="63" spans="1:73" hidden="1" x14ac:dyDescent="0.35">
      <c r="A63" s="168">
        <v>44348</v>
      </c>
      <c r="B63" s="164">
        <f t="shared" si="174"/>
        <v>34968.646624022513</v>
      </c>
      <c r="C63" s="249">
        <f t="shared" si="298"/>
        <v>-9.4436397926928484E-2</v>
      </c>
      <c r="D63" s="269"/>
      <c r="E63" s="270"/>
      <c r="F63" s="208">
        <f t="shared" si="281"/>
        <v>-7.5549118341542792E-2</v>
      </c>
      <c r="G63" s="208">
        <f t="shared" ref="G63" si="313">C63*64%</f>
        <v>-6.043929467323423E-2</v>
      </c>
      <c r="I63" s="183"/>
      <c r="J63" s="168">
        <v>44348</v>
      </c>
      <c r="K63" s="261">
        <f>'2021'!K30</f>
        <v>5.0313047619047619</v>
      </c>
      <c r="L63" s="248">
        <f t="shared" si="306"/>
        <v>-4.8983162825361748E-2</v>
      </c>
      <c r="M63" s="183"/>
      <c r="N63" s="183"/>
      <c r="O63" s="168">
        <v>44348</v>
      </c>
      <c r="P63" s="231">
        <f>'2021'!L28</f>
        <v>9616.9772727272721</v>
      </c>
      <c r="Q63" s="248">
        <f t="shared" ref="Q63" si="314">P63/P62-1</f>
        <v>-5.5763199043900369E-2</v>
      </c>
      <c r="R63" s="218">
        <f>P63*K63</f>
        <v>48385.943547402596</v>
      </c>
      <c r="S63" s="153">
        <f t="shared" ref="S63" si="315">R63/R62-1</f>
        <v>-0.10201490401083169</v>
      </c>
      <c r="U63" s="168">
        <v>44348</v>
      </c>
      <c r="V63" s="232">
        <v>2950.07</v>
      </c>
      <c r="W63" s="248">
        <f t="shared" ref="W63" si="316">V63/V61-1</f>
        <v>4.3404601481953131E-2</v>
      </c>
      <c r="X63" s="268">
        <f t="shared" si="136"/>
        <v>14842.701238952382</v>
      </c>
      <c r="Y63" s="153">
        <f t="shared" ref="Y63" si="317">X63/X61-1</f>
        <v>-5.6072372100599677E-2</v>
      </c>
      <c r="Z63" s="227"/>
      <c r="AA63" s="168">
        <v>44348</v>
      </c>
      <c r="AB63" s="233">
        <v>17943.82</v>
      </c>
      <c r="AC63" s="230">
        <f t="shared" ref="AC63" si="318">AB63/AB61-1</f>
        <v>8.8777782497102553E-2</v>
      </c>
      <c r="AD63" s="258">
        <f t="shared" si="275"/>
        <v>90280.827012761903</v>
      </c>
      <c r="AE63" s="209">
        <f t="shared" ref="AE63" si="319">AD63/AD61-1</f>
        <v>-1.5025017062055834E-2</v>
      </c>
      <c r="AG63" s="168">
        <v>44348</v>
      </c>
      <c r="AH63" s="234">
        <v>2188.98</v>
      </c>
      <c r="AI63" s="235">
        <f t="shared" ref="AI63" si="320">AH63/AH61-1</f>
        <v>9.1036868311793251E-2</v>
      </c>
      <c r="AJ63" s="199">
        <f t="shared" si="273"/>
        <v>11013.425497714286</v>
      </c>
      <c r="AK63" s="235">
        <f t="shared" ref="AK63" si="321">AJ63/AJ61-1</f>
        <v>-1.2981309845072619E-2</v>
      </c>
      <c r="AL63" s="255"/>
      <c r="AM63" s="168">
        <v>44348</v>
      </c>
      <c r="AN63" s="198">
        <v>2721.9</v>
      </c>
      <c r="AO63" s="235">
        <f>AN63/AN61-1</f>
        <v>-2.190200693533606E-2</v>
      </c>
      <c r="AP63" s="199">
        <f t="shared" si="274"/>
        <v>13694.708431428571</v>
      </c>
      <c r="AQ63" s="235">
        <f t="shared" ref="AQ63" si="322">AP63/AP61-1</f>
        <v>-0.11515272490135653</v>
      </c>
      <c r="AR63" s="252"/>
      <c r="AS63" s="168">
        <v>44348</v>
      </c>
      <c r="AT63" s="200">
        <f>R63*AV63*(1+4.21%)/1000</f>
        <v>37.81724382806118</v>
      </c>
      <c r="AU63" s="163">
        <f t="shared" ref="AU63:AU68" si="323">AT63/AT62-1</f>
        <v>-9.9855455434482265E-2</v>
      </c>
      <c r="AV63" s="235">
        <v>0.75</v>
      </c>
      <c r="AW63" s="91"/>
      <c r="AX63" s="91"/>
      <c r="AY63" s="91"/>
      <c r="AZ63" s="237"/>
      <c r="BA63" s="238"/>
      <c r="BB63"/>
      <c r="BC63" s="168">
        <v>44348</v>
      </c>
      <c r="BD63" s="229">
        <v>6.05962380952381</v>
      </c>
      <c r="BE63" s="235">
        <f t="shared" ref="BE63:BE68" si="324">IFERROR(BD63/BD62-1,"")</f>
        <v>-5.7130642118631392E-2</v>
      </c>
      <c r="BG63" s="168">
        <v>44348</v>
      </c>
      <c r="BH63" s="311">
        <v>6.423</v>
      </c>
      <c r="BI63" s="127"/>
      <c r="BK63" s="168">
        <v>44348</v>
      </c>
      <c r="BL63" s="311">
        <v>69880</v>
      </c>
      <c r="BM63" s="249"/>
      <c r="BO63" s="168">
        <v>44348</v>
      </c>
      <c r="BP63" s="311">
        <v>22383</v>
      </c>
      <c r="BQ63" s="127"/>
      <c r="BS63" s="168">
        <v>44348</v>
      </c>
      <c r="BT63" s="282">
        <v>7.0800000000000002E-2</v>
      </c>
      <c r="BU63" s="282">
        <v>3.5700000000000003E-2</v>
      </c>
    </row>
    <row r="64" spans="1:73" hidden="1" x14ac:dyDescent="0.35">
      <c r="A64" s="168">
        <v>44378</v>
      </c>
      <c r="B64" s="164">
        <f t="shared" si="174"/>
        <v>35253.54526145124</v>
      </c>
      <c r="C64" s="249">
        <f t="shared" si="298"/>
        <v>8.1472594719467217E-3</v>
      </c>
      <c r="D64" s="208">
        <v>2.5075427610769731E-2</v>
      </c>
      <c r="E64" s="208">
        <v>2.0060342088615783E-2</v>
      </c>
      <c r="F64" s="208">
        <f t="shared" ref="F64:F69" si="325">C64*80%</f>
        <v>6.5178075775573774E-3</v>
      </c>
      <c r="G64" s="208">
        <f t="shared" si="294"/>
        <v>5.2142460620459019E-3</v>
      </c>
      <c r="I64" s="183"/>
      <c r="J64" s="168">
        <v>44378</v>
      </c>
      <c r="K64" s="261">
        <f>'2021'!A68</f>
        <v>5.1560272727272727</v>
      </c>
      <c r="L64" s="248">
        <f t="shared" si="306"/>
        <v>2.4789297552965772E-2</v>
      </c>
      <c r="M64" s="183"/>
      <c r="N64" s="183"/>
      <c r="O64" s="168">
        <v>44378</v>
      </c>
      <c r="P64" s="231">
        <f>'2021'!B65</f>
        <v>9433.5909090909099</v>
      </c>
      <c r="Q64" s="248">
        <f t="shared" ref="Q64:Q69" si="326">P64/P63-1</f>
        <v>-1.9069023294505105E-2</v>
      </c>
      <c r="R64" s="218">
        <f t="shared" ref="R64" si="327">P64*K64</f>
        <v>48639.852007024798</v>
      </c>
      <c r="S64" s="153">
        <f t="shared" ref="S64:S69" si="328">R64/R63-1</f>
        <v>5.2475665659688087E-3</v>
      </c>
      <c r="U64" s="168">
        <v>44378</v>
      </c>
      <c r="V64" s="232">
        <v>2942.98</v>
      </c>
      <c r="W64" s="248">
        <f t="shared" ref="W64:W69" si="329">V64/V63-1</f>
        <v>-2.403332802272562E-3</v>
      </c>
      <c r="X64" s="268">
        <f t="shared" si="136"/>
        <v>15174.08514309091</v>
      </c>
      <c r="Y64" s="153">
        <f t="shared" ref="Y64:Y69" si="330">X64/X63-1</f>
        <v>2.2326387818738969E-2</v>
      </c>
      <c r="Z64" s="227"/>
      <c r="AA64" s="168">
        <v>44378</v>
      </c>
      <c r="AB64" s="233">
        <v>18817.05</v>
      </c>
      <c r="AC64" s="230">
        <f t="shared" ref="AC64:AC69" si="331">AB64/AB63-1</f>
        <v>4.8664665606320101E-2</v>
      </c>
      <c r="AD64" s="258">
        <f t="shared" si="275"/>
        <v>97021.222992272727</v>
      </c>
      <c r="AE64" s="209">
        <f t="shared" ref="AE64:AE69" si="332">AD64/AD63-1</f>
        <v>7.4660326035316693E-2</v>
      </c>
      <c r="AG64" s="168">
        <v>44378</v>
      </c>
      <c r="AH64" s="234">
        <v>2336.98</v>
      </c>
      <c r="AI64" s="235">
        <f t="shared" ref="AI64:AI69" si="333">AH64/AH63-1</f>
        <v>6.7611398916390231E-2</v>
      </c>
      <c r="AJ64" s="199">
        <f t="shared" si="273"/>
        <v>12049.532615818182</v>
      </c>
      <c r="AK64" s="235">
        <f t="shared" ref="AK64:AK69" si="334">AJ64/AJ63-1</f>
        <v>9.4076735555066682E-2</v>
      </c>
      <c r="AL64" s="255"/>
      <c r="AM64" s="168">
        <v>44378</v>
      </c>
      <c r="AN64" s="198">
        <v>2737.64</v>
      </c>
      <c r="AO64" s="235">
        <f t="shared" ref="AO64:AO69" si="335">AN64/AN63-1</f>
        <v>5.782725302178493E-3</v>
      </c>
      <c r="AP64" s="199">
        <f t="shared" si="274"/>
        <v>14115.346502909089</v>
      </c>
      <c r="AQ64" s="235">
        <f t="shared" ref="AQ64:AQ69" si="336">AP64/AP63-1</f>
        <v>3.0715372553327125E-2</v>
      </c>
      <c r="AR64" s="252"/>
      <c r="AS64" s="168">
        <v>44378</v>
      </c>
      <c r="AT64" s="200">
        <f>R64*AV64*(1+4.09%)/1000</f>
        <v>37.97191646558408</v>
      </c>
      <c r="AU64" s="128">
        <f t="shared" si="323"/>
        <v>4.0900029157633355E-3</v>
      </c>
      <c r="AV64" s="235">
        <v>0.75</v>
      </c>
      <c r="AW64" s="91"/>
      <c r="AX64" s="91"/>
      <c r="AY64" s="91"/>
      <c r="AZ64" s="237"/>
      <c r="BA64" s="238"/>
      <c r="BB64"/>
      <c r="BC64" s="168">
        <v>44378</v>
      </c>
      <c r="BD64" s="229">
        <v>6.0952045454545463</v>
      </c>
      <c r="BE64" s="235">
        <f t="shared" si="324"/>
        <v>5.8717730752220199E-3</v>
      </c>
      <c r="BG64" s="168">
        <v>44378</v>
      </c>
      <c r="BH64" s="311">
        <v>6.476</v>
      </c>
      <c r="BI64" s="249">
        <f t="shared" ref="BI64:BI84" si="337">(BH64/BH63-1)</f>
        <v>8.2515958274949064E-3</v>
      </c>
      <c r="BK64" s="168">
        <v>44378</v>
      </c>
      <c r="BL64" s="311">
        <v>69656</v>
      </c>
      <c r="BM64" s="249">
        <f t="shared" ref="BM64:BM84" si="338">(BL64/BL63-1)</f>
        <v>-3.2054951345162896E-3</v>
      </c>
      <c r="BO64" s="168">
        <v>44378</v>
      </c>
      <c r="BP64" s="311">
        <v>22422</v>
      </c>
      <c r="BQ64" s="249">
        <f t="shared" ref="BQ64:BQ84" si="339">(BP64/BP63-1)</f>
        <v>1.7423937809946111E-3</v>
      </c>
      <c r="BS64" s="168">
        <v>44378</v>
      </c>
      <c r="BT64" s="282">
        <v>-8.9999999999999998E-4</v>
      </c>
      <c r="BU64" s="282">
        <v>-1.7299999999999999E-2</v>
      </c>
    </row>
    <row r="65" spans="1:73" hidden="1" x14ac:dyDescent="0.35">
      <c r="A65" s="168">
        <v>44409</v>
      </c>
      <c r="B65" s="164">
        <f t="shared" si="174"/>
        <v>35767.996201204543</v>
      </c>
      <c r="C65" s="249">
        <f t="shared" si="298"/>
        <v>1.459288522439306E-2</v>
      </c>
      <c r="D65" s="271"/>
      <c r="E65" s="272"/>
      <c r="F65" s="208">
        <f t="shared" si="325"/>
        <v>1.1674308179514448E-2</v>
      </c>
      <c r="G65" s="208">
        <f t="shared" ref="G65:G70" si="340">C65*64%</f>
        <v>9.3394465436115581E-3</v>
      </c>
      <c r="I65" s="183"/>
      <c r="J65" s="168">
        <v>44409</v>
      </c>
      <c r="K65" s="261">
        <f>'2021'!C68</f>
        <v>5.251122727272727</v>
      </c>
      <c r="L65" s="248">
        <f t="shared" si="306"/>
        <v>1.8443551501067468E-2</v>
      </c>
      <c r="M65" s="183"/>
      <c r="N65" s="183"/>
      <c r="O65" s="168">
        <v>44409</v>
      </c>
      <c r="P65" s="231">
        <f>'2021'!D65</f>
        <v>9359.2250000000004</v>
      </c>
      <c r="Q65" s="248">
        <f t="shared" si="326"/>
        <v>-7.8830966709871886E-3</v>
      </c>
      <c r="R65" s="218">
        <f t="shared" ref="R65" si="341">P65*K65</f>
        <v>49146.439107159087</v>
      </c>
      <c r="S65" s="153">
        <f t="shared" si="328"/>
        <v>1.0415062530640951E-2</v>
      </c>
      <c r="U65" s="168">
        <v>44409</v>
      </c>
      <c r="V65" s="232">
        <v>2989.9</v>
      </c>
      <c r="W65" s="248">
        <f t="shared" si="329"/>
        <v>1.5943023737843953E-2</v>
      </c>
      <c r="X65" s="268">
        <f t="shared" si="136"/>
        <v>15700.331842272726</v>
      </c>
      <c r="Y65" s="153">
        <f t="shared" si="330"/>
        <v>3.4680621218303065E-2</v>
      </c>
      <c r="Z65" s="227"/>
      <c r="AA65" s="168">
        <v>44409</v>
      </c>
      <c r="AB65" s="233">
        <v>19160.43</v>
      </c>
      <c r="AC65" s="230">
        <f t="shared" si="331"/>
        <v>1.8248343922134591E-2</v>
      </c>
      <c r="AD65" s="258">
        <f t="shared" si="275"/>
        <v>100613.76943731817</v>
      </c>
      <c r="AE65" s="209">
        <f t="shared" si="332"/>
        <v>3.7028459694139038E-2</v>
      </c>
      <c r="AG65" s="168">
        <v>44409</v>
      </c>
      <c r="AH65" s="234">
        <v>2428.52</v>
      </c>
      <c r="AI65" s="235">
        <f t="shared" si="333"/>
        <v>3.917021112718122E-2</v>
      </c>
      <c r="AJ65" s="199">
        <f t="shared" si="273"/>
        <v>12752.456565636363</v>
      </c>
      <c r="AK65" s="235">
        <f t="shared" si="334"/>
        <v>5.8336200434480734E-2</v>
      </c>
      <c r="AL65" s="255"/>
      <c r="AM65" s="168">
        <v>44409</v>
      </c>
      <c r="AN65" s="198">
        <v>2537.9</v>
      </c>
      <c r="AO65" s="235">
        <f t="shared" si="335"/>
        <v>-7.2960652240615875E-2</v>
      </c>
      <c r="AP65" s="199">
        <f t="shared" si="274"/>
        <v>13326.824369545455</v>
      </c>
      <c r="AQ65" s="235">
        <f t="shared" si="336"/>
        <v>-5.5862754286699623E-2</v>
      </c>
      <c r="AR65" s="252"/>
      <c r="AS65" s="168">
        <v>44409</v>
      </c>
      <c r="AT65" s="200">
        <f>R65*AV65*(1+4.46%)/1000</f>
        <v>36.963626609763637</v>
      </c>
      <c r="AU65" s="128">
        <f t="shared" si="323"/>
        <v>-2.6553567732993111E-2</v>
      </c>
      <c r="AV65" s="235">
        <v>0.72</v>
      </c>
      <c r="AW65" s="91"/>
      <c r="AX65" s="91"/>
      <c r="AY65" s="91"/>
      <c r="AZ65" s="237"/>
      <c r="BA65" s="238"/>
      <c r="BB65"/>
      <c r="BC65" s="168">
        <v>44409</v>
      </c>
      <c r="BD65" s="229">
        <v>6.1777727272727274</v>
      </c>
      <c r="BE65" s="235">
        <f t="shared" si="324"/>
        <v>1.3546416892564528E-2</v>
      </c>
      <c r="BG65" s="168">
        <v>44409</v>
      </c>
      <c r="BH65" s="311">
        <v>6.4770000000000003</v>
      </c>
      <c r="BI65" s="249">
        <f t="shared" si="337"/>
        <v>1.544163063620374E-4</v>
      </c>
      <c r="BK65" s="168">
        <v>44409</v>
      </c>
      <c r="BL65" s="311">
        <v>69657</v>
      </c>
      <c r="BM65" s="249">
        <f t="shared" si="338"/>
        <v>1.4356265074066954E-5</v>
      </c>
      <c r="BO65" s="168">
        <v>44409</v>
      </c>
      <c r="BP65" s="311">
        <v>22594</v>
      </c>
      <c r="BQ65" s="249">
        <f t="shared" si="339"/>
        <v>7.6710373740076498E-3</v>
      </c>
      <c r="BS65" s="168">
        <v>44409</v>
      </c>
      <c r="BT65" s="282">
        <v>7.8100000000000003E-2</v>
      </c>
      <c r="BU65" s="282">
        <v>5.6000000000000001E-2</v>
      </c>
    </row>
    <row r="66" spans="1:73" hidden="1" x14ac:dyDescent="0.35">
      <c r="A66" s="168">
        <v>44440</v>
      </c>
      <c r="B66" s="164">
        <f t="shared" si="174"/>
        <v>35956.875302756285</v>
      </c>
      <c r="C66" s="249">
        <f t="shared" si="298"/>
        <v>5.2806732725323435E-3</v>
      </c>
      <c r="D66" s="271"/>
      <c r="E66" s="272"/>
      <c r="F66" s="208">
        <f t="shared" si="325"/>
        <v>4.2245386180258752E-3</v>
      </c>
      <c r="G66" s="208">
        <f t="shared" si="340"/>
        <v>3.3796308944207001E-3</v>
      </c>
      <c r="I66" s="183"/>
      <c r="J66" s="168">
        <v>44440</v>
      </c>
      <c r="K66" s="261">
        <f>'2021'!E68</f>
        <v>5.2790904761904764</v>
      </c>
      <c r="L66" s="248">
        <f t="shared" si="306"/>
        <v>5.32605127899477E-3</v>
      </c>
      <c r="M66" s="183"/>
      <c r="N66" s="183"/>
      <c r="O66" s="168">
        <v>44440</v>
      </c>
      <c r="P66" s="274">
        <f>'2021'!F65</f>
        <v>9323.9659090909099</v>
      </c>
      <c r="Q66" s="248">
        <f t="shared" si="326"/>
        <v>-3.7673088219474238E-3</v>
      </c>
      <c r="R66" s="218">
        <f t="shared" ref="R66:R71" si="342">P66*K66</f>
        <v>49222.059631006501</v>
      </c>
      <c r="S66" s="153">
        <f t="shared" si="328"/>
        <v>1.5386775770780403E-3</v>
      </c>
      <c r="U66" s="168">
        <v>44440</v>
      </c>
      <c r="V66" s="275">
        <v>3042.02</v>
      </c>
      <c r="W66" s="248">
        <f t="shared" si="329"/>
        <v>1.7432021137830711E-2</v>
      </c>
      <c r="X66" s="276">
        <f t="shared" si="136"/>
        <v>16059.098810380952</v>
      </c>
      <c r="Y66" s="153">
        <f t="shared" si="330"/>
        <v>2.2850916255302112E-2</v>
      </c>
      <c r="Z66" s="227"/>
      <c r="AA66" s="168">
        <v>44440</v>
      </c>
      <c r="AB66" s="277">
        <v>19308.41</v>
      </c>
      <c r="AC66" s="230">
        <f t="shared" si="331"/>
        <v>7.7232087171321684E-3</v>
      </c>
      <c r="AD66" s="278">
        <f t="shared" si="275"/>
        <v>101930.84334138095</v>
      </c>
      <c r="AE66" s="209">
        <f t="shared" si="332"/>
        <v>1.309039420179281E-2</v>
      </c>
      <c r="AG66" s="168">
        <v>44440</v>
      </c>
      <c r="AH66" s="279">
        <v>2257.25</v>
      </c>
      <c r="AI66" s="235">
        <f t="shared" si="333"/>
        <v>-7.0524434635086397E-2</v>
      </c>
      <c r="AJ66" s="280">
        <f t="shared" si="273"/>
        <v>11916.226977380953</v>
      </c>
      <c r="AK66" s="235">
        <f t="shared" si="334"/>
        <v>-6.5574000111380149E-2</v>
      </c>
      <c r="AL66" s="255"/>
      <c r="AM66" s="168">
        <v>44440</v>
      </c>
      <c r="AN66" s="198">
        <v>2154.39</v>
      </c>
      <c r="AO66" s="235">
        <f t="shared" si="335"/>
        <v>-0.1511131250246267</v>
      </c>
      <c r="AP66" s="199">
        <f t="shared" si="274"/>
        <v>11373.219730999999</v>
      </c>
      <c r="AQ66" s="235">
        <f t="shared" si="336"/>
        <v>-0.1465919099984424</v>
      </c>
      <c r="AR66" s="252"/>
      <c r="AS66" s="168">
        <v>44440</v>
      </c>
      <c r="AT66" s="200">
        <f>R66*AV66*(1+5.64%)/1000</f>
        <v>37.43869233182059</v>
      </c>
      <c r="AU66" s="128">
        <f t="shared" si="323"/>
        <v>1.2852248700387703E-2</v>
      </c>
      <c r="AV66" s="235">
        <v>0.72</v>
      </c>
      <c r="AW66" s="91"/>
      <c r="AX66" s="91"/>
      <c r="AY66" s="91"/>
      <c r="AZ66" s="237"/>
      <c r="BA66" s="238"/>
      <c r="BB66"/>
      <c r="BC66" s="168">
        <v>44440</v>
      </c>
      <c r="BD66" s="229">
        <v>6.2097999999999995</v>
      </c>
      <c r="BE66" s="235">
        <f t="shared" si="324"/>
        <v>5.1842750034949425E-3</v>
      </c>
      <c r="BG66" s="168">
        <v>44440</v>
      </c>
      <c r="BH66" s="311">
        <v>6.4569999999999999</v>
      </c>
      <c r="BI66" s="249">
        <f t="shared" si="337"/>
        <v>-3.0878493129535833E-3</v>
      </c>
      <c r="BK66" s="168">
        <v>44440</v>
      </c>
      <c r="BL66" s="311">
        <v>69651</v>
      </c>
      <c r="BM66" s="249">
        <f t="shared" si="338"/>
        <v>-8.6136353848131897E-5</v>
      </c>
      <c r="BO66" s="168">
        <v>44440</v>
      </c>
      <c r="BP66" s="311">
        <v>22789</v>
      </c>
      <c r="BQ66" s="249">
        <f t="shared" si="339"/>
        <v>8.6306098964326061E-3</v>
      </c>
      <c r="BS66" s="168">
        <v>44440</v>
      </c>
      <c r="BT66" s="282">
        <v>0.16089999999999999</v>
      </c>
      <c r="BU66" s="282">
        <v>0.13159999999999999</v>
      </c>
    </row>
    <row r="67" spans="1:73" hidden="1" x14ac:dyDescent="0.35">
      <c r="A67" s="168">
        <v>44470</v>
      </c>
      <c r="B67" s="164">
        <f t="shared" si="174"/>
        <v>39967.454767500007</v>
      </c>
      <c r="C67" s="249">
        <f t="shared" ref="C67:C77" si="343">(B67/B66-1)</f>
        <v>0.1115385981394299</v>
      </c>
      <c r="D67" s="271"/>
      <c r="E67" s="272"/>
      <c r="F67" s="208">
        <f t="shared" si="325"/>
        <v>8.9230878511543932E-2</v>
      </c>
      <c r="G67" s="208">
        <f t="shared" si="340"/>
        <v>7.1384702809235132E-2</v>
      </c>
      <c r="I67" s="183"/>
      <c r="J67" s="168">
        <v>44470</v>
      </c>
      <c r="K67" s="261">
        <f>'2021'!G68</f>
        <v>5.5393750000000015</v>
      </c>
      <c r="L67" s="248">
        <f t="shared" ref="L67:L77" si="344">K67/K66-1</f>
        <v>4.930480448922947E-2</v>
      </c>
      <c r="M67" s="183"/>
      <c r="N67" s="183"/>
      <c r="O67" s="168">
        <v>44470</v>
      </c>
      <c r="P67" s="274">
        <f>'2021'!H65</f>
        <v>9778.5</v>
      </c>
      <c r="Q67" s="248">
        <f t="shared" si="326"/>
        <v>4.8749008237569447E-2</v>
      </c>
      <c r="R67" s="218">
        <f t="shared" si="342"/>
        <v>54166.778437500012</v>
      </c>
      <c r="S67" s="153">
        <f t="shared" si="328"/>
        <v>0.1004573730469962</v>
      </c>
      <c r="U67" s="168">
        <v>44470</v>
      </c>
      <c r="V67" s="275">
        <v>3370.14</v>
      </c>
      <c r="W67" s="248">
        <f t="shared" si="329"/>
        <v>0.10786253870783225</v>
      </c>
      <c r="X67" s="276">
        <f t="shared" ref="X67:X98" si="345">V67*K67</f>
        <v>18668.469262500003</v>
      </c>
      <c r="Y67" s="153">
        <f t="shared" si="330"/>
        <v>0.16248548457976342</v>
      </c>
      <c r="Z67" s="227"/>
      <c r="AA67" s="168">
        <v>44470</v>
      </c>
      <c r="AB67" s="277">
        <v>19420.240000000002</v>
      </c>
      <c r="AC67" s="230">
        <f t="shared" si="331"/>
        <v>5.7917767439163992E-3</v>
      </c>
      <c r="AD67" s="278">
        <f t="shared" si="275"/>
        <v>107575.99195000004</v>
      </c>
      <c r="AE67" s="209">
        <f t="shared" si="332"/>
        <v>5.5382143653149862E-2</v>
      </c>
      <c r="AG67" s="168">
        <v>44470</v>
      </c>
      <c r="AH67" s="279">
        <v>2339.4499999999998</v>
      </c>
      <c r="AI67" s="235">
        <f t="shared" si="333"/>
        <v>3.6415992911728701E-2</v>
      </c>
      <c r="AJ67" s="280">
        <f t="shared" si="273"/>
        <v>12959.090843750002</v>
      </c>
      <c r="AK67" s="235">
        <f t="shared" si="334"/>
        <v>8.7516280811752223E-2</v>
      </c>
      <c r="AL67" s="255"/>
      <c r="AM67" s="168">
        <v>44470</v>
      </c>
      <c r="AN67" s="281">
        <v>2154</v>
      </c>
      <c r="AO67" s="235">
        <f t="shared" si="335"/>
        <v>-1.8102571957712144E-4</v>
      </c>
      <c r="AP67" s="280">
        <f t="shared" si="274"/>
        <v>11931.813750000003</v>
      </c>
      <c r="AQ67" s="235">
        <f t="shared" si="336"/>
        <v>4.9114853331941211E-2</v>
      </c>
      <c r="AR67" s="252"/>
      <c r="AS67" s="168">
        <v>44470</v>
      </c>
      <c r="AT67" s="200">
        <f>R67*AV67*(1+5.64%)/1000</f>
        <v>42.916338556031263</v>
      </c>
      <c r="AU67" s="128">
        <f t="shared" si="323"/>
        <v>0.1463097635906212</v>
      </c>
      <c r="AV67" s="235">
        <v>0.75</v>
      </c>
      <c r="AW67" s="91"/>
      <c r="AX67" s="91"/>
      <c r="AY67" s="91"/>
      <c r="AZ67" s="237"/>
      <c r="BA67" s="238"/>
      <c r="BB67"/>
      <c r="BC67" s="168">
        <v>44470</v>
      </c>
      <c r="BD67" s="229">
        <v>6.4254100000000012</v>
      </c>
      <c r="BE67" s="235">
        <f t="shared" si="324"/>
        <v>3.4720924989532831E-2</v>
      </c>
      <c r="BG67" s="168">
        <v>44470</v>
      </c>
      <c r="BH67" s="311">
        <v>6.4210000000000003</v>
      </c>
      <c r="BI67" s="249">
        <f t="shared" si="337"/>
        <v>-5.5753445872696039E-3</v>
      </c>
      <c r="BK67" s="168">
        <v>44470</v>
      </c>
      <c r="BL67" s="311">
        <v>72488</v>
      </c>
      <c r="BM67" s="249">
        <f t="shared" si="338"/>
        <v>4.0731647786822922E-2</v>
      </c>
      <c r="BO67" s="168">
        <v>44470</v>
      </c>
      <c r="BP67" s="311">
        <v>24727</v>
      </c>
      <c r="BQ67" s="249">
        <f t="shared" si="339"/>
        <v>8.5041028566413601E-2</v>
      </c>
      <c r="BS67" s="168">
        <v>44470</v>
      </c>
      <c r="BT67" s="282">
        <v>3.9199999999999999E-2</v>
      </c>
      <c r="BU67" s="282">
        <v>3.9199999999999999E-2</v>
      </c>
    </row>
    <row r="68" spans="1:73" hidden="1" x14ac:dyDescent="0.35">
      <c r="A68" s="168">
        <v>44501</v>
      </c>
      <c r="B68" s="164">
        <f t="shared" si="174"/>
        <v>39922.155042056271</v>
      </c>
      <c r="C68" s="249">
        <f t="shared" si="343"/>
        <v>-1.1334153177192663E-3</v>
      </c>
      <c r="D68" s="271"/>
      <c r="E68" s="272"/>
      <c r="F68" s="208">
        <f t="shared" si="325"/>
        <v>-9.0673225417541308E-4</v>
      </c>
      <c r="G68" s="208">
        <f t="shared" si="340"/>
        <v>-7.253858033403304E-4</v>
      </c>
      <c r="I68" s="183"/>
      <c r="J68" s="168">
        <v>44501</v>
      </c>
      <c r="K68" s="261">
        <f>'2021'!I68</f>
        <v>5.55626</v>
      </c>
      <c r="L68" s="248">
        <f t="shared" si="344"/>
        <v>3.0481778178943486E-3</v>
      </c>
      <c r="M68" s="183"/>
      <c r="N68" s="183"/>
      <c r="O68" s="168">
        <v>44501</v>
      </c>
      <c r="P68" s="274">
        <f>'2021'!J65</f>
        <v>9765.4772727272721</v>
      </c>
      <c r="Q68" s="248">
        <f t="shared" si="326"/>
        <v>-1.3317714652275603E-3</v>
      </c>
      <c r="R68" s="218">
        <f t="shared" si="342"/>
        <v>54259.530751363629</v>
      </c>
      <c r="S68" s="153">
        <f t="shared" si="328"/>
        <v>1.7123468764279615E-3</v>
      </c>
      <c r="U68" s="168">
        <v>44501</v>
      </c>
      <c r="V68" s="275">
        <f>AVERAGE('[1]2021_Base RPA'!$H$21:$H$42)</f>
        <v>3314.4761904761904</v>
      </c>
      <c r="W68" s="248">
        <f t="shared" si="329"/>
        <v>-1.6516764740874157E-2</v>
      </c>
      <c r="X68" s="276">
        <f t="shared" si="345"/>
        <v>18416.091478095237</v>
      </c>
      <c r="Y68" s="153">
        <f t="shared" si="330"/>
        <v>-1.3518932958886176E-2</v>
      </c>
      <c r="Z68" s="227"/>
      <c r="AA68" s="168">
        <v>44501</v>
      </c>
      <c r="AB68" s="277">
        <f>AVERAGE('[1]2021_Base RPA'!$J$21:$J$42)</f>
        <v>19940.714285714286</v>
      </c>
      <c r="AC68" s="230">
        <f t="shared" si="331"/>
        <v>2.6800610379392076E-2</v>
      </c>
      <c r="AD68" s="278">
        <f t="shared" si="275"/>
        <v>110795.79315714286</v>
      </c>
      <c r="AE68" s="209">
        <f t="shared" si="332"/>
        <v>2.9930481223350958E-2</v>
      </c>
      <c r="AG68" s="168">
        <v>44501</v>
      </c>
      <c r="AH68" s="279">
        <f>AVERAGE('[1]2021_Base RPA'!$L$21:$L$42)</f>
        <v>2346.4523809523807</v>
      </c>
      <c r="AI68" s="235">
        <f t="shared" si="333"/>
        <v>2.9931740162776332E-3</v>
      </c>
      <c r="AJ68" s="280">
        <f t="shared" si="273"/>
        <v>13037.499506190476</v>
      </c>
      <c r="AK68" s="235">
        <f t="shared" si="334"/>
        <v>6.0504755608137284E-3</v>
      </c>
      <c r="AL68" s="255"/>
      <c r="AM68" s="168">
        <v>44501</v>
      </c>
      <c r="AN68" s="281">
        <f>AVERAGE('[1]2021_Base RPA'!$N$21:$N$42)</f>
        <v>2018.1904761904761</v>
      </c>
      <c r="AO68" s="235">
        <f t="shared" si="335"/>
        <v>-6.3049918203121558E-2</v>
      </c>
      <c r="AP68" s="280">
        <f t="shared" si="274"/>
        <v>11213.591015238095</v>
      </c>
      <c r="AQ68" s="235">
        <f t="shared" si="336"/>
        <v>-6.0193927747314024E-2</v>
      </c>
      <c r="AR68" s="252"/>
      <c r="AS68" s="168">
        <v>44501</v>
      </c>
      <c r="AT68" s="200">
        <f>R68*AV68*(1+5.64%)/1000</f>
        <v>42.989826214305403</v>
      </c>
      <c r="AU68" s="128">
        <f t="shared" si="323"/>
        <v>1.7123468764277394E-3</v>
      </c>
      <c r="AV68" s="235">
        <v>0.75</v>
      </c>
      <c r="AW68" s="91"/>
      <c r="AX68" s="91"/>
      <c r="AY68" s="91"/>
      <c r="AZ68" s="237"/>
      <c r="BA68" s="238"/>
      <c r="BB68"/>
      <c r="BC68" s="168">
        <v>44501</v>
      </c>
      <c r="BD68" s="229">
        <f>AVERAGE('[1]2021_Base RPA'!$D$21:$D$42)</f>
        <v>6.3321849999999991</v>
      </c>
      <c r="BE68" s="235">
        <f t="shared" si="324"/>
        <v>-1.45088017729611E-2</v>
      </c>
      <c r="BG68" s="168">
        <v>44501</v>
      </c>
      <c r="BH68" s="311">
        <v>6.391</v>
      </c>
      <c r="BI68" s="249">
        <f t="shared" si="337"/>
        <v>-4.6721694440118311E-3</v>
      </c>
      <c r="BK68" s="168">
        <v>44501</v>
      </c>
      <c r="BL68" s="311">
        <v>71436</v>
      </c>
      <c r="BM68" s="249">
        <f t="shared" si="338"/>
        <v>-1.4512746937424104E-2</v>
      </c>
      <c r="BO68" s="168">
        <v>44501</v>
      </c>
      <c r="BP68" s="311">
        <v>23290</v>
      </c>
      <c r="BQ68" s="249">
        <f t="shared" si="339"/>
        <v>-5.8114611558215734E-2</v>
      </c>
      <c r="BS68" s="168">
        <v>44501</v>
      </c>
      <c r="BT68" s="282">
        <v>2.2200000000000001E-2</v>
      </c>
      <c r="BU68" s="282">
        <v>2.2200000000000001E-2</v>
      </c>
    </row>
    <row r="69" spans="1:73" hidden="1" x14ac:dyDescent="0.35">
      <c r="A69" s="168">
        <v>44531</v>
      </c>
      <c r="B69" s="164">
        <f t="shared" si="174"/>
        <v>40079.117763416143</v>
      </c>
      <c r="C69" s="249">
        <f t="shared" si="343"/>
        <v>3.9317196477623995E-3</v>
      </c>
      <c r="D69" s="271"/>
      <c r="E69" s="272"/>
      <c r="F69" s="208">
        <f t="shared" si="325"/>
        <v>3.1453757182099197E-3</v>
      </c>
      <c r="G69" s="208">
        <f t="shared" si="340"/>
        <v>2.5163005745679357E-3</v>
      </c>
      <c r="I69" s="183"/>
      <c r="J69" s="168">
        <v>44531</v>
      </c>
      <c r="K69" s="261">
        <f>'2021'!K68</f>
        <v>5.6506043478260866</v>
      </c>
      <c r="L69" s="248">
        <f t="shared" si="344"/>
        <v>1.6979829566306615E-2</v>
      </c>
      <c r="M69" s="183"/>
      <c r="N69" s="183"/>
      <c r="O69" s="168">
        <v>44531</v>
      </c>
      <c r="P69" s="274">
        <f>'2021'!L65</f>
        <v>9550.3095238095229</v>
      </c>
      <c r="Q69" s="248">
        <f t="shared" si="326"/>
        <v>-2.2033510796104494E-2</v>
      </c>
      <c r="R69" s="218">
        <f t="shared" si="342"/>
        <v>53965.02051832297</v>
      </c>
      <c r="S69" s="153">
        <f t="shared" si="328"/>
        <v>-5.4278064878631183E-3</v>
      </c>
      <c r="U69" s="168">
        <v>44531</v>
      </c>
      <c r="V69" s="275">
        <f>AVERAGE('[1]2021_Base RPA'!$H$43:$H$66)</f>
        <v>3406.7619047619046</v>
      </c>
      <c r="W69" s="248">
        <f t="shared" si="329"/>
        <v>2.7843227400724091E-2</v>
      </c>
      <c r="X69" s="276">
        <f t="shared" si="345"/>
        <v>19250.263631055899</v>
      </c>
      <c r="Y69" s="153">
        <f t="shared" si="330"/>
        <v>4.5295830222870981E-2</v>
      </c>
      <c r="Z69" s="227"/>
      <c r="AA69" s="168">
        <v>44531</v>
      </c>
      <c r="AB69" s="277">
        <f>AVERAGE('[1]2021_Base RPA'!$J$43:$J$66)</f>
        <v>20059.285714285714</v>
      </c>
      <c r="AC69" s="230">
        <f t="shared" si="331"/>
        <v>5.9461976573413899E-3</v>
      </c>
      <c r="AD69" s="278">
        <f t="shared" si="275"/>
        <v>113347.08707142856</v>
      </c>
      <c r="AE69" s="209">
        <f t="shared" si="332"/>
        <v>2.3026992646437039E-2</v>
      </c>
      <c r="AG69" s="168">
        <v>44531</v>
      </c>
      <c r="AH69" s="279">
        <f>AVERAGE('[1]2021_Base RPA'!$L$43:$L$66)</f>
        <v>2303.6190476190477</v>
      </c>
      <c r="AI69" s="235">
        <f t="shared" si="333"/>
        <v>-1.8254507818286858E-2</v>
      </c>
      <c r="AJ69" s="280">
        <f t="shared" si="273"/>
        <v>13016.839806211179</v>
      </c>
      <c r="AK69" s="235">
        <f t="shared" si="334"/>
        <v>-1.5846366835516879E-3</v>
      </c>
      <c r="AL69" s="255"/>
      <c r="AM69" s="168">
        <v>44531</v>
      </c>
      <c r="AN69" s="281">
        <f>AVERAGE('[1]2021_Base RPA'!$N$43:$N$66)</f>
        <v>1802.952380952381</v>
      </c>
      <c r="AO69" s="235">
        <f t="shared" si="335"/>
        <v>-0.10664904912462836</v>
      </c>
      <c r="AP69" s="280">
        <f t="shared" si="274"/>
        <v>10187.770562732918</v>
      </c>
      <c r="AQ69" s="235">
        <f t="shared" si="336"/>
        <v>-9.1480102235866667E-2</v>
      </c>
      <c r="AR69" s="252"/>
      <c r="AS69" s="168">
        <v>44531</v>
      </c>
      <c r="AT69" s="200">
        <f>R69*AV69*(1+6.1%)/1000</f>
        <v>42.942665077455501</v>
      </c>
      <c r="AU69" s="128">
        <f t="shared" ref="AU69" si="346">AT69/AT68-1</f>
        <v>-1.0970301813922889E-3</v>
      </c>
      <c r="AV69" s="235">
        <v>0.75</v>
      </c>
      <c r="AW69" s="91"/>
      <c r="AX69" s="91"/>
      <c r="AY69" s="91"/>
      <c r="AZ69" s="237"/>
      <c r="BA69" s="238"/>
      <c r="BB69"/>
      <c r="BC69" s="168">
        <v>44531</v>
      </c>
      <c r="BD69" s="229">
        <f>AVERAGE('[1]2021_Base RPA'!$D$43:$D$66)</f>
        <v>6.3825124999999998</v>
      </c>
      <c r="BE69" s="235">
        <f t="shared" ref="BE69" si="347">IFERROR(BD69/BD68-1,"")</f>
        <v>7.9478884460895127E-3</v>
      </c>
      <c r="BG69" s="168">
        <v>44531</v>
      </c>
      <c r="BH69" s="311">
        <v>6.37</v>
      </c>
      <c r="BI69" s="249">
        <f t="shared" si="337"/>
        <v>-3.2858707557502642E-3</v>
      </c>
      <c r="BK69" s="168">
        <v>44531</v>
      </c>
      <c r="BL69" s="311">
        <v>69672</v>
      </c>
      <c r="BM69" s="249">
        <f t="shared" si="338"/>
        <v>-2.4693431883084149E-2</v>
      </c>
      <c r="BO69" s="168">
        <v>44531</v>
      </c>
      <c r="BP69" s="311">
        <v>23592</v>
      </c>
      <c r="BQ69" s="249">
        <f t="shared" si="339"/>
        <v>1.2966938600257549E-2</v>
      </c>
      <c r="BS69" s="168">
        <v>44531</v>
      </c>
      <c r="BT69" s="282">
        <v>7.5999999999999998E-2</v>
      </c>
      <c r="BU69" s="282">
        <v>8.5999999999999993E-2</v>
      </c>
    </row>
    <row r="70" spans="1:73" hidden="1" x14ac:dyDescent="0.35">
      <c r="A70" s="168">
        <v>44562</v>
      </c>
      <c r="B70" s="164">
        <f t="shared" si="174"/>
        <v>40421.291940947369</v>
      </c>
      <c r="C70" s="249">
        <f t="shared" si="343"/>
        <v>8.5374678043328434E-3</v>
      </c>
      <c r="D70" s="271"/>
      <c r="E70" s="272"/>
      <c r="F70" s="208">
        <f t="shared" ref="F70" si="348">C70*80%</f>
        <v>6.8299742434662749E-3</v>
      </c>
      <c r="G70" s="208">
        <f t="shared" si="340"/>
        <v>5.4639793947730197E-3</v>
      </c>
      <c r="I70" s="183"/>
      <c r="J70" s="168">
        <v>44562</v>
      </c>
      <c r="K70" s="261">
        <f>'2022'!A30</f>
        <v>5.5286649999999993</v>
      </c>
      <c r="L70" s="248">
        <f t="shared" si="344"/>
        <v>-2.157987718127885E-2</v>
      </c>
      <c r="M70" s="183"/>
      <c r="N70" s="183"/>
      <c r="O70" s="168">
        <v>44562</v>
      </c>
      <c r="P70" s="274">
        <f>'2022'!B28</f>
        <v>9779.3157894736851</v>
      </c>
      <c r="Q70" s="248">
        <f t="shared" ref="Q70:Q71" si="349">P70/P69-1</f>
        <v>2.3978936503914916E-2</v>
      </c>
      <c r="R70" s="218">
        <f t="shared" si="342"/>
        <v>54066.560929210522</v>
      </c>
      <c r="S70" s="153">
        <f t="shared" ref="S70:S71" si="350">R70/R69-1</f>
        <v>1.8815968179437537E-3</v>
      </c>
      <c r="U70" s="168">
        <v>44562</v>
      </c>
      <c r="V70" s="275">
        <f>AVERAGE('[2]2021_Base RPA'!$H$67:$H$86)</f>
        <v>3609.0789473684213</v>
      </c>
      <c r="W70" s="248">
        <f t="shared" ref="W70:W71" si="351">V70/V69-1</f>
        <v>5.9386904122569195E-2</v>
      </c>
      <c r="X70" s="276">
        <f t="shared" si="345"/>
        <v>19953.388458552628</v>
      </c>
      <c r="Y70" s="153">
        <f t="shared" ref="Y70:Y71" si="352">X70/X69-1</f>
        <v>3.6525464844148869E-2</v>
      </c>
      <c r="Z70" s="227"/>
      <c r="AA70" s="168">
        <v>44562</v>
      </c>
      <c r="AB70" s="277">
        <f>AVERAGE('[2]2021_Base RPA'!$J$67:$J$86)</f>
        <v>22396.57894736842</v>
      </c>
      <c r="AC70" s="230">
        <f t="shared" ref="AC70:AC71" si="353">AB70/AB69-1</f>
        <v>0.1165192652606839</v>
      </c>
      <c r="AD70" s="278">
        <f t="shared" si="275"/>
        <v>123823.18214605261</v>
      </c>
      <c r="AE70" s="209">
        <f t="shared" ref="AE70:AE71" si="354">AD70/AD69-1</f>
        <v>9.242491664582686E-2</v>
      </c>
      <c r="AG70" s="168">
        <v>44562</v>
      </c>
      <c r="AH70" s="279">
        <f>AVERAGE('[2]2021_Base RPA'!$L$67:$L$86)</f>
        <v>2342.1315789473683</v>
      </c>
      <c r="AI70" s="235">
        <f t="shared" ref="AI70" si="355">AH70/AH69-1</f>
        <v>1.6718272653686306E-2</v>
      </c>
      <c r="AJ70" s="280">
        <f t="shared" si="273"/>
        <v>12948.860885921051</v>
      </c>
      <c r="AK70" s="235">
        <f t="shared" ref="AK70" si="356">AJ70/AJ69-1</f>
        <v>-5.2223827981421334E-3</v>
      </c>
      <c r="AL70" s="255"/>
      <c r="AM70" s="168">
        <v>44562</v>
      </c>
      <c r="AN70" s="281">
        <f>AVERAGE('[2]2021_Base RPA'!$N$67:$N$86)</f>
        <v>2041.1578947368421</v>
      </c>
      <c r="AO70" s="235">
        <f t="shared" ref="AO70" si="357">AN70/AN69-1</f>
        <v>0.13211969228972809</v>
      </c>
      <c r="AP70" s="280">
        <f t="shared" si="274"/>
        <v>11284.878212105261</v>
      </c>
      <c r="AQ70" s="235">
        <f t="shared" ref="AQ70" si="358">AP70/AP69-1</f>
        <v>0.10768868837560852</v>
      </c>
      <c r="AR70" s="252"/>
      <c r="AS70" s="168">
        <v>44562</v>
      </c>
      <c r="AT70" s="200">
        <f>R70*AV70*(1+7.41%)/1000</f>
        <v>43.554669820548767</v>
      </c>
      <c r="AU70" s="128">
        <f>AT70/AT69-1</f>
        <v>1.4251671199013716E-2</v>
      </c>
      <c r="AV70" s="235">
        <v>0.75</v>
      </c>
      <c r="AW70" s="91"/>
      <c r="AX70" s="91"/>
      <c r="AY70" s="91"/>
      <c r="AZ70" s="237"/>
      <c r="BA70" s="238"/>
      <c r="BB70"/>
      <c r="BC70" s="168">
        <v>44562</v>
      </c>
      <c r="BD70" s="229">
        <f>AVERAGE('[2]2021_Base RPA'!$D$67:$D$86)</f>
        <v>6.3090649999999995</v>
      </c>
      <c r="BE70" s="235">
        <f t="shared" ref="BE70" si="359">IFERROR(BD70/BD69-1,"")</f>
        <v>-1.1507615535418125E-2</v>
      </c>
      <c r="BG70" s="168">
        <v>44562</v>
      </c>
      <c r="BH70" s="311">
        <v>6.3550000000000004</v>
      </c>
      <c r="BI70" s="249">
        <f t="shared" si="337"/>
        <v>-2.3547880690737433E-3</v>
      </c>
      <c r="BK70" s="168">
        <v>44562</v>
      </c>
      <c r="BL70" s="310">
        <v>70519</v>
      </c>
      <c r="BM70" s="249">
        <f t="shared" si="338"/>
        <v>1.2156964060167752E-2</v>
      </c>
      <c r="BO70" s="168">
        <v>44562</v>
      </c>
      <c r="BP70" s="310">
        <v>24766</v>
      </c>
      <c r="BQ70" s="249">
        <f t="shared" si="339"/>
        <v>4.9762631400474655E-2</v>
      </c>
      <c r="BS70" s="168">
        <v>44562</v>
      </c>
      <c r="BT70" s="282">
        <v>0.16</v>
      </c>
      <c r="BU70" s="282">
        <v>0.3</v>
      </c>
    </row>
    <row r="71" spans="1:73" hidden="1" x14ac:dyDescent="0.35">
      <c r="A71" s="168">
        <v>44593</v>
      </c>
      <c r="B71" s="164">
        <f t="shared" si="174"/>
        <v>38532.950400000002</v>
      </c>
      <c r="C71" s="249">
        <f t="shared" si="343"/>
        <v>-4.6716506333001395E-2</v>
      </c>
      <c r="D71" s="271"/>
      <c r="E71" s="272"/>
      <c r="F71" s="208">
        <f t="shared" ref="F71:F85" si="360">C71*80%</f>
        <v>-3.737320506640112E-2</v>
      </c>
      <c r="G71" s="208">
        <f t="shared" ref="G71:G85" si="361">C71*64%</f>
        <v>-2.9898564053120892E-2</v>
      </c>
      <c r="I71" s="183"/>
      <c r="J71" s="168">
        <v>44593</v>
      </c>
      <c r="K71" s="261">
        <f>'2022'!C30</f>
        <v>5.1931200000000004</v>
      </c>
      <c r="L71" s="248">
        <f t="shared" si="344"/>
        <v>-6.0691866843080367E-2</v>
      </c>
      <c r="M71" s="183"/>
      <c r="N71" s="183"/>
      <c r="O71" s="168">
        <v>44593</v>
      </c>
      <c r="P71" s="274">
        <f>'2022'!D28</f>
        <v>9938.6</v>
      </c>
      <c r="Q71" s="248">
        <f t="shared" si="349"/>
        <v>1.6287868594832222E-2</v>
      </c>
      <c r="R71" s="218">
        <f t="shared" si="342"/>
        <v>51612.342432000005</v>
      </c>
      <c r="S71" s="153">
        <f t="shared" si="350"/>
        <v>-4.5392539400163301E-2</v>
      </c>
      <c r="U71" s="168">
        <v>44593</v>
      </c>
      <c r="V71" s="275">
        <f>AVERAGE('[2]2021_Base RPA'!$H$87:$H$106)</f>
        <v>3642.1</v>
      </c>
      <c r="W71" s="248">
        <f t="shared" si="351"/>
        <v>9.1494403733274332E-3</v>
      </c>
      <c r="X71" s="276">
        <f t="shared" si="345"/>
        <v>18913.862352</v>
      </c>
      <c r="Y71" s="153">
        <f t="shared" si="352"/>
        <v>-5.2097723086579562E-2</v>
      </c>
      <c r="Z71" s="227"/>
      <c r="AA71" s="168">
        <v>44593</v>
      </c>
      <c r="AB71" s="277">
        <f>AVERAGE('[2]2021_Base RPA'!$J$87:$J$106)</f>
        <v>24167</v>
      </c>
      <c r="AC71" s="230">
        <f t="shared" si="353"/>
        <v>7.9048726896730148E-2</v>
      </c>
      <c r="AD71" s="278">
        <f t="shared" si="275"/>
        <v>125502.13104000001</v>
      </c>
      <c r="AE71" s="209">
        <f t="shared" si="354"/>
        <v>1.3559245246718366E-2</v>
      </c>
      <c r="AG71" s="168">
        <v>44593</v>
      </c>
      <c r="AH71" s="279">
        <f>AVERAGE('[2]2021_Base RPA'!$L$87:$L$106)</f>
        <v>2298.4250000000002</v>
      </c>
      <c r="AI71" s="235">
        <f t="shared" ref="AI71" si="362">AH71/AH70-1</f>
        <v>-1.866102628060351E-2</v>
      </c>
      <c r="AJ71" s="280">
        <f t="shared" si="273"/>
        <v>11935.996836000002</v>
      </c>
      <c r="AK71" s="235">
        <f t="shared" ref="AK71" si="363">AJ71/AJ70-1</f>
        <v>-7.8220320601506188E-2</v>
      </c>
      <c r="AL71" s="255"/>
      <c r="AM71" s="168">
        <v>44593</v>
      </c>
      <c r="AN71" s="281">
        <f>AVERAGE('[2]2021_Base RPA'!$N$87:$N$106)</f>
        <v>2350.1</v>
      </c>
      <c r="AO71" s="235">
        <f t="shared" ref="AO71" si="364">AN71/AN70-1</f>
        <v>0.15135629931411487</v>
      </c>
      <c r="AP71" s="280">
        <f t="shared" si="274"/>
        <v>12204.351312000001</v>
      </c>
      <c r="AQ71" s="235">
        <f t="shared" ref="AQ71" si="365">AP71/AP70-1</f>
        <v>8.1478336107200899E-2</v>
      </c>
      <c r="AR71" s="252"/>
      <c r="AS71" s="168">
        <v>44593</v>
      </c>
      <c r="AT71" s="200">
        <f>R71*AV71*(1+7.41%)/1000</f>
        <v>41.577612754658404</v>
      </c>
      <c r="AU71" s="128">
        <f>AT71/AT70-1</f>
        <v>-4.5392539400163301E-2</v>
      </c>
      <c r="AV71" s="235">
        <v>0.75</v>
      </c>
      <c r="AW71" s="91"/>
      <c r="AX71" s="91"/>
      <c r="AY71" s="91"/>
      <c r="AZ71" s="237"/>
      <c r="BA71" s="238"/>
      <c r="BB71"/>
      <c r="BC71" s="168">
        <v>44593</v>
      </c>
      <c r="BD71" s="229">
        <f>AVERAGE('[2]2021_Base RPA'!$D$87:$D$106)</f>
        <v>5.8911350000000002</v>
      </c>
      <c r="BE71" s="235">
        <f t="shared" ref="BE71:BE77" si="366">IFERROR(BD71/BD70-1,"")</f>
        <v>-6.6242779239078842E-2</v>
      </c>
      <c r="BG71" s="168">
        <v>44593</v>
      </c>
      <c r="BH71" s="311">
        <v>6.3460000000000001</v>
      </c>
      <c r="BI71" s="249">
        <f t="shared" si="337"/>
        <v>-1.4162077104642457E-3</v>
      </c>
      <c r="BK71" s="168">
        <v>44593</v>
      </c>
      <c r="BL71" s="310">
        <v>71313</v>
      </c>
      <c r="BM71" s="249">
        <f t="shared" si="338"/>
        <v>1.1259376905514928E-2</v>
      </c>
      <c r="BO71" s="168">
        <v>44593</v>
      </c>
      <c r="BP71" s="310">
        <v>25148</v>
      </c>
      <c r="BQ71" s="249">
        <f t="shared" si="339"/>
        <v>1.5424372123072017E-2</v>
      </c>
      <c r="BS71" s="168">
        <v>44593</v>
      </c>
      <c r="BT71" s="282">
        <v>-5.3999999999999999E-2</v>
      </c>
      <c r="BU71" s="282">
        <v>-5.8000000000000003E-2</v>
      </c>
    </row>
    <row r="72" spans="1:73" hidden="1" x14ac:dyDescent="0.35">
      <c r="A72" s="184">
        <v>44621</v>
      </c>
      <c r="B72" s="303">
        <f t="shared" si="174"/>
        <v>38367.800833225097</v>
      </c>
      <c r="C72" s="249">
        <f t="shared" si="343"/>
        <v>-4.2859310034796261E-3</v>
      </c>
      <c r="D72" s="271"/>
      <c r="E72" s="272"/>
      <c r="F72" s="208">
        <f t="shared" si="360"/>
        <v>-3.4287448027837011E-3</v>
      </c>
      <c r="G72" s="208">
        <f t="shared" si="361"/>
        <v>-2.7429958422269607E-3</v>
      </c>
      <c r="I72" s="183"/>
      <c r="J72" s="168">
        <v>44621</v>
      </c>
      <c r="K72" s="261">
        <f>'2022'!E30</f>
        <v>4.9598619047619037</v>
      </c>
      <c r="L72" s="248">
        <f t="shared" si="344"/>
        <v>-4.491675432843778E-2</v>
      </c>
      <c r="M72" s="183"/>
      <c r="N72" s="183"/>
      <c r="O72" s="168">
        <v>44621</v>
      </c>
      <c r="P72" s="274">
        <f>'2022'!F28</f>
        <v>10239.022727272728</v>
      </c>
      <c r="Q72" s="248">
        <f t="shared" ref="Q72:Q73" si="367">P72/P71-1</f>
        <v>3.0227871860496247E-2</v>
      </c>
      <c r="R72" s="218">
        <f t="shared" ref="R72:R73" si="368">P72*K72</f>
        <v>50784.138766991331</v>
      </c>
      <c r="S72" s="153">
        <f t="shared" ref="S72:S73" si="369">R72/R71-1</f>
        <v>-1.6046620362170971E-2</v>
      </c>
      <c r="U72" s="168">
        <v>44621</v>
      </c>
      <c r="V72" s="275">
        <f>AVERAGE('[2]2021_Base RPA'!$H$107:$H$129)</f>
        <v>3980.6136363636365</v>
      </c>
      <c r="W72" s="248">
        <f t="shared" ref="W72:W73" si="370">V72/V71-1</f>
        <v>9.2944629846417381E-2</v>
      </c>
      <c r="X72" s="276">
        <f t="shared" si="345"/>
        <v>19743.293932575754</v>
      </c>
      <c r="Y72" s="153">
        <f t="shared" ref="Y72:Y73" si="371">X72/X71-1</f>
        <v>4.3853104413020594E-2</v>
      </c>
      <c r="Z72" s="227"/>
      <c r="AA72" s="168">
        <v>44621</v>
      </c>
      <c r="AB72" s="277">
        <f>AVERAGE('[2]2021_Base RPA'!$J$107:$J$129)</f>
        <v>37687.818181818184</v>
      </c>
      <c r="AC72" s="230">
        <f t="shared" ref="AC72:AC73" si="372">AB72/AB71-1</f>
        <v>0.55947441477296245</v>
      </c>
      <c r="AD72" s="278">
        <f t="shared" si="275"/>
        <v>186926.37367359304</v>
      </c>
      <c r="AE72" s="209">
        <f t="shared" ref="AE72:AE73" si="373">AD72/AD71-1</f>
        <v>0.48942788560312112</v>
      </c>
      <c r="AG72" s="168">
        <v>44621</v>
      </c>
      <c r="AH72" s="279">
        <f>AVERAGE('[2]2021_Base RPA'!$L$107:$L$129)</f>
        <v>2363.7954545454545</v>
      </c>
      <c r="AI72" s="235">
        <f t="shared" ref="AI72:AI73" si="374">AH72/AH71-1</f>
        <v>2.8441412943843947E-2</v>
      </c>
      <c r="AJ72" s="280">
        <f t="shared" si="273"/>
        <v>11724.099025649348</v>
      </c>
      <c r="AK72" s="235">
        <f t="shared" ref="AK72:AK73" si="375">AJ72/AJ71-1</f>
        <v>-1.7752837342546179E-2</v>
      </c>
      <c r="AL72" s="255"/>
      <c r="AM72" s="168">
        <v>44621</v>
      </c>
      <c r="AN72" s="281">
        <f>AVERAGE('[2]2021_Base RPA'!$N$107:$N$129)</f>
        <v>2587.5454545454545</v>
      </c>
      <c r="AO72" s="235">
        <f t="shared" ref="AO72:AO73" si="376">AN72/AN71-1</f>
        <v>0.10103631953766001</v>
      </c>
      <c r="AP72" s="280">
        <f t="shared" si="274"/>
        <v>12833.868126839823</v>
      </c>
      <c r="AQ72" s="235">
        <f t="shared" ref="AQ72:AQ73" si="377">AP72/AP71-1</f>
        <v>5.1581341666299574E-2</v>
      </c>
      <c r="AR72" s="252"/>
      <c r="AS72" s="168">
        <v>44621</v>
      </c>
      <c r="AT72" s="200">
        <f>R72*AV72*(1+8.378%)/1000</f>
        <v>41.279125434667392</v>
      </c>
      <c r="AU72" s="128">
        <f t="shared" ref="AU72:AU73" si="378">AT72/AT71-1</f>
        <v>-7.179039396810194E-3</v>
      </c>
      <c r="AV72" s="235">
        <v>0.75</v>
      </c>
      <c r="AW72" s="91"/>
      <c r="AX72" s="91"/>
      <c r="AY72" s="91"/>
      <c r="AZ72" s="237"/>
      <c r="BA72" s="238"/>
      <c r="BB72"/>
      <c r="BC72" s="168">
        <v>44621</v>
      </c>
      <c r="BD72" s="229">
        <f>AVERAGE('[2]2021_Base RPA'!$D$107:$D$129)</f>
        <v>5.4607380952380948</v>
      </c>
      <c r="BE72" s="235">
        <f t="shared" si="366"/>
        <v>-7.3058401269348816E-2</v>
      </c>
      <c r="BG72" s="184">
        <v>44621</v>
      </c>
      <c r="BH72" s="311">
        <v>6.3460000000000001</v>
      </c>
      <c r="BI72" s="249">
        <f t="shared" si="337"/>
        <v>0</v>
      </c>
      <c r="BK72" s="184">
        <v>44621</v>
      </c>
      <c r="BL72" s="310">
        <v>72966</v>
      </c>
      <c r="BM72" s="249">
        <f t="shared" si="338"/>
        <v>2.3179504438181064E-2</v>
      </c>
      <c r="BO72" s="184">
        <v>44621</v>
      </c>
      <c r="BP72" s="310">
        <v>25844</v>
      </c>
      <c r="BQ72" s="249">
        <f t="shared" si="339"/>
        <v>2.7676157149673974E-2</v>
      </c>
      <c r="BS72" s="168">
        <v>44621</v>
      </c>
      <c r="BT72" s="282">
        <v>-0.08</v>
      </c>
      <c r="BU72" s="282">
        <v>-0.06</v>
      </c>
    </row>
    <row r="73" spans="1:73" hidden="1" x14ac:dyDescent="0.35">
      <c r="A73" s="168">
        <v>44652</v>
      </c>
      <c r="B73" s="164">
        <f t="shared" si="174"/>
        <v>37483.725654263151</v>
      </c>
      <c r="C73" s="249">
        <f t="shared" si="343"/>
        <v>-2.3042112390146974E-2</v>
      </c>
      <c r="D73" s="271"/>
      <c r="E73" s="272"/>
      <c r="F73" s="208">
        <f t="shared" si="360"/>
        <v>-1.8433689912117579E-2</v>
      </c>
      <c r="G73" s="208">
        <f t="shared" si="361"/>
        <v>-1.4746951929694064E-2</v>
      </c>
      <c r="I73" s="183"/>
      <c r="J73" s="168">
        <v>44652</v>
      </c>
      <c r="K73" s="261">
        <f>'2022'!G30</f>
        <v>4.7708449999999996</v>
      </c>
      <c r="L73" s="248">
        <f t="shared" si="344"/>
        <v>-3.810930795884282E-2</v>
      </c>
      <c r="M73" s="183"/>
      <c r="N73" s="183"/>
      <c r="O73" s="168">
        <v>44652</v>
      </c>
      <c r="P73" s="274">
        <f>'2022'!H28</f>
        <v>10181.526315789473</v>
      </c>
      <c r="Q73" s="248">
        <f t="shared" si="367"/>
        <v>-5.6154198515554477E-3</v>
      </c>
      <c r="R73" s="218">
        <f t="shared" si="368"/>
        <v>48574.483916052624</v>
      </c>
      <c r="S73" s="153">
        <f t="shared" si="369"/>
        <v>-4.3510728045957126E-2</v>
      </c>
      <c r="U73" s="168">
        <v>44652</v>
      </c>
      <c r="V73" s="275">
        <f>AVERAGE('[2]2021_Base RPA'!$H$130:$H$150)</f>
        <v>4369.7894736842109</v>
      </c>
      <c r="W73" s="248">
        <f t="shared" si="370"/>
        <v>9.7767799860147608E-2</v>
      </c>
      <c r="X73" s="276">
        <f t="shared" si="345"/>
        <v>20847.588261578949</v>
      </c>
      <c r="Y73" s="153">
        <f t="shared" si="371"/>
        <v>5.5932628707975995E-2</v>
      </c>
      <c r="Z73" s="227"/>
      <c r="AA73" s="168">
        <v>44652</v>
      </c>
      <c r="AB73" s="277">
        <f>AVERAGE('[2]2021_Base RPA'!$J$130:$J$150)</f>
        <v>33276.315789473687</v>
      </c>
      <c r="AC73" s="230">
        <f t="shared" si="372"/>
        <v>-0.11705380160406176</v>
      </c>
      <c r="AD73" s="278">
        <f t="shared" si="275"/>
        <v>158756.14480263158</v>
      </c>
      <c r="AE73" s="209">
        <f t="shared" si="373"/>
        <v>-0.15070227018982207</v>
      </c>
      <c r="AG73" s="168">
        <v>44652</v>
      </c>
      <c r="AH73" s="279">
        <f>AVERAGE('[2]2021_Base RPA'!$L$130:$L$150)</f>
        <v>2395.3684210526317</v>
      </c>
      <c r="AI73" s="235">
        <f t="shared" si="374"/>
        <v>1.3356894500522021E-2</v>
      </c>
      <c r="AJ73" s="280">
        <f t="shared" si="273"/>
        <v>11427.931454736841</v>
      </c>
      <c r="AK73" s="235">
        <f t="shared" si="375"/>
        <v>-2.5261435464214999E-2</v>
      </c>
      <c r="AL73" s="255"/>
      <c r="AM73" s="168">
        <v>44652</v>
      </c>
      <c r="AN73" s="281">
        <f>AVERAGE('[2]2021_Base RPA'!$N$130:$N$150)</f>
        <v>2325.3684210526317</v>
      </c>
      <c r="AO73" s="235">
        <f t="shared" si="376"/>
        <v>-0.10132267745568113</v>
      </c>
      <c r="AP73" s="280">
        <f t="shared" si="274"/>
        <v>11093.972304736841</v>
      </c>
      <c r="AQ73" s="235">
        <f t="shared" si="377"/>
        <v>-0.13557064829615084</v>
      </c>
      <c r="AR73" s="252"/>
      <c r="AS73" s="168">
        <v>44652</v>
      </c>
      <c r="AT73" s="200">
        <f>R73*AV73*(1+8.37%)/1000</f>
        <v>39.480126164869667</v>
      </c>
      <c r="AU73" s="128">
        <f t="shared" si="378"/>
        <v>-4.3581331989337002E-2</v>
      </c>
      <c r="AV73" s="235">
        <v>0.75</v>
      </c>
      <c r="AW73" s="91"/>
      <c r="AX73" s="91"/>
      <c r="AY73" s="91"/>
      <c r="AZ73" s="237"/>
      <c r="BA73" s="238"/>
      <c r="BB73"/>
      <c r="BC73" s="168">
        <v>44652</v>
      </c>
      <c r="BD73" s="229">
        <f>AVERAGE('[2]2021_Base RPA'!$D$130:$D$150)</f>
        <v>5.1358421052631584</v>
      </c>
      <c r="BE73" s="235">
        <f t="shared" si="366"/>
        <v>-5.9496717166907187E-2</v>
      </c>
      <c r="BG73" s="168">
        <v>44652</v>
      </c>
      <c r="BH73" s="311">
        <v>6.4260000000000002</v>
      </c>
      <c r="BI73" s="249">
        <f t="shared" si="337"/>
        <v>1.2606366214938491E-2</v>
      </c>
      <c r="BK73" s="168">
        <v>44652</v>
      </c>
      <c r="BL73" s="310">
        <v>74305</v>
      </c>
      <c r="BM73" s="249">
        <f t="shared" si="338"/>
        <v>1.8351012800482458E-2</v>
      </c>
      <c r="BO73" s="168">
        <v>44652</v>
      </c>
      <c r="BP73" s="310">
        <v>27836</v>
      </c>
      <c r="BQ73" s="249">
        <f t="shared" si="339"/>
        <v>7.707785172573911E-2</v>
      </c>
      <c r="BS73" s="168">
        <v>44652</v>
      </c>
      <c r="BT73" s="282">
        <v>0.17199999999999999</v>
      </c>
      <c r="BU73" s="282">
        <v>6.4000000000000001E-2</v>
      </c>
    </row>
    <row r="74" spans="1:73" hidden="1" x14ac:dyDescent="0.35">
      <c r="A74" s="168">
        <v>44682</v>
      </c>
      <c r="B74" s="164">
        <f t="shared" si="174"/>
        <v>35251.684483197278</v>
      </c>
      <c r="C74" s="249">
        <f t="shared" si="343"/>
        <v>-5.9546940228232481E-2</v>
      </c>
      <c r="D74" s="271"/>
      <c r="E74" s="272"/>
      <c r="F74" s="208">
        <f t="shared" si="360"/>
        <v>-4.7637552182585988E-2</v>
      </c>
      <c r="G74" s="208">
        <f t="shared" si="361"/>
        <v>-3.8110041746068787E-2</v>
      </c>
      <c r="I74" s="183"/>
      <c r="J74" s="168">
        <v>44682</v>
      </c>
      <c r="K74" s="261">
        <f>'2022'!I30</f>
        <v>4.9510428571428573</v>
      </c>
      <c r="L74" s="248">
        <f t="shared" si="344"/>
        <v>3.7770637516594707E-2</v>
      </c>
      <c r="M74" s="183"/>
      <c r="N74" s="183"/>
      <c r="O74" s="168">
        <v>44682</v>
      </c>
      <c r="P74" s="274">
        <f>'2022'!J28</f>
        <v>9361.3571428571431</v>
      </c>
      <c r="Q74" s="248">
        <f t="shared" ref="Q74:Q77" si="379">P74/P73-1</f>
        <v>-8.0554638616453289E-2</v>
      </c>
      <c r="R74" s="218">
        <f t="shared" ref="R74" si="380">P74*K74</f>
        <v>46348.480415306127</v>
      </c>
      <c r="S74" s="153">
        <f t="shared" ref="S74:S77" si="381">R74/R73-1</f>
        <v>-4.5826601155321001E-2</v>
      </c>
      <c r="U74" s="168">
        <v>44682</v>
      </c>
      <c r="V74" s="275">
        <f>AVERAGE('[2]2021_Base RPA'!$H$151:$H$172)</f>
        <v>3758.0952380952381</v>
      </c>
      <c r="W74" s="248">
        <f t="shared" ref="W74" si="382">V74/V73-1</f>
        <v>-0.13998254132669863</v>
      </c>
      <c r="X74" s="276">
        <f t="shared" si="345"/>
        <v>18606.490585034015</v>
      </c>
      <c r="Y74" s="153">
        <f t="shared" ref="Y74" si="383">X74/X73-1</f>
        <v>-0.10749913363720653</v>
      </c>
      <c r="Z74" s="227"/>
      <c r="AA74" s="168">
        <v>44682</v>
      </c>
      <c r="AB74" s="277">
        <f>AVERAGE('[2]2021_Base RPA'!$J$151:$J$172)</f>
        <v>27928.571428571428</v>
      </c>
      <c r="AC74" s="230">
        <f t="shared" ref="AC74" si="384">AB74/AB73-1</f>
        <v>-0.16070722476416432</v>
      </c>
      <c r="AD74" s="278">
        <f t="shared" si="275"/>
        <v>138275.55408163264</v>
      </c>
      <c r="AE74" s="209">
        <f t="shared" ref="AE74" si="385">AD74/AD73-1</f>
        <v>-0.12900660158043498</v>
      </c>
      <c r="AG74" s="168">
        <v>44682</v>
      </c>
      <c r="AH74" s="279">
        <f>AVERAGE('[2]2021_Base RPA'!$L$151:$L$172)</f>
        <v>2143.4047619047619</v>
      </c>
      <c r="AI74" s="235">
        <f t="shared" ref="AI74" si="386">AH74/AH73-1</f>
        <v>-0.10518785207878201</v>
      </c>
      <c r="AJ74" s="280">
        <f t="shared" si="273"/>
        <v>10612.088836394558</v>
      </c>
      <c r="AK74" s="235">
        <f t="shared" ref="AK74" si="387">AJ74/AJ73-1</f>
        <v>-7.1390226794204259E-2</v>
      </c>
      <c r="AL74" s="255"/>
      <c r="AM74" s="168">
        <v>44682</v>
      </c>
      <c r="AN74" s="281">
        <f>AVERAGE('[2]2021_Base RPA'!$N$151:$N$172)</f>
        <v>2048.1904761904761</v>
      </c>
      <c r="AO74" s="235">
        <f t="shared" ref="AO74" si="388">AN74/AN73-1</f>
        <v>-0.1191974322661028</v>
      </c>
      <c r="AP74" s="280">
        <f t="shared" si="274"/>
        <v>10140.678827210884</v>
      </c>
      <c r="AQ74" s="235">
        <f t="shared" ref="AQ74" si="389">AP74/AP73-1</f>
        <v>-8.592895775653997E-2</v>
      </c>
      <c r="AR74" s="252"/>
      <c r="AS74" s="168">
        <v>44682</v>
      </c>
      <c r="AT74" s="200">
        <f>R74*AV74*(1+8.37%)/1000</f>
        <v>37.670886169550435</v>
      </c>
      <c r="AU74" s="128">
        <f t="shared" ref="AU74" si="390">AT74/AT73-1</f>
        <v>-4.582660115532089E-2</v>
      </c>
      <c r="AV74" s="235">
        <v>0.75</v>
      </c>
      <c r="AW74" s="91"/>
      <c r="AX74" s="91"/>
      <c r="AY74" s="91"/>
      <c r="AZ74" s="237"/>
      <c r="BA74" s="238"/>
      <c r="BB74"/>
      <c r="BC74" s="168">
        <v>44682</v>
      </c>
      <c r="BD74" s="229">
        <f>AVERAGE('[2]2021_Base RPA'!$D$151:$D$172)</f>
        <v>5.2380318181818186</v>
      </c>
      <c r="BE74" s="235">
        <f t="shared" si="366"/>
        <v>1.9897362657223638E-2</v>
      </c>
      <c r="BG74" s="168">
        <v>44682</v>
      </c>
      <c r="BH74" s="311">
        <v>6.694</v>
      </c>
      <c r="BI74" s="249">
        <f t="shared" si="337"/>
        <v>4.1705571117335749E-2</v>
      </c>
      <c r="BK74" s="168">
        <v>44682</v>
      </c>
      <c r="BL74" s="310">
        <v>72254</v>
      </c>
      <c r="BM74" s="249">
        <f t="shared" si="338"/>
        <v>-2.7602449364107384E-2</v>
      </c>
      <c r="BO74" s="168">
        <v>44682</v>
      </c>
      <c r="BP74" s="310">
        <v>25957</v>
      </c>
      <c r="BQ74" s="249">
        <f t="shared" si="339"/>
        <v>-6.7502514729127716E-2</v>
      </c>
      <c r="BS74" s="168">
        <v>44682</v>
      </c>
      <c r="BT74" s="282">
        <v>7.0000000000000007E-2</v>
      </c>
      <c r="BU74" s="282">
        <v>-0.03</v>
      </c>
    </row>
    <row r="75" spans="1:73" hidden="1" x14ac:dyDescent="0.35">
      <c r="A75" s="168">
        <v>44713</v>
      </c>
      <c r="B75" s="164">
        <f t="shared" ref="B75:B106" si="391">(($P75*0.6)+($V75*0.4))*($K75)</f>
        <v>34712.017697523806</v>
      </c>
      <c r="C75" s="249">
        <f t="shared" si="343"/>
        <v>-1.5308964481703047E-2</v>
      </c>
      <c r="D75" s="271"/>
      <c r="E75" s="272"/>
      <c r="F75" s="208">
        <f t="shared" si="360"/>
        <v>-1.2247171585362438E-2</v>
      </c>
      <c r="G75" s="208">
        <f t="shared" si="361"/>
        <v>-9.7977372682899501E-3</v>
      </c>
      <c r="I75" s="183"/>
      <c r="J75" s="168">
        <v>44713</v>
      </c>
      <c r="K75" s="261">
        <f>'2022'!K30</f>
        <v>5.0486095238095228</v>
      </c>
      <c r="L75" s="248">
        <f t="shared" si="344"/>
        <v>1.970628602535851E-2</v>
      </c>
      <c r="M75" s="183"/>
      <c r="N75" s="183"/>
      <c r="O75" s="168">
        <v>44713</v>
      </c>
      <c r="P75" s="274">
        <f>'2022'!L28</f>
        <v>9030.85</v>
      </c>
      <c r="Q75" s="248">
        <f t="shared" si="379"/>
        <v>-3.5305473107531737E-2</v>
      </c>
      <c r="R75" s="218">
        <f t="shared" ref="R75:R81" si="392">P75*K75</f>
        <v>45593.235318095234</v>
      </c>
      <c r="S75" s="153">
        <f t="shared" si="381"/>
        <v>-1.6294926833490764E-2</v>
      </c>
      <c r="U75" s="168">
        <v>44713</v>
      </c>
      <c r="V75" s="275">
        <f>AVERAGE('[2]2021_Base RPA'!$H$173:$H$194)</f>
        <v>3642.625</v>
      </c>
      <c r="W75" s="248">
        <f t="shared" ref="W75:W77" si="393">V75/V74-1</f>
        <v>-3.0725734921439374E-2</v>
      </c>
      <c r="X75" s="276">
        <f t="shared" si="345"/>
        <v>18390.191266666661</v>
      </c>
      <c r="Y75" s="153">
        <f t="shared" ref="Y75:Y77" si="394">X75/X74-1</f>
        <v>-1.1624939016782299E-2</v>
      </c>
      <c r="Z75" s="227"/>
      <c r="AA75" s="168">
        <v>44713</v>
      </c>
      <c r="AB75" s="277">
        <f>AVERAGE('[2]2021_Base RPA'!$J$173:$J$194)</f>
        <v>25812.25</v>
      </c>
      <c r="AC75" s="230">
        <f t="shared" ref="AC75:AC77" si="395">AB75/AB74-1</f>
        <v>-7.5776214833759514E-2</v>
      </c>
      <c r="AD75" s="278">
        <f t="shared" si="275"/>
        <v>130315.97118095236</v>
      </c>
      <c r="AE75" s="209">
        <f t="shared" ref="AE75:AE77" si="396">AD75/AD74-1</f>
        <v>-5.7563196571833952E-2</v>
      </c>
      <c r="AG75" s="168">
        <v>44713</v>
      </c>
      <c r="AH75" s="279">
        <f>AVERAGE('[2]2021_Base RPA'!$L$173:$L$194)</f>
        <v>2066.0749999999998</v>
      </c>
      <c r="AI75" s="235">
        <f t="shared" ref="AI75:AI77" si="397">AH75/AH74-1</f>
        <v>-3.6078002288304156E-2</v>
      </c>
      <c r="AJ75" s="280">
        <f t="shared" si="273"/>
        <v>10430.805921904759</v>
      </c>
      <c r="AK75" s="235">
        <f t="shared" ref="AK75:AK77" si="398">AJ75/AJ74-1</f>
        <v>-1.7082679695262448E-2</v>
      </c>
      <c r="AL75" s="255"/>
      <c r="AM75" s="168">
        <v>44713</v>
      </c>
      <c r="AN75" s="281">
        <f>AVERAGE('[2]2021_Base RPA'!$N$173:$N$194)</f>
        <v>1902.95</v>
      </c>
      <c r="AO75" s="235">
        <f t="shared" ref="AO75:AO77" si="399">AN75/AN74-1</f>
        <v>-7.0911606063424171E-2</v>
      </c>
      <c r="AP75" s="280">
        <f t="shared" si="274"/>
        <v>9607.2514933333314</v>
      </c>
      <c r="AQ75" s="235">
        <f t="shared" ref="AQ75:AQ77" si="400">AP75/AP74-1</f>
        <v>-5.2602724429668957E-2</v>
      </c>
      <c r="AR75" s="252"/>
      <c r="AS75" s="168">
        <v>44713</v>
      </c>
      <c r="AT75" s="200">
        <f>R75*AV75*(1+8.37%)/1000</f>
        <v>37.057041835664847</v>
      </c>
      <c r="AU75" s="128">
        <f t="shared" ref="AU75:AU77" si="401">AT75/AT74-1</f>
        <v>-1.6294926833490875E-2</v>
      </c>
      <c r="AV75" s="235">
        <v>0.75</v>
      </c>
      <c r="AW75" s="91"/>
      <c r="AX75" s="91"/>
      <c r="AY75" s="91"/>
      <c r="AZ75" s="237"/>
      <c r="BA75" s="238"/>
      <c r="BB75"/>
      <c r="BC75" s="168">
        <v>44713</v>
      </c>
      <c r="BD75" s="229">
        <f>AVERAGE('[2]2021_Base RPA'!$D$173:$D$194)</f>
        <v>5.3325952380952391</v>
      </c>
      <c r="BE75" s="235">
        <f t="shared" si="366"/>
        <v>1.8053235107350796E-2</v>
      </c>
      <c r="BG75" s="168">
        <v>44713</v>
      </c>
      <c r="BH75" s="311">
        <v>6.6970000000000001</v>
      </c>
      <c r="BI75" s="249">
        <f t="shared" si="337"/>
        <v>4.4816253361212866E-4</v>
      </c>
      <c r="BK75" s="168">
        <v>44713</v>
      </c>
      <c r="BL75" s="310">
        <v>69474</v>
      </c>
      <c r="BM75" s="249">
        <f t="shared" si="338"/>
        <v>-3.8475378525756332E-2</v>
      </c>
      <c r="BO75" s="168">
        <v>44713</v>
      </c>
      <c r="BP75" s="310">
        <v>25559</v>
      </c>
      <c r="BQ75" s="249">
        <f t="shared" si="339"/>
        <v>-1.5333050814809068E-2</v>
      </c>
      <c r="BS75" s="168">
        <v>44713</v>
      </c>
      <c r="BT75" s="282">
        <v>0.1</v>
      </c>
      <c r="BU75" s="282">
        <v>-0.09</v>
      </c>
    </row>
    <row r="76" spans="1:73" hidden="1" x14ac:dyDescent="0.35">
      <c r="A76" s="168">
        <v>44743</v>
      </c>
      <c r="B76" s="164">
        <f t="shared" si="391"/>
        <v>30892.023585487521</v>
      </c>
      <c r="C76" s="249">
        <f t="shared" si="343"/>
        <v>-0.11004817251832599</v>
      </c>
      <c r="D76" s="271"/>
      <c r="E76" s="272"/>
      <c r="F76" s="208">
        <f t="shared" si="360"/>
        <v>-8.80385380146608E-2</v>
      </c>
      <c r="G76" s="208">
        <f t="shared" si="361"/>
        <v>-7.0430830411728637E-2</v>
      </c>
      <c r="I76" s="183"/>
      <c r="J76" s="168">
        <v>44743</v>
      </c>
      <c r="K76" s="261">
        <f>'2022'!A68</f>
        <v>5.3674761904761894</v>
      </c>
      <c r="L76" s="248">
        <f t="shared" si="344"/>
        <v>6.3159304589288201E-2</v>
      </c>
      <c r="M76" s="183"/>
      <c r="N76" s="183"/>
      <c r="O76" s="168">
        <v>44743</v>
      </c>
      <c r="P76" s="274">
        <f>'2022'!B65</f>
        <v>7528.3809523809523</v>
      </c>
      <c r="Q76" s="248">
        <f t="shared" si="379"/>
        <v>-0.16637072342238524</v>
      </c>
      <c r="R76" s="218">
        <f t="shared" si="392"/>
        <v>40408.405514739221</v>
      </c>
      <c r="S76" s="153">
        <f t="shared" si="381"/>
        <v>-0.11371927802847182</v>
      </c>
      <c r="U76" s="168">
        <v>44743</v>
      </c>
      <c r="V76" s="275">
        <f>AVERAGE('[2]2021_Base RPA'!$H$195:$H$215)</f>
        <v>3095.9523809523807</v>
      </c>
      <c r="W76" s="248">
        <f t="shared" si="393"/>
        <v>-0.1500765571662247</v>
      </c>
      <c r="X76" s="276">
        <f t="shared" si="345"/>
        <v>16617.450691609974</v>
      </c>
      <c r="Y76" s="153">
        <f t="shared" si="394"/>
        <v>-9.6395983562709731E-2</v>
      </c>
      <c r="Z76" s="227"/>
      <c r="AA76" s="168">
        <v>44743</v>
      </c>
      <c r="AB76" s="277">
        <f>AVERAGE('[2]2021_Base RPA'!$J$195:$J$215)</f>
        <v>21458.571428571428</v>
      </c>
      <c r="AC76" s="230">
        <f t="shared" si="395"/>
        <v>-0.16866714724321097</v>
      </c>
      <c r="AD76" s="278">
        <f t="shared" si="275"/>
        <v>115178.37122448976</v>
      </c>
      <c r="AE76" s="209">
        <f t="shared" si="396"/>
        <v>-0.11616074238086316</v>
      </c>
      <c r="AG76" s="168">
        <v>44743</v>
      </c>
      <c r="AH76" s="279">
        <f>AVERAGE('[2]2021_Base RPA'!$L$195:$L$215)</f>
        <v>1974.8095238095239</v>
      </c>
      <c r="AI76" s="235">
        <f t="shared" si="397"/>
        <v>-4.4173360691395991E-2</v>
      </c>
      <c r="AJ76" s="280">
        <f t="shared" si="273"/>
        <v>10599.743099773241</v>
      </c>
      <c r="AK76" s="235">
        <f t="shared" si="398"/>
        <v>1.619598515525178E-2</v>
      </c>
      <c r="AL76" s="255"/>
      <c r="AM76" s="168">
        <v>44743</v>
      </c>
      <c r="AN76" s="281">
        <f>AVERAGE('[2]2021_Base RPA'!$N$195:$N$215)</f>
        <v>1973.0952380952381</v>
      </c>
      <c r="AO76" s="235">
        <f t="shared" si="399"/>
        <v>3.6861314325251859E-2</v>
      </c>
      <c r="AP76" s="280">
        <f t="shared" si="274"/>
        <v>10590.541712018139</v>
      </c>
      <c r="AQ76" s="235">
        <f t="shared" si="400"/>
        <v>0.10234875389357012</v>
      </c>
      <c r="AR76" s="252"/>
      <c r="AS76" s="168">
        <v>44743</v>
      </c>
      <c r="AT76" s="200">
        <f>R76*AV76*(1+8.7%)/1000</f>
        <v>32.94295259589115</v>
      </c>
      <c r="AU76" s="128">
        <f t="shared" si="401"/>
        <v>-0.11102044404996647</v>
      </c>
      <c r="AV76" s="235">
        <v>0.75</v>
      </c>
      <c r="AW76" s="91"/>
      <c r="AX76" s="91"/>
      <c r="AY76" s="91"/>
      <c r="AZ76" s="237"/>
      <c r="BA76" s="238"/>
      <c r="BB76"/>
      <c r="BC76" s="168">
        <v>44743</v>
      </c>
      <c r="BD76" s="229">
        <f>AVERAGE('[2]2021_Base RPA'!$D$194:$D$215)</f>
        <v>5.4640590909090925</v>
      </c>
      <c r="BE76" s="235">
        <f t="shared" si="366"/>
        <v>2.4652884185676793E-2</v>
      </c>
      <c r="BG76" s="168">
        <v>44743</v>
      </c>
      <c r="BH76" s="311">
        <v>6.734</v>
      </c>
      <c r="BI76" s="249">
        <f t="shared" si="337"/>
        <v>5.5248618784531356E-3</v>
      </c>
      <c r="BK76" s="168">
        <v>44743</v>
      </c>
      <c r="BL76" s="310">
        <v>58343</v>
      </c>
      <c r="BM76" s="249">
        <f t="shared" si="338"/>
        <v>-0.16021821112934331</v>
      </c>
      <c r="BO76" s="168">
        <v>44743</v>
      </c>
      <c r="BP76" s="310">
        <v>23266</v>
      </c>
      <c r="BQ76" s="249">
        <f t="shared" si="339"/>
        <v>-8.9713995070229702E-2</v>
      </c>
      <c r="BS76" s="168">
        <v>44743</v>
      </c>
      <c r="BT76" s="282">
        <v>-0.15</v>
      </c>
      <c r="BU76" s="282">
        <v>-0.14000000000000001</v>
      </c>
    </row>
    <row r="77" spans="1:73" hidden="1" x14ac:dyDescent="0.35">
      <c r="A77" s="168">
        <v>44774</v>
      </c>
      <c r="B77" s="164">
        <f t="shared" si="391"/>
        <v>31899.346350197622</v>
      </c>
      <c r="C77" s="249">
        <f t="shared" si="343"/>
        <v>3.2607859498829495E-2</v>
      </c>
      <c r="D77" s="271"/>
      <c r="E77" s="272"/>
      <c r="F77" s="208">
        <f t="shared" si="360"/>
        <v>2.6086287599063597E-2</v>
      </c>
      <c r="G77" s="208">
        <f t="shared" si="361"/>
        <v>2.0869030079250877E-2</v>
      </c>
      <c r="I77" s="183"/>
      <c r="J77" s="168">
        <v>44774</v>
      </c>
      <c r="K77" s="261">
        <f>'2022'!C68</f>
        <v>5.142695652173912</v>
      </c>
      <c r="L77" s="248">
        <f t="shared" si="344"/>
        <v>-4.1878255315061841E-2</v>
      </c>
      <c r="M77" s="183"/>
      <c r="N77" s="183"/>
      <c r="O77" s="168">
        <v>44774</v>
      </c>
      <c r="P77" s="274">
        <f>'2022'!D65</f>
        <v>7959.5</v>
      </c>
      <c r="Q77" s="248">
        <f t="shared" si="379"/>
        <v>5.7265838477886799E-2</v>
      </c>
      <c r="R77" s="218">
        <f t="shared" si="392"/>
        <v>40933.286043478256</v>
      </c>
      <c r="S77" s="153">
        <f t="shared" si="381"/>
        <v>1.2989389758216952E-2</v>
      </c>
      <c r="U77" s="168">
        <v>44774</v>
      </c>
      <c r="V77" s="275">
        <f>AVERAGE('[2]2021_Base RPA'!$H$216:$H$238)</f>
        <v>3567.8636363636365</v>
      </c>
      <c r="W77" s="248">
        <f t="shared" si="393"/>
        <v>0.15242846056504455</v>
      </c>
      <c r="X77" s="276">
        <f t="shared" si="345"/>
        <v>18348.436810276678</v>
      </c>
      <c r="Y77" s="153">
        <f t="shared" si="394"/>
        <v>0.10416676726115792</v>
      </c>
      <c r="Z77" s="227"/>
      <c r="AA77" s="168">
        <v>44774</v>
      </c>
      <c r="AB77" s="277">
        <f>AVERAGE('[2]2021_Base RPA'!$J$216:$J$238)</f>
        <v>22040.68181818182</v>
      </c>
      <c r="AC77" s="230">
        <f t="shared" si="395"/>
        <v>2.7127173472290433E-2</v>
      </c>
      <c r="AD77" s="278">
        <f t="shared" si="275"/>
        <v>113348.51855731224</v>
      </c>
      <c r="AE77" s="209">
        <f t="shared" si="396"/>
        <v>-1.5887120539419874E-2</v>
      </c>
      <c r="AG77" s="168">
        <v>44774</v>
      </c>
      <c r="AH77" s="279">
        <f>AVERAGE('[2]2021_Base RPA'!$L$216:$L$238)</f>
        <v>2076.568181818182</v>
      </c>
      <c r="AI77" s="235">
        <f t="shared" si="397"/>
        <v>5.1528340724405597E-2</v>
      </c>
      <c r="AJ77" s="280">
        <f t="shared" si="273"/>
        <v>10679.158160079051</v>
      </c>
      <c r="AK77" s="235">
        <f t="shared" si="398"/>
        <v>7.4921684005255784E-3</v>
      </c>
      <c r="AL77" s="255"/>
      <c r="AM77" s="168">
        <v>44774</v>
      </c>
      <c r="AN77" s="281">
        <f>AVERAGE('[2]2021_Base RPA'!$N$216:$N$238)</f>
        <v>2134.7272727272725</v>
      </c>
      <c r="AO77" s="235">
        <f t="shared" si="399"/>
        <v>8.191800958785378E-2</v>
      </c>
      <c r="AP77" s="280">
        <f t="shared" si="274"/>
        <v>10978.252664031617</v>
      </c>
      <c r="AQ77" s="235">
        <f t="shared" si="400"/>
        <v>3.6609170952370151E-2</v>
      </c>
      <c r="AR77" s="252"/>
      <c r="AS77" s="168">
        <v>44774</v>
      </c>
      <c r="AT77" s="200">
        <f>R77*AV77*(1+8.7%)/1000</f>
        <v>33.370861446945646</v>
      </c>
      <c r="AU77" s="128">
        <f t="shared" si="401"/>
        <v>1.2989389758216952E-2</v>
      </c>
      <c r="AV77" s="235">
        <v>0.75</v>
      </c>
      <c r="AW77" s="91"/>
      <c r="AX77" s="91"/>
      <c r="AY77" s="91"/>
      <c r="AZ77" s="237"/>
      <c r="BA77" s="238"/>
      <c r="BB77"/>
      <c r="BC77" s="168">
        <v>44774</v>
      </c>
      <c r="BD77" s="229">
        <f>AVERAGE('[2]2021_Base RPA'!$D$216:$D$238)</f>
        <v>5.2078565217391297</v>
      </c>
      <c r="BE77" s="235">
        <f t="shared" si="366"/>
        <v>-4.6888689325527921E-2</v>
      </c>
      <c r="BG77" s="168">
        <v>44774</v>
      </c>
      <c r="BH77" s="311">
        <v>6.8010000000000002</v>
      </c>
      <c r="BI77" s="249">
        <f t="shared" si="337"/>
        <v>9.9495099495099382E-3</v>
      </c>
      <c r="BK77" s="168">
        <v>44774</v>
      </c>
      <c r="BL77" s="310">
        <v>62325</v>
      </c>
      <c r="BM77" s="249">
        <f t="shared" si="338"/>
        <v>6.8251546886515913E-2</v>
      </c>
      <c r="BO77" s="168">
        <v>44774</v>
      </c>
      <c r="BP77" s="310">
        <v>25208</v>
      </c>
      <c r="BQ77" s="249">
        <f t="shared" si="339"/>
        <v>8.3469440385111282E-2</v>
      </c>
      <c r="BS77" s="168">
        <v>44774</v>
      </c>
      <c r="BT77" s="282">
        <v>-0.11</v>
      </c>
      <c r="BU77" s="282">
        <v>-0.04</v>
      </c>
    </row>
    <row r="78" spans="1:73" hidden="1" x14ac:dyDescent="0.35">
      <c r="A78" s="168">
        <v>44805</v>
      </c>
      <c r="B78" s="164">
        <f t="shared" si="391"/>
        <v>30861.827513961041</v>
      </c>
      <c r="C78" s="249">
        <f t="shared" ref="C78:C83" si="402">(B78/B77-1)</f>
        <v>-3.2524767901087492E-2</v>
      </c>
      <c r="D78" s="271"/>
      <c r="E78" s="272"/>
      <c r="F78" s="208">
        <f t="shared" si="360"/>
        <v>-2.6019814320869996E-2</v>
      </c>
      <c r="G78" s="208">
        <f t="shared" si="361"/>
        <v>-2.0815851456695997E-2</v>
      </c>
      <c r="I78" s="183"/>
      <c r="J78" s="168">
        <v>44805</v>
      </c>
      <c r="K78" s="261">
        <f>'2022'!E68</f>
        <v>5.2363571428571438</v>
      </c>
      <c r="L78" s="248">
        <f t="shared" ref="L78:L95" si="403">K78/K77-1</f>
        <v>1.8212528412728357E-2</v>
      </c>
      <c r="M78" s="183"/>
      <c r="N78" s="183"/>
      <c r="O78" s="168">
        <v>44805</v>
      </c>
      <c r="P78" s="274">
        <f>'2022'!F65</f>
        <v>7732.931818181818</v>
      </c>
      <c r="Q78" s="248">
        <f t="shared" ref="Q78:Q83" si="404">P78/P77-1</f>
        <v>-2.846512743491203E-2</v>
      </c>
      <c r="R78" s="218">
        <f t="shared" si="392"/>
        <v>40492.392761363641</v>
      </c>
      <c r="S78" s="153">
        <f t="shared" ref="S78:S83" si="405">R78/R77-1</f>
        <v>-1.0771020964364109E-2</v>
      </c>
      <c r="U78" s="168">
        <v>44805</v>
      </c>
      <c r="V78" s="275">
        <f>AVERAGE('[2]2021_Base RPA'!$H$239:$H$260)</f>
        <v>3135</v>
      </c>
      <c r="W78" s="248">
        <f t="shared" ref="W78:W83" si="406">V78/V77-1</f>
        <v>-0.12132292051520521</v>
      </c>
      <c r="X78" s="276">
        <f t="shared" si="345"/>
        <v>16415.979642857146</v>
      </c>
      <c r="Y78" s="153">
        <f t="shared" ref="Y78:Y83" si="407">X78/X77-1</f>
        <v>-0.10531998923947528</v>
      </c>
      <c r="Z78" s="227"/>
      <c r="AA78" s="168">
        <v>44805</v>
      </c>
      <c r="AB78" s="277">
        <f>AVERAGE('[2]2021_Base RPA'!$J$239:$J$260)</f>
        <v>22663.409090909092</v>
      </c>
      <c r="AC78" s="230">
        <f t="shared" ref="AC78:AC83" si="408">AB78/AB77-1</f>
        <v>2.8253539426061236E-2</v>
      </c>
      <c r="AD78" s="278">
        <f t="shared" si="275"/>
        <v>118673.70407467535</v>
      </c>
      <c r="AE78" s="209">
        <f t="shared" ref="AE78:AE83" si="409">AD78/AD77-1</f>
        <v>4.6980636228346917E-2</v>
      </c>
      <c r="AG78" s="168">
        <v>44805</v>
      </c>
      <c r="AH78" s="279">
        <f>AVERAGE('[2]2021_Base RPA'!$L$239:$L$260)</f>
        <v>1872.8636363636363</v>
      </c>
      <c r="AI78" s="235">
        <f t="shared" ref="AI78:AI83" si="410">AH78/AH77-1</f>
        <v>-9.8096728649760934E-2</v>
      </c>
      <c r="AJ78" s="280">
        <f t="shared" si="273"/>
        <v>9806.982879870131</v>
      </c>
      <c r="AK78" s="235">
        <f t="shared" ref="AK78:AK83" si="411">AJ78/AJ77-1</f>
        <v>-8.1670789694762158E-2</v>
      </c>
      <c r="AL78" s="255"/>
      <c r="AM78" s="168">
        <v>44805</v>
      </c>
      <c r="AN78" s="281">
        <f>AVERAGE('[2]2021_Base RPA'!$N$239:$N$260)</f>
        <v>2113.9545454545455</v>
      </c>
      <c r="AO78" s="235">
        <f t="shared" ref="AO78:AO83" si="412">AN78/AN77-1</f>
        <v>-9.7308576782214606E-3</v>
      </c>
      <c r="AP78" s="280">
        <f t="shared" si="274"/>
        <v>11069.420983766237</v>
      </c>
      <c r="AQ78" s="235">
        <f t="shared" ref="AQ78:AQ83" si="413">AP78/AP77-1</f>
        <v>8.3044472125619606E-3</v>
      </c>
      <c r="AR78" s="252"/>
      <c r="AS78" s="168">
        <v>44805</v>
      </c>
      <c r="AT78" s="200">
        <f>R78*AV78*(1+8.7%)/1000</f>
        <v>33.011423198701706</v>
      </c>
      <c r="AU78" s="128">
        <f t="shared" ref="AU78:AU84" si="414">AT78/AT77-1</f>
        <v>-1.0771020964364109E-2</v>
      </c>
      <c r="AV78" s="235">
        <v>0.75</v>
      </c>
      <c r="AW78" s="91"/>
      <c r="AX78" s="91"/>
      <c r="AY78" s="91"/>
      <c r="AZ78" s="237"/>
      <c r="BA78" s="238"/>
      <c r="BB78"/>
      <c r="BC78" s="168">
        <v>44805</v>
      </c>
      <c r="BD78" s="229">
        <f>AVERAGE('[2]2021_Base RPA'!$D$239:$D$260)</f>
        <v>5.1809571428571433</v>
      </c>
      <c r="BE78" s="235">
        <f>IFERROR(BD78/BD77-1,"")</f>
        <v>-5.165153603925221E-3</v>
      </c>
      <c r="BG78" s="168">
        <v>44805</v>
      </c>
      <c r="BH78" s="311">
        <v>7.0110000000000001</v>
      </c>
      <c r="BI78" s="249">
        <f t="shared" si="337"/>
        <v>3.0877812086457901E-2</v>
      </c>
      <c r="BK78" s="168">
        <v>44805</v>
      </c>
      <c r="BL78" s="310">
        <v>62572</v>
      </c>
      <c r="BM78" s="249">
        <f t="shared" si="338"/>
        <v>3.9630966706778459E-3</v>
      </c>
      <c r="BO78" s="168">
        <v>44805</v>
      </c>
      <c r="BP78" s="310">
        <v>24896</v>
      </c>
      <c r="BQ78" s="249">
        <f t="shared" si="339"/>
        <v>-1.2377023167248535E-2</v>
      </c>
      <c r="BS78" s="168">
        <v>44805</v>
      </c>
      <c r="BT78" s="282">
        <v>0.01</v>
      </c>
      <c r="BU78" s="282">
        <v>-0.04</v>
      </c>
    </row>
    <row r="79" spans="1:73" hidden="1" x14ac:dyDescent="0.35">
      <c r="A79" s="168">
        <v>44835</v>
      </c>
      <c r="B79" s="164">
        <f t="shared" si="391"/>
        <v>30211.494754047613</v>
      </c>
      <c r="C79" s="249">
        <f t="shared" si="402"/>
        <v>-2.1072399540151499E-2</v>
      </c>
      <c r="D79" s="271"/>
      <c r="E79" s="272"/>
      <c r="F79" s="208">
        <f t="shared" si="360"/>
        <v>-1.6857919632121198E-2</v>
      </c>
      <c r="G79" s="208">
        <f t="shared" si="361"/>
        <v>-1.348633570569696E-2</v>
      </c>
      <c r="I79" s="183"/>
      <c r="J79" s="168">
        <v>44835</v>
      </c>
      <c r="K79" s="261">
        <f>'2022'!G68</f>
        <v>5.2496949999999991</v>
      </c>
      <c r="L79" s="248">
        <f t="shared" si="403"/>
        <v>2.5471633769382773E-3</v>
      </c>
      <c r="M79" s="183"/>
      <c r="N79" s="183"/>
      <c r="O79" s="168">
        <v>44835</v>
      </c>
      <c r="P79" s="274">
        <f>'2022'!H65</f>
        <v>7619.2857142857147</v>
      </c>
      <c r="Q79" s="248">
        <f t="shared" si="404"/>
        <v>-1.4696379920083658E-2</v>
      </c>
      <c r="R79" s="218">
        <f t="shared" si="392"/>
        <v>39998.92611785714</v>
      </c>
      <c r="S79" s="153">
        <f t="shared" si="405"/>
        <v>-1.218665062385127E-2</v>
      </c>
      <c r="U79" s="168">
        <v>44835</v>
      </c>
      <c r="V79" s="275">
        <f>AVERAGE('[2]2021_Base RPA'!$H$261:$H$281)</f>
        <v>2958.3333333333335</v>
      </c>
      <c r="W79" s="248">
        <f t="shared" si="406"/>
        <v>-5.635300372142471E-2</v>
      </c>
      <c r="X79" s="276">
        <f t="shared" si="345"/>
        <v>15530.347708333331</v>
      </c>
      <c r="Y79" s="153">
        <f t="shared" si="407"/>
        <v>-5.3949380651746148E-2</v>
      </c>
      <c r="Z79" s="227"/>
      <c r="AA79" s="168">
        <v>44835</v>
      </c>
      <c r="AB79" s="277">
        <f>AVERAGE('[2]2021_Base RPA'!$J$261:$J$281)</f>
        <v>21913.333333333332</v>
      </c>
      <c r="AC79" s="230">
        <f t="shared" si="408"/>
        <v>-3.3096334031963215E-2</v>
      </c>
      <c r="AD79" s="278">
        <f t="shared" si="275"/>
        <v>115038.31643333331</v>
      </c>
      <c r="AE79" s="209">
        <f t="shared" si="409"/>
        <v>-3.0633472424981933E-2</v>
      </c>
      <c r="AG79" s="168">
        <v>44835</v>
      </c>
      <c r="AH79" s="279">
        <f>AVERAGE('[2]2021_Base RPA'!$L$261:$L$281)</f>
        <v>1986.547619047619</v>
      </c>
      <c r="AI79" s="235">
        <f t="shared" si="410"/>
        <v>6.0700619349261409E-2</v>
      </c>
      <c r="AJ79" s="280">
        <f t="shared" si="273"/>
        <v>10428.769102976188</v>
      </c>
      <c r="AK79" s="235">
        <f t="shared" si="411"/>
        <v>6.3402397120763787E-2</v>
      </c>
      <c r="AL79" s="255"/>
      <c r="AM79" s="168">
        <v>44835</v>
      </c>
      <c r="AN79" s="281">
        <f>AVERAGE('[2]2021_Base RPA'!$N$261:$N$281)</f>
        <v>2078.8571428571427</v>
      </c>
      <c r="AO79" s="235">
        <f t="shared" si="412"/>
        <v>-1.6602723399549824E-2</v>
      </c>
      <c r="AP79" s="280">
        <f t="shared" si="274"/>
        <v>10913.365948571425</v>
      </c>
      <c r="AQ79" s="235">
        <f t="shared" si="413"/>
        <v>-1.4097849871612333E-2</v>
      </c>
      <c r="AR79" s="252"/>
      <c r="AS79" s="168">
        <v>44835</v>
      </c>
      <c r="AT79" s="200">
        <f>R79*AV79*(1+8.7%)/1000</f>
        <v>32.609124517583034</v>
      </c>
      <c r="AU79" s="128">
        <f t="shared" si="414"/>
        <v>-1.2186650623851158E-2</v>
      </c>
      <c r="AV79" s="235">
        <v>0.75</v>
      </c>
      <c r="AW79" s="91"/>
      <c r="AX79" s="91"/>
      <c r="AY79" s="91"/>
      <c r="AZ79" s="237"/>
      <c r="BA79" s="238"/>
      <c r="BB79"/>
      <c r="BC79" s="168">
        <v>44835</v>
      </c>
      <c r="BD79" s="229">
        <f>AVERAGE('[2]2021_Base RPA'!$D$261:$D$282)</f>
        <v>5.1675952380952381</v>
      </c>
      <c r="BE79" s="235">
        <f>IFERROR(BD79/BD78-1,"")</f>
        <v>-2.5790417472043581E-3</v>
      </c>
      <c r="BG79" s="168">
        <v>44835</v>
      </c>
      <c r="BH79" s="311">
        <v>7.1890000000000001</v>
      </c>
      <c r="BI79" s="249">
        <f t="shared" si="337"/>
        <v>2.5388674939381017E-2</v>
      </c>
      <c r="BK79" s="168">
        <v>44835</v>
      </c>
      <c r="BL79" s="310">
        <v>63971</v>
      </c>
      <c r="BM79" s="249">
        <f t="shared" si="338"/>
        <v>2.2358243303714165E-2</v>
      </c>
      <c r="BO79" s="168">
        <v>44835</v>
      </c>
      <c r="BP79" s="310">
        <v>25220</v>
      </c>
      <c r="BQ79" s="249">
        <f t="shared" si="339"/>
        <v>1.3014138817480703E-2</v>
      </c>
      <c r="BS79" s="168">
        <v>44835</v>
      </c>
      <c r="BT79" s="282">
        <v>-0.03</v>
      </c>
      <c r="BU79" s="282">
        <v>-0.03</v>
      </c>
    </row>
    <row r="80" spans="1:73" hidden="1" x14ac:dyDescent="0.35">
      <c r="A80" s="168">
        <v>44866</v>
      </c>
      <c r="B80" s="164">
        <f t="shared" si="391"/>
        <v>31525.470604315786</v>
      </c>
      <c r="C80" s="249">
        <f t="shared" si="402"/>
        <v>4.3492579925795694E-2</v>
      </c>
      <c r="D80" s="271"/>
      <c r="E80" s="272"/>
      <c r="F80" s="208">
        <f t="shared" si="360"/>
        <v>3.4794063940636555E-2</v>
      </c>
      <c r="G80" s="208">
        <f t="shared" si="361"/>
        <v>2.7835251152509243E-2</v>
      </c>
      <c r="I80" s="183"/>
      <c r="J80" s="168">
        <v>44866</v>
      </c>
      <c r="K80" s="261">
        <f>'2022'!I68</f>
        <v>5.2719368421052621</v>
      </c>
      <c r="L80" s="248">
        <f t="shared" si="403"/>
        <v>4.2367874905615555E-3</v>
      </c>
      <c r="M80" s="183"/>
      <c r="N80" s="183"/>
      <c r="O80" s="168">
        <v>44866</v>
      </c>
      <c r="P80" s="274">
        <f>'2022'!J65</f>
        <v>8018.2250000000004</v>
      </c>
      <c r="Q80" s="248">
        <f t="shared" si="404"/>
        <v>5.2359145026718013E-2</v>
      </c>
      <c r="R80" s="218">
        <f t="shared" si="392"/>
        <v>42271.575785789464</v>
      </c>
      <c r="S80" s="153">
        <f t="shared" si="405"/>
        <v>5.6817767087944837E-2</v>
      </c>
      <c r="U80" s="168">
        <v>44866</v>
      </c>
      <c r="V80" s="275">
        <f>AVERAGE('[2]2021_Base RPA'!$H$282:$H$302)</f>
        <v>2922.3249999999998</v>
      </c>
      <c r="W80" s="248">
        <f t="shared" si="406"/>
        <v>-1.2171830985915566E-2</v>
      </c>
      <c r="X80" s="276">
        <f t="shared" si="345"/>
        <v>15406.312832105259</v>
      </c>
      <c r="Y80" s="153">
        <f t="shared" si="407"/>
        <v>-7.9866129566125155E-3</v>
      </c>
      <c r="Z80" s="227"/>
      <c r="AA80" s="168">
        <v>44866</v>
      </c>
      <c r="AB80" s="277">
        <f>AVERAGE('[2]2021_Base RPA'!$J$282:$J$302)</f>
        <v>25056.5</v>
      </c>
      <c r="AC80" s="230">
        <f t="shared" si="408"/>
        <v>0.14343626407058108</v>
      </c>
      <c r="AD80" s="278">
        <f t="shared" si="275"/>
        <v>132096.2854842105</v>
      </c>
      <c r="AE80" s="209">
        <f t="shared" si="409"/>
        <v>0.1482807605304497</v>
      </c>
      <c r="AG80" s="168">
        <v>44866</v>
      </c>
      <c r="AH80" s="279">
        <f>AVERAGE('[2]2021_Base RPA'!$L$282:$L$302)</f>
        <v>2094.8000000000002</v>
      </c>
      <c r="AI80" s="235">
        <f t="shared" si="410"/>
        <v>5.4492718882962921E-2</v>
      </c>
      <c r="AJ80" s="280">
        <f t="shared" si="273"/>
        <v>11043.653296842103</v>
      </c>
      <c r="AK80" s="235">
        <f t="shared" si="411"/>
        <v>5.8960380443214389E-2</v>
      </c>
      <c r="AL80" s="255"/>
      <c r="AM80" s="168">
        <v>44866</v>
      </c>
      <c r="AN80" s="281">
        <f>AVERAGE('[2]2021_Base RPA'!$N$282:$N$302)</f>
        <v>1912.3</v>
      </c>
      <c r="AO80" s="235">
        <f t="shared" si="412"/>
        <v>-8.011957119296309E-2</v>
      </c>
      <c r="AP80" s="280">
        <f t="shared" si="274"/>
        <v>10081.524823157892</v>
      </c>
      <c r="AQ80" s="235">
        <f t="shared" si="413"/>
        <v>-7.6222233299381159E-2</v>
      </c>
      <c r="AR80" s="252"/>
      <c r="AS80" s="168">
        <v>44866</v>
      </c>
      <c r="AT80" s="200">
        <f>R80*AV80*(1+8.7%)/1000</f>
        <v>34.461902159364861</v>
      </c>
      <c r="AU80" s="128">
        <f t="shared" si="414"/>
        <v>5.6817767087944837E-2</v>
      </c>
      <c r="AV80" s="235">
        <v>0.75</v>
      </c>
      <c r="AW80" s="91"/>
      <c r="AX80" s="91"/>
      <c r="AY80" s="91"/>
      <c r="AZ80" s="237"/>
      <c r="BA80" s="238"/>
      <c r="BB80"/>
      <c r="BC80" s="168">
        <v>44866</v>
      </c>
      <c r="BD80" s="229">
        <f>AVERAGE('[2]2021_Base RPA'!$D$282:$D$302)</f>
        <v>5.3816789473684219</v>
      </c>
      <c r="BE80" s="235">
        <f t="shared" ref="BE80:BE95" si="415">IFERROR(BD80/BD79-1,"")</f>
        <v>4.1428111028311676E-2</v>
      </c>
      <c r="BG80" s="168">
        <v>44866</v>
      </c>
      <c r="BH80" s="311">
        <v>7.1660000000000004</v>
      </c>
      <c r="BI80" s="249">
        <f t="shared" si="337"/>
        <v>-3.199332313256309E-3</v>
      </c>
      <c r="BK80" s="168">
        <v>44866</v>
      </c>
      <c r="BL80" s="310">
        <v>65978</v>
      </c>
      <c r="BM80" s="249">
        <f t="shared" si="338"/>
        <v>3.1373591158493586E-2</v>
      </c>
      <c r="BO80" s="168">
        <v>44866</v>
      </c>
      <c r="BP80" s="310">
        <v>24320</v>
      </c>
      <c r="BQ80" s="249">
        <f t="shared" si="339"/>
        <v>-3.5685963521015052E-2</v>
      </c>
      <c r="BS80" s="168">
        <v>44866</v>
      </c>
      <c r="BT80" s="282"/>
      <c r="BU80" s="282"/>
    </row>
    <row r="81" spans="1:73" hidden="1" x14ac:dyDescent="0.35">
      <c r="A81" s="168">
        <v>44896</v>
      </c>
      <c r="B81" s="164">
        <f t="shared" si="391"/>
        <v>33008.517818235297</v>
      </c>
      <c r="C81" s="249">
        <f t="shared" si="402"/>
        <v>4.7042825546797173E-2</v>
      </c>
      <c r="D81" s="271"/>
      <c r="E81" s="272"/>
      <c r="F81" s="208">
        <f t="shared" si="360"/>
        <v>3.7634260437437742E-2</v>
      </c>
      <c r="G81" s="208">
        <f t="shared" si="361"/>
        <v>3.0107408349950193E-2</v>
      </c>
      <c r="I81" s="183"/>
      <c r="J81" s="168">
        <v>44896</v>
      </c>
      <c r="K81" s="261">
        <f>'2022'!K68</f>
        <v>5.2519666666666662</v>
      </c>
      <c r="L81" s="248">
        <f t="shared" si="403"/>
        <v>-3.7880149244392536E-3</v>
      </c>
      <c r="M81" s="183"/>
      <c r="N81" s="183"/>
      <c r="O81" s="168">
        <v>44896</v>
      </c>
      <c r="P81" s="274">
        <f>'2022'!L65</f>
        <v>8382.2647058823532</v>
      </c>
      <c r="Q81" s="248">
        <f t="shared" si="404"/>
        <v>4.5401532868228678E-2</v>
      </c>
      <c r="R81" s="218">
        <f t="shared" si="392"/>
        <v>44023.374826470586</v>
      </c>
      <c r="S81" s="153">
        <f t="shared" si="405"/>
        <v>4.1441536259692269E-2</v>
      </c>
      <c r="U81" s="168">
        <v>44896</v>
      </c>
      <c r="V81" s="275">
        <f>AVERAGE('[2]2021_Base RPA'!$H$303:$H$322)</f>
        <v>3139.0588235294117</v>
      </c>
      <c r="W81" s="248">
        <f t="shared" si="406"/>
        <v>7.4164859668042427E-2</v>
      </c>
      <c r="X81" s="276">
        <f t="shared" si="345"/>
        <v>16486.232305882353</v>
      </c>
      <c r="Y81" s="153">
        <f t="shared" si="407"/>
        <v>7.009590714831182E-2</v>
      </c>
      <c r="Z81" s="227"/>
      <c r="AA81" s="168">
        <v>44896</v>
      </c>
      <c r="AB81" s="277">
        <f>AVERAGE('[2]2021_Base RPA'!$J$303:$J$322)</f>
        <v>28736.176470588234</v>
      </c>
      <c r="AC81" s="230">
        <f t="shared" si="408"/>
        <v>0.14685516614803484</v>
      </c>
      <c r="AD81" s="278">
        <f t="shared" si="275"/>
        <v>150921.44095098038</v>
      </c>
      <c r="AE81" s="209">
        <f t="shared" si="409"/>
        <v>0.14251086166249594</v>
      </c>
      <c r="AG81" s="168">
        <v>44896</v>
      </c>
      <c r="AH81" s="279">
        <f>AVERAGE('[2]2021_Base RPA'!$L$303:$L$322)</f>
        <v>2213.0294117647059</v>
      </c>
      <c r="AI81" s="235">
        <f t="shared" si="410"/>
        <v>5.643947477788136E-2</v>
      </c>
      <c r="AJ81" s="280">
        <f t="shared" si="273"/>
        <v>11622.756702941175</v>
      </c>
      <c r="AK81" s="235">
        <f t="shared" si="411"/>
        <v>5.2437666280655826E-2</v>
      </c>
      <c r="AL81" s="255"/>
      <c r="AM81" s="168">
        <v>44896</v>
      </c>
      <c r="AN81" s="281">
        <f>AVERAGE('[2]2021_Base RPA'!$N$303:$N$322)</f>
        <v>1812.0588235294117</v>
      </c>
      <c r="AO81" s="235">
        <f t="shared" si="412"/>
        <v>-5.2419168786585923E-2</v>
      </c>
      <c r="AP81" s="280">
        <f t="shared" si="274"/>
        <v>9516.8725392156848</v>
      </c>
      <c r="AQ81" s="235">
        <f t="shared" si="413"/>
        <v>-5.600861911733479E-2</v>
      </c>
      <c r="AR81" s="252"/>
      <c r="AS81" s="168">
        <v>44896</v>
      </c>
      <c r="AT81" s="200">
        <f>R81*AV81*(1+8.058%)/1000</f>
        <v>35.678083777490691</v>
      </c>
      <c r="AU81" s="128">
        <f t="shared" si="414"/>
        <v>3.5290612006898092E-2</v>
      </c>
      <c r="AV81" s="235">
        <v>0.75</v>
      </c>
      <c r="AW81" s="91"/>
      <c r="AX81" s="91"/>
      <c r="AY81" s="91"/>
      <c r="AZ81" s="237"/>
      <c r="BA81" s="238"/>
      <c r="BB81"/>
      <c r="BC81" s="168">
        <v>44896</v>
      </c>
      <c r="BD81" s="229">
        <f>AVERAGE('[2]2021_Base RPA'!$D$303:$D$322)</f>
        <v>5.5563649999999996</v>
      </c>
      <c r="BE81" s="235">
        <f t="shared" si="415"/>
        <v>3.2459396842503319E-2</v>
      </c>
      <c r="BG81" s="168">
        <v>44896</v>
      </c>
      <c r="BH81" s="311">
        <v>6.9809999999999999</v>
      </c>
      <c r="BI81" s="249">
        <f t="shared" si="337"/>
        <v>-2.5816355009768421E-2</v>
      </c>
      <c r="BK81" s="168">
        <v>44896</v>
      </c>
      <c r="BL81" s="310">
        <v>66332</v>
      </c>
      <c r="BM81" s="249">
        <f t="shared" si="338"/>
        <v>5.3654248385825998E-3</v>
      </c>
      <c r="BO81" s="168">
        <v>44896</v>
      </c>
      <c r="BP81" s="310">
        <v>24606</v>
      </c>
      <c r="BQ81" s="249">
        <f t="shared" si="339"/>
        <v>1.1759868421052699E-2</v>
      </c>
      <c r="BS81" s="168">
        <v>44896</v>
      </c>
      <c r="BT81" s="282"/>
      <c r="BU81" s="282"/>
    </row>
    <row r="82" spans="1:73" hidden="1" x14ac:dyDescent="0.35">
      <c r="A82" s="168">
        <v>44927</v>
      </c>
      <c r="B82" s="164">
        <f t="shared" si="391"/>
        <v>34886.325551117458</v>
      </c>
      <c r="C82" s="249">
        <f t="shared" si="402"/>
        <v>5.6888580796705224E-2</v>
      </c>
      <c r="D82" s="271"/>
      <c r="E82" s="272"/>
      <c r="F82" s="208">
        <f t="shared" si="360"/>
        <v>4.551086463736418E-2</v>
      </c>
      <c r="G82" s="208">
        <f t="shared" si="361"/>
        <v>3.6408691709891347E-2</v>
      </c>
      <c r="I82" s="183"/>
      <c r="J82" s="168">
        <v>44927</v>
      </c>
      <c r="K82" s="261">
        <f>'2023'!A31</f>
        <v>5.20401111111111</v>
      </c>
      <c r="L82" s="248">
        <f t="shared" si="403"/>
        <v>-9.1309710436514591E-3</v>
      </c>
      <c r="M82" s="183"/>
      <c r="N82" s="183"/>
      <c r="O82" s="168">
        <v>44927</v>
      </c>
      <c r="P82" s="274">
        <f>'2023'!B29</f>
        <v>8979.9761904761908</v>
      </c>
      <c r="Q82" s="248">
        <f t="shared" si="404"/>
        <v>7.1306682092058704E-2</v>
      </c>
      <c r="R82" s="218">
        <f t="shared" ref="R82:R83" si="416">P82*K82</f>
        <v>46731.895872751316</v>
      </c>
      <c r="S82" s="153">
        <f t="shared" si="405"/>
        <v>6.1524611799005813E-2</v>
      </c>
      <c r="U82" s="168">
        <v>44927</v>
      </c>
      <c r="V82" s="275">
        <v>3289.38</v>
      </c>
      <c r="W82" s="248">
        <f t="shared" si="406"/>
        <v>4.788733977962667E-2</v>
      </c>
      <c r="X82" s="276">
        <f t="shared" si="345"/>
        <v>17117.970068666662</v>
      </c>
      <c r="Y82" s="153">
        <f t="shared" si="407"/>
        <v>3.8319110823089808E-2</v>
      </c>
      <c r="Z82" s="227"/>
      <c r="AA82" s="168">
        <v>44927</v>
      </c>
      <c r="AB82" s="277">
        <v>28080.71</v>
      </c>
      <c r="AC82" s="248">
        <f t="shared" si="408"/>
        <v>-2.2809801132002039E-2</v>
      </c>
      <c r="AD82" s="278">
        <f t="shared" si="275"/>
        <v>146132.32684788885</v>
      </c>
      <c r="AE82" s="209">
        <f t="shared" si="409"/>
        <v>-3.1732496542005939E-2</v>
      </c>
      <c r="AG82" s="168">
        <v>44927</v>
      </c>
      <c r="AH82" s="279">
        <f>AVERAGE('[2]2021_Base RPA'!$L$323:$L$340)</f>
        <v>2215.3235294117649</v>
      </c>
      <c r="AI82" s="235">
        <f t="shared" si="410"/>
        <v>1.0366412822455651E-3</v>
      </c>
      <c r="AJ82" s="280">
        <f t="shared" si="273"/>
        <v>11528.568261764703</v>
      </c>
      <c r="AK82" s="235">
        <f t="shared" si="411"/>
        <v>-8.1037953029367005E-3</v>
      </c>
      <c r="AL82" s="255"/>
      <c r="AM82" s="168">
        <v>44927</v>
      </c>
      <c r="AN82" s="281">
        <f>AVERAGE('[2]2021_Base RPA'!$N$323:$N$340)</f>
        <v>1729.9411764705883</v>
      </c>
      <c r="AO82" s="235">
        <f t="shared" si="412"/>
        <v>-4.5317318617107527E-2</v>
      </c>
      <c r="AP82" s="280">
        <f t="shared" si="274"/>
        <v>9002.6331039215675</v>
      </c>
      <c r="AQ82" s="235">
        <f t="shared" si="413"/>
        <v>-5.4034498536690179E-2</v>
      </c>
      <c r="AR82" s="252"/>
      <c r="AS82" s="168">
        <v>44927</v>
      </c>
      <c r="AT82" s="200">
        <f>R82*AV82*(1+8.058%)/1000</f>
        <v>37.873164031633216</v>
      </c>
      <c r="AU82" s="128">
        <f t="shared" si="414"/>
        <v>6.1524611799005813E-2</v>
      </c>
      <c r="AV82" s="235">
        <v>0.75</v>
      </c>
      <c r="AW82" s="91"/>
      <c r="AX82" s="91"/>
      <c r="AY82" s="91"/>
      <c r="AZ82" s="237"/>
      <c r="BA82" s="238"/>
      <c r="BB82"/>
      <c r="BC82" s="168">
        <v>44927</v>
      </c>
      <c r="BD82" s="229">
        <f>AVERAGE('[2]2021_Base RPA'!$D$323:$D$340)</f>
        <v>5.5977166666666669</v>
      </c>
      <c r="BE82" s="235">
        <f t="shared" si="415"/>
        <v>7.4422156691771324E-3</v>
      </c>
      <c r="BG82" s="168">
        <v>44927</v>
      </c>
      <c r="BH82" s="311">
        <v>6.7969999999999997</v>
      </c>
      <c r="BI82" s="249">
        <f t="shared" si="337"/>
        <v>-2.6357255407534752E-2</v>
      </c>
      <c r="BK82" s="168">
        <v>44927</v>
      </c>
      <c r="BL82" s="310">
        <v>67382</v>
      </c>
      <c r="BM82" s="249">
        <f t="shared" si="338"/>
        <v>1.5829463908822339E-2</v>
      </c>
      <c r="BO82" s="168">
        <v>44927</v>
      </c>
      <c r="BP82" s="310">
        <v>23903</v>
      </c>
      <c r="BQ82" s="249">
        <f t="shared" si="339"/>
        <v>-2.8570267414451789E-2</v>
      </c>
      <c r="BS82" s="168">
        <v>44927</v>
      </c>
      <c r="BT82" s="282"/>
      <c r="BU82" s="282"/>
    </row>
    <row r="83" spans="1:73" hidden="1" x14ac:dyDescent="0.35">
      <c r="A83" s="168">
        <v>44958</v>
      </c>
      <c r="B83" s="164">
        <f t="shared" si="391"/>
        <v>34169.881199999996</v>
      </c>
      <c r="C83" s="249">
        <f t="shared" si="402"/>
        <v>-2.0536538021686646E-2</v>
      </c>
      <c r="D83" s="271"/>
      <c r="E83" s="272"/>
      <c r="F83" s="208">
        <f t="shared" si="360"/>
        <v>-1.6429230417349318E-2</v>
      </c>
      <c r="G83" s="208">
        <f t="shared" si="361"/>
        <v>-1.3143384333879453E-2</v>
      </c>
      <c r="I83" s="183"/>
      <c r="J83" s="168">
        <v>44958</v>
      </c>
      <c r="K83" s="261">
        <f>'2023'!C31</f>
        <v>5.16</v>
      </c>
      <c r="L83" s="248">
        <f t="shared" si="403"/>
        <v>-8.4571516415753445E-3</v>
      </c>
      <c r="M83" s="183"/>
      <c r="N83" s="183"/>
      <c r="O83" s="168">
        <v>44958</v>
      </c>
      <c r="P83" s="274">
        <f>'2023'!D29</f>
        <v>8941.5499999999993</v>
      </c>
      <c r="Q83" s="248">
        <f t="shared" si="404"/>
        <v>-4.2790971447056458E-3</v>
      </c>
      <c r="R83" s="218">
        <f t="shared" si="416"/>
        <v>46138.398000000001</v>
      </c>
      <c r="S83" s="153">
        <f t="shared" si="405"/>
        <v>-1.2700059812839171E-2</v>
      </c>
      <c r="U83" s="168">
        <v>44958</v>
      </c>
      <c r="V83" s="275">
        <f>AVERAGE('[2]2021_Base RPA'!$H$341:$H$360)</f>
        <v>3142.85</v>
      </c>
      <c r="W83" s="248">
        <f t="shared" si="406"/>
        <v>-4.4546388681149685E-2</v>
      </c>
      <c r="X83" s="276">
        <f t="shared" si="345"/>
        <v>16217.106</v>
      </c>
      <c r="Y83" s="153">
        <f t="shared" si="407"/>
        <v>-5.2626804758563961E-2</v>
      </c>
      <c r="Z83" s="227"/>
      <c r="AA83" s="168">
        <v>44958</v>
      </c>
      <c r="AB83" s="277">
        <f>AVERAGE('[2]2021_Base RPA'!$J$341:$J$360)</f>
        <v>26751.666666666668</v>
      </c>
      <c r="AC83" s="248">
        <f t="shared" si="408"/>
        <v>-4.7329406319617018E-2</v>
      </c>
      <c r="AD83" s="278">
        <f t="shared" si="275"/>
        <v>138038.6</v>
      </c>
      <c r="AE83" s="209">
        <f t="shared" si="409"/>
        <v>-5.5386285994841633E-2</v>
      </c>
      <c r="AG83" s="168">
        <v>44958</v>
      </c>
      <c r="AH83" s="279">
        <f>AVERAGE('[2]2021_Base RPA'!$L$341:$L$360)</f>
        <v>2092.3055555555557</v>
      </c>
      <c r="AI83" s="235">
        <f t="shared" si="410"/>
        <v>-5.5530477703576886E-2</v>
      </c>
      <c r="AJ83" s="280">
        <f t="shared" si="273"/>
        <v>10796.296666666667</v>
      </c>
      <c r="AK83" s="235">
        <f t="shared" si="411"/>
        <v>-6.3517999674483905E-2</v>
      </c>
      <c r="AL83" s="255"/>
      <c r="AM83" s="168">
        <v>44958</v>
      </c>
      <c r="AN83" s="281">
        <f>AVERAGE('[2]2021_Base RPA'!$N$341:$N$360)</f>
        <v>1546.6666666666667</v>
      </c>
      <c r="AO83" s="235">
        <f t="shared" si="412"/>
        <v>-0.10594262527344234</v>
      </c>
      <c r="AP83" s="280">
        <f t="shared" si="274"/>
        <v>7980.8</v>
      </c>
      <c r="AQ83" s="235">
        <f t="shared" si="413"/>
        <v>-0.11350380406777372</v>
      </c>
      <c r="AR83" s="252"/>
      <c r="AS83" s="168">
        <v>44958</v>
      </c>
      <c r="AT83" s="200">
        <f>R83*AV83*(1+8.058%)/1000</f>
        <v>37.392172583130005</v>
      </c>
      <c r="AU83" s="128">
        <f t="shared" si="414"/>
        <v>-1.2700059812839171E-2</v>
      </c>
      <c r="AV83" s="235">
        <v>0.75</v>
      </c>
      <c r="AW83" s="91"/>
      <c r="AX83" s="91"/>
      <c r="AY83" s="91"/>
      <c r="AZ83" s="237"/>
      <c r="BA83" s="238"/>
      <c r="BB83"/>
      <c r="BC83" s="168">
        <v>44958</v>
      </c>
      <c r="BD83" s="229">
        <f>AVERAGE('[2]2021_Base RPA'!$D$341:$D$360)</f>
        <v>5.5378777777777781</v>
      </c>
      <c r="BE83" s="235">
        <f t="shared" si="415"/>
        <v>-1.068987454210002E-2</v>
      </c>
      <c r="BG83" s="168">
        <v>44958</v>
      </c>
      <c r="BH83" s="311">
        <v>6.8280000000000003</v>
      </c>
      <c r="BI83" s="249">
        <f t="shared" si="337"/>
        <v>4.5608356627924174E-3</v>
      </c>
      <c r="BK83" s="168">
        <v>44958</v>
      </c>
      <c r="BL83" s="310">
        <v>68928</v>
      </c>
      <c r="BM83" s="249">
        <f t="shared" si="338"/>
        <v>2.2943812887714854E-2</v>
      </c>
      <c r="BO83" s="168">
        <v>44958</v>
      </c>
      <c r="BP83" s="310">
        <v>23457</v>
      </c>
      <c r="BQ83" s="249">
        <f t="shared" si="339"/>
        <v>-1.8658745764130069E-2</v>
      </c>
      <c r="BS83" s="168">
        <v>44958</v>
      </c>
      <c r="BT83" s="282"/>
      <c r="BU83" s="282"/>
    </row>
    <row r="84" spans="1:73" hidden="1" x14ac:dyDescent="0.35">
      <c r="A84" s="168">
        <v>44986</v>
      </c>
      <c r="B84" s="164">
        <f t="shared" si="391"/>
        <v>33781.123939090918</v>
      </c>
      <c r="C84" s="249">
        <f t="shared" ref="C84:C90" si="417">(B84/B83-1)</f>
        <v>-1.1377190884382715E-2</v>
      </c>
      <c r="D84" s="271"/>
      <c r="E84" s="272"/>
      <c r="F84" s="208">
        <f t="shared" si="360"/>
        <v>-9.1017527075061729E-3</v>
      </c>
      <c r="G84" s="208">
        <f t="shared" si="361"/>
        <v>-7.2814021660049383E-3</v>
      </c>
      <c r="I84" s="183"/>
      <c r="J84" s="168">
        <v>44986</v>
      </c>
      <c r="K84" s="261">
        <f>'2023'!E31</f>
        <v>5.2090695652173924</v>
      </c>
      <c r="L84" s="248">
        <f t="shared" si="403"/>
        <v>9.5096056622854253E-3</v>
      </c>
      <c r="M84" s="183"/>
      <c r="N84" s="183"/>
      <c r="O84" s="168">
        <v>44986</v>
      </c>
      <c r="P84" s="274">
        <f>'2023'!F29</f>
        <v>8835.613636363636</v>
      </c>
      <c r="Q84" s="248">
        <f t="shared" ref="Q84:Q95" si="418">P84/P83-1</f>
        <v>-1.1847650981805513E-2</v>
      </c>
      <c r="R84" s="218">
        <f t="shared" ref="R84" si="419">P84*K84</f>
        <v>46025.326083201588</v>
      </c>
      <c r="S84" s="153">
        <f t="shared" ref="S84:S90" si="420">R84/R83-1</f>
        <v>-2.4507118083816337E-3</v>
      </c>
      <c r="U84" s="168">
        <v>44986</v>
      </c>
      <c r="V84" s="275">
        <f>AVERAGE('[2]2021_Base RPA'!$H$361:$H$383)</f>
        <v>2959.2272727272725</v>
      </c>
      <c r="W84" s="248">
        <f t="shared" ref="W84:W87" si="421">V84/V83-1</f>
        <v>-5.8425546008472384E-2</v>
      </c>
      <c r="X84" s="276">
        <f t="shared" si="345"/>
        <v>15414.820722924904</v>
      </c>
      <c r="Y84" s="153">
        <f t="shared" ref="Y84" si="422">X84/X83-1</f>
        <v>-4.9471544249331312E-2</v>
      </c>
      <c r="Z84" s="227"/>
      <c r="AA84" s="168">
        <v>44986</v>
      </c>
      <c r="AB84" s="277">
        <f>AVERAGE('[2]2021_Base RPA'!$J$361:$J$383)</f>
        <v>23289.545454545456</v>
      </c>
      <c r="AC84" s="248">
        <f t="shared" ref="AC84:AC94" si="423">AB84/AB83-1</f>
        <v>-0.12941702867564187</v>
      </c>
      <c r="AD84" s="278">
        <f t="shared" si="275"/>
        <v>121316.8624150198</v>
      </c>
      <c r="AE84" s="209">
        <f t="shared" ref="AE84" si="424">AD84/AD83-1</f>
        <v>-0.12113812792204648</v>
      </c>
      <c r="AG84" s="168">
        <v>44986</v>
      </c>
      <c r="AH84" s="279">
        <f>AVERAGE('[2]2021_Base RPA'!$L$361:$L$383)</f>
        <v>2116.659090909091</v>
      </c>
      <c r="AI84" s="235">
        <f t="shared" ref="AI84" si="425">AH84/AH83-1</f>
        <v>1.1639569224901614E-2</v>
      </c>
      <c r="AJ84" s="280">
        <f t="shared" si="273"/>
        <v>11025.824450395259</v>
      </c>
      <c r="AK84" s="235">
        <f t="shared" ref="AK84" si="426">AJ84/AJ83-1</f>
        <v>2.1259862600594648E-2</v>
      </c>
      <c r="AL84" s="255"/>
      <c r="AM84" s="168">
        <v>44986</v>
      </c>
      <c r="AN84" s="281">
        <f>AVERAGE('[2]2021_Base RPA'!$N$361:$N$383)</f>
        <v>1428.047619047619</v>
      </c>
      <c r="AO84" s="235">
        <f t="shared" ref="AO84" si="427">AN84/AN83-1</f>
        <v>-7.6693349753694684E-2</v>
      </c>
      <c r="AP84" s="280">
        <f t="shared" si="274"/>
        <v>7438.7993900621132</v>
      </c>
      <c r="AQ84" s="235">
        <f t="shared" ref="AQ84" si="428">AP84/AP83-1</f>
        <v>-6.7913067604486677E-2</v>
      </c>
      <c r="AR84" s="252"/>
      <c r="AS84" s="168">
        <v>44986</v>
      </c>
      <c r="AT84" s="200">
        <f t="shared" ref="AT84:AT94" si="429">R84*AV84*(1+8.7%)/1000</f>
        <v>37.52214708933009</v>
      </c>
      <c r="AU84" s="128">
        <f t="shared" si="414"/>
        <v>3.4759816619676087E-3</v>
      </c>
      <c r="AV84" s="235">
        <v>0.75</v>
      </c>
      <c r="AW84" s="91"/>
      <c r="AX84" s="91"/>
      <c r="AY84" s="91"/>
      <c r="AZ84" s="237"/>
      <c r="BA84" s="238"/>
      <c r="BB84"/>
      <c r="BC84" s="168">
        <v>44986</v>
      </c>
      <c r="BD84" s="229">
        <f>AVERAGE('[2]2021_Base RPA'!$D$361:$D$383)</f>
        <v>5.5805478260869563</v>
      </c>
      <c r="BE84" s="235">
        <f t="shared" si="415"/>
        <v>7.7051264078820125E-3</v>
      </c>
      <c r="BG84" s="168">
        <v>44986</v>
      </c>
      <c r="BH84" s="311">
        <v>6.8730000000000002</v>
      </c>
      <c r="BI84" s="249">
        <f t="shared" si="337"/>
        <v>6.5905096660807683E-3</v>
      </c>
      <c r="BK84" s="168">
        <v>44986</v>
      </c>
      <c r="BL84" s="310">
        <v>68930</v>
      </c>
      <c r="BM84" s="249">
        <f t="shared" si="338"/>
        <v>2.9015784586805538E-5</v>
      </c>
      <c r="BO84" s="168">
        <v>44986</v>
      </c>
      <c r="BP84" s="310">
        <v>22855</v>
      </c>
      <c r="BQ84" s="249">
        <f t="shared" si="339"/>
        <v>-2.5663980901223571E-2</v>
      </c>
      <c r="BS84" s="168">
        <v>44986</v>
      </c>
      <c r="BT84" s="282"/>
      <c r="BU84" s="282"/>
    </row>
    <row r="85" spans="1:73" hidden="1" x14ac:dyDescent="0.35">
      <c r="A85" s="168">
        <v>45017</v>
      </c>
      <c r="B85" s="164">
        <f t="shared" si="391"/>
        <v>32070.098518147879</v>
      </c>
      <c r="C85" s="249">
        <f t="shared" si="417"/>
        <v>-5.0650340232258229E-2</v>
      </c>
      <c r="D85" s="271"/>
      <c r="E85" s="272"/>
      <c r="F85" s="208">
        <f t="shared" si="360"/>
        <v>-4.0520272185806588E-2</v>
      </c>
      <c r="G85" s="208">
        <f t="shared" si="361"/>
        <v>-3.2416217748645268E-2</v>
      </c>
      <c r="I85" s="183"/>
      <c r="J85" s="168">
        <v>45017</v>
      </c>
      <c r="K85" s="261">
        <f>'2023'!G31</f>
        <v>5.0202529411764703</v>
      </c>
      <c r="L85" s="248">
        <f t="shared" si="403"/>
        <v>-3.6247667971591402E-2</v>
      </c>
      <c r="M85" s="183"/>
      <c r="N85" s="183"/>
      <c r="O85" s="168">
        <v>45017</v>
      </c>
      <c r="P85" s="274">
        <f>'2023'!H29</f>
        <v>8795.71052631579</v>
      </c>
      <c r="Q85" s="248">
        <f t="shared" si="418"/>
        <v>-4.5161673755880205E-3</v>
      </c>
      <c r="R85" s="218">
        <f t="shared" ref="R85:R90" si="430">P85*K85</f>
        <v>44156.691639473684</v>
      </c>
      <c r="S85" s="153">
        <f t="shared" si="420"/>
        <v>-4.0600134811644928E-2</v>
      </c>
      <c r="U85" s="168">
        <v>45017</v>
      </c>
      <c r="V85" s="275">
        <f>AVERAGE('[2]2021_Base RPA'!$H$384:$H$402)</f>
        <v>2776.794117647059</v>
      </c>
      <c r="W85" s="248">
        <f t="shared" si="421"/>
        <v>-6.1648916513289631E-2</v>
      </c>
      <c r="X85" s="276">
        <f t="shared" si="345"/>
        <v>13940.20883615917</v>
      </c>
      <c r="Y85" s="153">
        <f t="shared" ref="Y85:Y91" si="431">X85/X84-1</f>
        <v>-9.5661955028298995E-2</v>
      </c>
      <c r="Z85" s="227"/>
      <c r="AA85" s="168">
        <v>45017</v>
      </c>
      <c r="AB85" s="277">
        <f>AVERAGE('[2]2021_Base RPA'!$J$384:$J$402)</f>
        <v>23740.588235294119</v>
      </c>
      <c r="AC85" s="248">
        <f t="shared" si="423"/>
        <v>1.9366748983099313E-2</v>
      </c>
      <c r="AD85" s="278">
        <f t="shared" si="275"/>
        <v>119183.7579134948</v>
      </c>
      <c r="AE85" s="209">
        <f t="shared" ref="AE85:AE88" si="432">AD85/AD84-1</f>
        <v>-1.7582918475320786E-2</v>
      </c>
      <c r="AG85" s="168">
        <v>45017</v>
      </c>
      <c r="AH85" s="279">
        <f>AVERAGE('[2]2021_Base RPA'!$L$384:$L$402)</f>
        <v>2146.7352941176468</v>
      </c>
      <c r="AI85" s="235">
        <f t="shared" ref="AI85" si="433">AH85/AH84-1</f>
        <v>1.4209280718719075E-2</v>
      </c>
      <c r="AJ85" s="280">
        <f t="shared" ref="AJ85:AJ118" si="434">AH85*K85</f>
        <v>10777.154174221452</v>
      </c>
      <c r="AK85" s="235">
        <f t="shared" ref="AK85" si="435">AJ85/AJ84-1</f>
        <v>-2.2553440542479541E-2</v>
      </c>
      <c r="AL85" s="255"/>
      <c r="AM85" s="168">
        <v>45017</v>
      </c>
      <c r="AN85" s="281">
        <f>AVERAGE('[2]2021_Base RPA'!$N$384:$N$402)</f>
        <v>1516.0588235294117</v>
      </c>
      <c r="AO85" s="235">
        <f t="shared" ref="AO85" si="436">AN85/AN84-1</f>
        <v>6.163044096560899E-2</v>
      </c>
      <c r="AP85" s="280">
        <f t="shared" ref="AP85:AP111" si="437">AN85*K85</f>
        <v>7610.9987678200687</v>
      </c>
      <c r="AQ85" s="235">
        <f t="shared" ref="AQ85" si="438">AP85/AP84-1</f>
        <v>2.3148813232953369E-2</v>
      </c>
      <c r="AR85" s="252"/>
      <c r="AS85" s="168">
        <v>45017</v>
      </c>
      <c r="AT85" s="200">
        <f t="shared" si="429"/>
        <v>35.998742859080913</v>
      </c>
      <c r="AU85" s="128">
        <f t="shared" ref="AU85" si="439">AT85/AT84-1</f>
        <v>-4.0600134811645039E-2</v>
      </c>
      <c r="AV85" s="235">
        <v>0.75</v>
      </c>
      <c r="AW85" s="91"/>
      <c r="AX85" s="91"/>
      <c r="AY85" s="91"/>
      <c r="AZ85" s="237"/>
      <c r="BA85" s="238"/>
      <c r="BB85"/>
      <c r="BC85" s="168">
        <v>45017</v>
      </c>
      <c r="BD85" s="229">
        <f>AVERAGE('[2]2021_Base RPA'!$D$384:$D$402)</f>
        <v>5.5008294117647054</v>
      </c>
      <c r="BE85" s="235">
        <f t="shared" si="415"/>
        <v>-1.428505172011918E-2</v>
      </c>
      <c r="BG85" s="168">
        <v>45017</v>
      </c>
      <c r="BH85" s="311"/>
      <c r="BI85" s="249"/>
      <c r="BK85" s="168">
        <v>45017</v>
      </c>
      <c r="BL85" s="310"/>
      <c r="BM85" s="249"/>
      <c r="BO85" s="168">
        <v>45017</v>
      </c>
      <c r="BP85" s="310"/>
      <c r="BQ85" s="249"/>
      <c r="BS85" s="168">
        <v>45017</v>
      </c>
      <c r="BT85" s="282"/>
      <c r="BU85" s="282"/>
    </row>
    <row r="86" spans="1:73" hidden="1" x14ac:dyDescent="0.35">
      <c r="A86" s="168">
        <v>45047</v>
      </c>
      <c r="B86" s="164">
        <f t="shared" si="391"/>
        <v>29551.040104042102</v>
      </c>
      <c r="C86" s="249">
        <f t="shared" si="417"/>
        <v>-7.85485087512372E-2</v>
      </c>
      <c r="D86" s="271"/>
      <c r="E86" s="272"/>
      <c r="F86" s="208">
        <f t="shared" ref="F86:F90" si="440">C86*80%</f>
        <v>-6.283880700098976E-2</v>
      </c>
      <c r="G86" s="208">
        <f t="shared" ref="G86:G101" si="441">C86*64%</f>
        <v>-5.0271045600791812E-2</v>
      </c>
      <c r="I86" s="183"/>
      <c r="J86" s="168">
        <v>45047</v>
      </c>
      <c r="K86" s="261">
        <f>'2023'!I31</f>
        <v>4.9764200000000001</v>
      </c>
      <c r="L86" s="248">
        <f t="shared" si="403"/>
        <v>-8.7312216515923469E-3</v>
      </c>
      <c r="M86" s="183"/>
      <c r="N86" s="183"/>
      <c r="O86" s="168">
        <v>45047</v>
      </c>
      <c r="P86" s="274">
        <f>'2023'!J29</f>
        <v>8245.4210526315783</v>
      </c>
      <c r="Q86" s="248">
        <f t="shared" si="418"/>
        <v>-6.2563390647953576E-2</v>
      </c>
      <c r="R86" s="218">
        <f t="shared" si="430"/>
        <v>41032.678234736843</v>
      </c>
      <c r="S86" s="153">
        <f t="shared" si="420"/>
        <v>-7.0748357468523371E-2</v>
      </c>
      <c r="U86" s="168">
        <v>45047</v>
      </c>
      <c r="V86" s="275">
        <f>AVERAGE('[2]2021_Base RPA'!$H$403:$H$424)</f>
        <v>2477.4</v>
      </c>
      <c r="W86" s="248">
        <f t="shared" si="421"/>
        <v>-0.10782006334007688</v>
      </c>
      <c r="X86" s="276">
        <f t="shared" si="345"/>
        <v>12328.582908</v>
      </c>
      <c r="Y86" s="153">
        <f t="shared" si="431"/>
        <v>-0.11560988412015838</v>
      </c>
      <c r="Z86" s="227"/>
      <c r="AA86" s="168">
        <v>45047</v>
      </c>
      <c r="AB86" s="277">
        <f>AVERAGE('[2]2021_Base RPA'!$J$403:$J$424)</f>
        <v>22229.5</v>
      </c>
      <c r="AC86" s="248">
        <f t="shared" si="423"/>
        <v>-6.3649991327832778E-2</v>
      </c>
      <c r="AD86" s="278">
        <f t="shared" ref="AD86:AD118" si="442">AB86*K86</f>
        <v>110623.32839</v>
      </c>
      <c r="AE86" s="209">
        <f t="shared" si="432"/>
        <v>-7.1825470797019841E-2</v>
      </c>
      <c r="AG86" s="168">
        <v>45047</v>
      </c>
      <c r="AH86" s="279">
        <f>AVERAGE('[2]2021_Base RPA'!$L$403:$L$424)</f>
        <v>2087.35</v>
      </c>
      <c r="AI86" s="235">
        <f t="shared" ref="AI86:AI95" si="443">AH86/AH85-1</f>
        <v>-2.7663072517776555E-2</v>
      </c>
      <c r="AJ86" s="280">
        <f t="shared" si="434"/>
        <v>10387.530287</v>
      </c>
      <c r="AK86" s="235">
        <f t="shared" ref="AK86:AK95" si="444">AJ86/AJ85-1</f>
        <v>-3.6152761751652274E-2</v>
      </c>
      <c r="AL86" s="255"/>
      <c r="AM86" s="168">
        <v>45047</v>
      </c>
      <c r="AN86" s="281">
        <f>AVERAGE('[2]2021_Base RPA'!$N$403:$N$424)</f>
        <v>1485.3</v>
      </c>
      <c r="AO86" s="235">
        <f t="shared" ref="AO86:AO95" si="445">AN86/AN85-1</f>
        <v>-2.0288674193923883E-2</v>
      </c>
      <c r="AP86" s="280">
        <f t="shared" si="437"/>
        <v>7391.4766259999997</v>
      </c>
      <c r="AQ86" s="235">
        <f t="shared" ref="AQ86:AQ89" si="446">AP86/AP85-1</f>
        <v>-2.8842750934112149E-2</v>
      </c>
      <c r="AR86" s="252"/>
      <c r="AS86" s="168">
        <v>45047</v>
      </c>
      <c r="AT86" s="200">
        <f t="shared" si="429"/>
        <v>33.451890930869212</v>
      </c>
      <c r="AU86" s="128">
        <f t="shared" ref="AU86" si="447">AT86/AT85-1</f>
        <v>-7.0748357468523149E-2</v>
      </c>
      <c r="AV86" s="235">
        <v>0.75</v>
      </c>
      <c r="AW86" s="91"/>
      <c r="AX86" s="91"/>
      <c r="AY86" s="91"/>
      <c r="AZ86" s="237"/>
      <c r="BA86" s="238"/>
      <c r="BB86"/>
      <c r="BC86" s="168">
        <v>45047</v>
      </c>
      <c r="BD86" s="229">
        <f>AVERAGE('[2]2021_Base RPA'!$D$403:$D$424)</f>
        <v>5.4071636363636353</v>
      </c>
      <c r="BE86" s="235">
        <f t="shared" si="415"/>
        <v>-1.7027573187553435E-2</v>
      </c>
      <c r="BG86" s="168">
        <v>45047</v>
      </c>
      <c r="BH86" s="311"/>
      <c r="BI86" s="249"/>
      <c r="BK86" s="168">
        <v>45047</v>
      </c>
      <c r="BL86" s="310"/>
      <c r="BM86" s="249"/>
      <c r="BO86" s="168">
        <v>45047</v>
      </c>
      <c r="BP86" s="310"/>
      <c r="BQ86" s="249"/>
      <c r="BS86" s="168"/>
      <c r="BT86" s="282"/>
      <c r="BU86" s="282"/>
    </row>
    <row r="87" spans="1:73" hidden="1" x14ac:dyDescent="0.35">
      <c r="A87" s="168">
        <v>45078</v>
      </c>
      <c r="B87" s="164">
        <f t="shared" si="391"/>
        <v>29000.357624545453</v>
      </c>
      <c r="C87" s="249">
        <f t="shared" si="417"/>
        <v>-1.8634960988101579E-2</v>
      </c>
      <c r="D87" s="271"/>
      <c r="E87" s="272"/>
      <c r="F87" s="208">
        <f t="shared" si="440"/>
        <v>-1.4907968790481264E-2</v>
      </c>
      <c r="G87" s="208">
        <f t="shared" si="441"/>
        <v>-1.1926375032385011E-2</v>
      </c>
      <c r="I87" s="183"/>
      <c r="J87" s="168">
        <v>45078</v>
      </c>
      <c r="K87" s="261">
        <f>'2023'!K31</f>
        <v>4.8509666666666664</v>
      </c>
      <c r="L87" s="248">
        <f t="shared" si="403"/>
        <v>-2.5209554927705824E-2</v>
      </c>
      <c r="M87" s="183"/>
      <c r="N87" s="183"/>
      <c r="O87" s="168">
        <v>45078</v>
      </c>
      <c r="P87" s="274">
        <f>'2023'!L29</f>
        <v>8385.363636363636</v>
      </c>
      <c r="Q87" s="248">
        <f t="shared" si="418"/>
        <v>1.6972157375443553E-2</v>
      </c>
      <c r="R87" s="218">
        <f t="shared" si="430"/>
        <v>40677.119487878786</v>
      </c>
      <c r="S87" s="153">
        <f t="shared" si="420"/>
        <v>-8.6652580858602724E-3</v>
      </c>
      <c r="U87" s="168">
        <v>45078</v>
      </c>
      <c r="V87" s="275">
        <f>AVERAGE('[2]2021_Base RPA'!$H$425:$H$446)</f>
        <v>2367.6136363636365</v>
      </c>
      <c r="W87" s="248">
        <f t="shared" si="421"/>
        <v>-4.4315154450780492E-2</v>
      </c>
      <c r="X87" s="276">
        <f t="shared" si="345"/>
        <v>11485.214829545455</v>
      </c>
      <c r="Y87" s="153">
        <f t="shared" si="431"/>
        <v>-6.8407544058229464E-2</v>
      </c>
      <c r="Z87" s="227"/>
      <c r="AA87" s="168">
        <v>45078</v>
      </c>
      <c r="AB87" s="277">
        <f>AVERAGE('[2]2021_Base RPA'!$J$425:$J$446)</f>
        <v>21187.954545454544</v>
      </c>
      <c r="AC87" s="248">
        <f t="shared" si="423"/>
        <v>-4.6854200703814963E-2</v>
      </c>
      <c r="AD87" s="278">
        <f t="shared" si="442"/>
        <v>102782.06123484847</v>
      </c>
      <c r="AE87" s="209">
        <f t="shared" si="432"/>
        <v>-7.0882582085284196E-2</v>
      </c>
      <c r="AG87" s="168">
        <v>45078</v>
      </c>
      <c r="AH87" s="279">
        <f>AVERAGE('[2]2021_Base RPA'!$L$425:$L$446)</f>
        <v>2117.8636363636365</v>
      </c>
      <c r="AI87" s="235">
        <f t="shared" si="443"/>
        <v>1.4618361254047807E-2</v>
      </c>
      <c r="AJ87" s="280">
        <f t="shared" si="434"/>
        <v>10273.685904545455</v>
      </c>
      <c r="AK87" s="235">
        <f t="shared" si="444"/>
        <v>-1.0959716054644963E-2</v>
      </c>
      <c r="AL87" s="255"/>
      <c r="AM87" s="168">
        <v>45078</v>
      </c>
      <c r="AN87" s="281">
        <f>AVERAGE('[2]2021_Base RPA'!$N$425:$N$436)</f>
        <v>1382.25</v>
      </c>
      <c r="AO87" s="235">
        <f t="shared" si="445"/>
        <v>-6.9379923247828712E-2</v>
      </c>
      <c r="AP87" s="280">
        <f t="shared" si="437"/>
        <v>6705.2486749999998</v>
      </c>
      <c r="AQ87" s="235">
        <f t="shared" si="446"/>
        <v>-9.284044118953827E-2</v>
      </c>
      <c r="AR87" s="252"/>
      <c r="AS87" s="168">
        <v>45078</v>
      </c>
      <c r="AT87" s="200">
        <f t="shared" si="429"/>
        <v>33.162021662493181</v>
      </c>
      <c r="AU87" s="163">
        <f t="shared" ref="AU87:AU95" si="448">AT87/AT86-1</f>
        <v>-8.6652580858602724E-3</v>
      </c>
      <c r="AV87" s="235">
        <v>0.75</v>
      </c>
      <c r="AW87" s="91"/>
      <c r="AX87" s="91"/>
      <c r="AY87" s="91"/>
      <c r="AZ87" s="237"/>
      <c r="BA87" s="238"/>
      <c r="BB87"/>
      <c r="BC87" s="168">
        <v>45078</v>
      </c>
      <c r="BD87" s="229">
        <f>AVERAGE('[2]2021_Base RPA'!$D$425:$D$446)</f>
        <v>5.2603190476190473</v>
      </c>
      <c r="BE87" s="235">
        <f t="shared" si="415"/>
        <v>-2.715741535119176E-2</v>
      </c>
      <c r="BG87" s="168"/>
      <c r="BH87" s="311"/>
      <c r="BI87" s="249"/>
      <c r="BK87" s="168"/>
      <c r="BL87" s="310"/>
      <c r="BM87" s="249"/>
      <c r="BO87" s="168"/>
      <c r="BP87" s="310"/>
      <c r="BQ87" s="249"/>
      <c r="BS87" s="168"/>
      <c r="BT87" s="282"/>
      <c r="BU87" s="282"/>
    </row>
    <row r="88" spans="1:73" hidden="1" x14ac:dyDescent="0.35">
      <c r="A88" s="168">
        <v>45108</v>
      </c>
      <c r="B88" s="164">
        <f t="shared" si="391"/>
        <v>28943.03107047618</v>
      </c>
      <c r="C88" s="249">
        <f t="shared" si="417"/>
        <v>-1.9767533494398082E-3</v>
      </c>
      <c r="D88" s="271"/>
      <c r="E88" s="272"/>
      <c r="F88" s="208">
        <f t="shared" si="440"/>
        <v>-1.5814026795518466E-3</v>
      </c>
      <c r="G88" s="208">
        <f t="shared" si="441"/>
        <v>-1.2651221436414772E-3</v>
      </c>
      <c r="I88" s="183"/>
      <c r="J88" s="168">
        <v>45108</v>
      </c>
      <c r="K88" s="261">
        <f>'2023'!A69</f>
        <v>4.8031999999999986</v>
      </c>
      <c r="L88" s="248">
        <f t="shared" si="403"/>
        <v>-9.8468346515130367E-3</v>
      </c>
      <c r="M88" s="183"/>
      <c r="N88" s="183"/>
      <c r="O88" s="168">
        <v>45108</v>
      </c>
      <c r="P88" s="274">
        <f>'2023'!B66</f>
        <v>8445.2380952380954</v>
      </c>
      <c r="Q88" s="248">
        <f t="shared" si="418"/>
        <v>7.1403532954503746E-3</v>
      </c>
      <c r="R88" s="218">
        <f t="shared" si="430"/>
        <v>40564.167619047606</v>
      </c>
      <c r="S88" s="153">
        <f t="shared" si="420"/>
        <v>-2.7767912343162893E-3</v>
      </c>
      <c r="U88" s="168">
        <v>45108</v>
      </c>
      <c r="V88" s="275">
        <f>AVERAGE('[2]2021_Base RPA'!$H$447:$H$467)</f>
        <v>2396.5952380952381</v>
      </c>
      <c r="W88" s="248">
        <f t="shared" ref="W88:W95" si="449">V88/V87-1</f>
        <v>1.2240849303484236E-2</v>
      </c>
      <c r="X88" s="276">
        <f t="shared" si="345"/>
        <v>11511.326247619045</v>
      </c>
      <c r="Y88" s="153">
        <f t="shared" si="431"/>
        <v>2.2734810328857158E-3</v>
      </c>
      <c r="Z88" s="227"/>
      <c r="AA88" s="168">
        <v>45108</v>
      </c>
      <c r="AB88" s="277">
        <f>AVERAGE('[2]2021_Base RPA'!$J$447:$J$467)</f>
        <v>20898.333333333332</v>
      </c>
      <c r="AC88" s="248">
        <f t="shared" si="423"/>
        <v>-1.3669144489614982E-2</v>
      </c>
      <c r="AD88" s="278">
        <f t="shared" si="442"/>
        <v>100378.87466666663</v>
      </c>
      <c r="AE88" s="209">
        <f t="shared" si="432"/>
        <v>-2.3381381335511153E-2</v>
      </c>
      <c r="AG88" s="168">
        <v>45108</v>
      </c>
      <c r="AH88" s="279">
        <f>AVERAGE('[2]2021_Base RPA'!$L$447:$L$467)</f>
        <v>2106.9047619047619</v>
      </c>
      <c r="AI88" s="235">
        <f t="shared" si="443"/>
        <v>-5.1744948403245061E-3</v>
      </c>
      <c r="AJ88" s="280">
        <f t="shared" si="434"/>
        <v>10119.884952380949</v>
      </c>
      <c r="AK88" s="235">
        <f t="shared" si="444"/>
        <v>-1.4970377096739762E-2</v>
      </c>
      <c r="AL88" s="255"/>
      <c r="AM88" s="168">
        <v>45108</v>
      </c>
      <c r="AN88" s="281">
        <f>AVERAGE('[2]2021_Base RPA'!$N$447:$N$467)</f>
        <v>1260.1904761904761</v>
      </c>
      <c r="AO88" s="235">
        <f t="shared" si="445"/>
        <v>-8.8304954826929904E-2</v>
      </c>
      <c r="AP88" s="280">
        <f t="shared" si="437"/>
        <v>6052.946895238093</v>
      </c>
      <c r="AQ88" s="235">
        <f t="shared" si="446"/>
        <v>-9.7282265189352901E-2</v>
      </c>
      <c r="AR88" s="252"/>
      <c r="AS88" s="168">
        <v>45108</v>
      </c>
      <c r="AT88" s="200">
        <f t="shared" si="429"/>
        <v>33.06993765142856</v>
      </c>
      <c r="AU88" s="163">
        <f t="shared" si="448"/>
        <v>-2.7767912343164003E-3</v>
      </c>
      <c r="AV88" s="235">
        <v>0.75</v>
      </c>
      <c r="AW88" s="91"/>
      <c r="AX88" s="91"/>
      <c r="AY88" s="91"/>
      <c r="AZ88" s="237"/>
      <c r="BA88" s="238"/>
      <c r="BB88"/>
      <c r="BC88" s="168">
        <v>45108</v>
      </c>
      <c r="BD88" s="229">
        <f>AVERAGE('[2]2021_Base RPA'!$D$447:$D$467)</f>
        <v>5.3073523809523815</v>
      </c>
      <c r="BE88" s="317">
        <f t="shared" si="415"/>
        <v>8.9411560225842734E-3</v>
      </c>
      <c r="BG88" s="168"/>
      <c r="BH88" s="311"/>
      <c r="BI88" s="249"/>
      <c r="BK88" s="168"/>
      <c r="BL88" s="310"/>
      <c r="BM88" s="249"/>
      <c r="BO88" s="168"/>
      <c r="BP88" s="310"/>
      <c r="BQ88" s="249"/>
      <c r="BS88" s="168"/>
      <c r="BT88" s="282"/>
      <c r="BU88" s="282"/>
    </row>
    <row r="89" spans="1:73" hidden="1" x14ac:dyDescent="0.35">
      <c r="A89" s="168">
        <v>45139</v>
      </c>
      <c r="B89" s="164">
        <f t="shared" si="391"/>
        <v>29277.793263794465</v>
      </c>
      <c r="C89" s="249">
        <f t="shared" si="417"/>
        <v>1.1566245169800649E-2</v>
      </c>
      <c r="D89" s="271"/>
      <c r="E89" s="272"/>
      <c r="F89" s="208">
        <f t="shared" si="440"/>
        <v>9.2529961358405188E-3</v>
      </c>
      <c r="G89" s="208">
        <f t="shared" si="441"/>
        <v>7.4023969086724154E-3</v>
      </c>
      <c r="I89" s="183"/>
      <c r="J89" s="168">
        <v>45139</v>
      </c>
      <c r="K89" s="261">
        <f>'2023'!C69</f>
        <v>4.9029434782608687</v>
      </c>
      <c r="L89" s="248">
        <f t="shared" si="403"/>
        <v>2.0766047272832822E-2</v>
      </c>
      <c r="M89" s="183"/>
      <c r="N89" s="183"/>
      <c r="O89" s="168">
        <v>45139</v>
      </c>
      <c r="P89" s="274">
        <f>'2023'!D66</f>
        <v>8351.7727272727279</v>
      </c>
      <c r="Q89" s="248">
        <f t="shared" si="418"/>
        <v>-1.1067227106133171E-2</v>
      </c>
      <c r="R89" s="218">
        <f t="shared" si="430"/>
        <v>40948.269625098808</v>
      </c>
      <c r="S89" s="153">
        <f t="shared" si="420"/>
        <v>9.4689976054345149E-3</v>
      </c>
      <c r="U89" s="168">
        <v>45139</v>
      </c>
      <c r="V89" s="275">
        <f>AVERAGE('[2]2021_Base RPA'!$H$468:$H$490)</f>
        <v>2401.0227272727275</v>
      </c>
      <c r="W89" s="248">
        <f t="shared" si="449"/>
        <v>1.8474079840899993E-3</v>
      </c>
      <c r="X89" s="276">
        <f t="shared" si="345"/>
        <v>11772.078721837943</v>
      </c>
      <c r="Y89" s="153">
        <f t="shared" si="431"/>
        <v>2.2651818618452557E-2</v>
      </c>
      <c r="Z89" s="227"/>
      <c r="AA89" s="168">
        <v>45139</v>
      </c>
      <c r="AB89" s="277">
        <f>AVERAGE('[2]2021_Base RPA'!$J$468:$J$490)</f>
        <v>20497.727272727272</v>
      </c>
      <c r="AC89" s="248">
        <f t="shared" si="423"/>
        <v>-1.9169282746920535E-2</v>
      </c>
      <c r="AD89" s="278">
        <f t="shared" si="442"/>
        <v>100499.19825098812</v>
      </c>
      <c r="AE89" s="209">
        <f t="shared" ref="AE89:AE95" si="450">AD89/AD88-1</f>
        <v>1.198694294203495E-3</v>
      </c>
      <c r="AG89" s="168">
        <v>45139</v>
      </c>
      <c r="AH89" s="279">
        <f>AVERAGE('[2]2021_Base RPA'!$L$468:$L$490)</f>
        <v>2151.4545454545455</v>
      </c>
      <c r="AI89" s="235">
        <f t="shared" si="443"/>
        <v>2.1144659386268527E-2</v>
      </c>
      <c r="AJ89" s="280">
        <f t="shared" si="434"/>
        <v>10548.460032411065</v>
      </c>
      <c r="AK89" s="235">
        <f t="shared" si="444"/>
        <v>4.2349797655484522E-2</v>
      </c>
      <c r="AL89" s="255"/>
      <c r="AM89" s="168">
        <v>45139</v>
      </c>
      <c r="AN89" s="281">
        <f>AVERAGE('[2]2021_Base RPA'!$N$468:$N$490)</f>
        <v>1243.3181818181818</v>
      </c>
      <c r="AO89" s="235">
        <f t="shared" si="445"/>
        <v>-1.3388685830493574E-2</v>
      </c>
      <c r="AP89" s="280">
        <f t="shared" si="437"/>
        <v>6095.918770948615</v>
      </c>
      <c r="AQ89" s="235">
        <f t="shared" si="446"/>
        <v>7.0993313594620577E-3</v>
      </c>
      <c r="AR89" s="252"/>
      <c r="AS89" s="168">
        <v>45139</v>
      </c>
      <c r="AT89" s="200">
        <f t="shared" si="429"/>
        <v>33.383076811861798</v>
      </c>
      <c r="AU89" s="163">
        <f t="shared" si="448"/>
        <v>9.4689976054342928E-3</v>
      </c>
      <c r="AV89" s="235">
        <v>0.75</v>
      </c>
      <c r="AW89" s="91"/>
      <c r="AX89" s="91"/>
      <c r="AY89" s="91"/>
      <c r="AZ89" s="237"/>
      <c r="BA89" s="238"/>
      <c r="BB89"/>
      <c r="BC89" s="168">
        <v>45139</v>
      </c>
      <c r="BD89" s="229">
        <f>AVERAGE('[2]2021_Base RPA'!$D$468:$D$490)</f>
        <v>5.3478347826086958</v>
      </c>
      <c r="BE89" s="317">
        <f t="shared" si="415"/>
        <v>7.6276076564281148E-3</v>
      </c>
      <c r="BG89" s="168"/>
      <c r="BH89" s="311"/>
      <c r="BI89" s="249"/>
      <c r="BK89" s="168"/>
      <c r="BL89" s="310"/>
      <c r="BM89" s="249"/>
      <c r="BO89" s="168"/>
      <c r="BP89" s="310"/>
      <c r="BQ89" s="249"/>
      <c r="BS89" s="168"/>
      <c r="BT89" s="282"/>
      <c r="BU89" s="282"/>
    </row>
    <row r="90" spans="1:73" hidden="1" x14ac:dyDescent="0.35">
      <c r="A90" s="168">
        <v>45170</v>
      </c>
      <c r="B90" s="164">
        <f t="shared" si="391"/>
        <v>29411.951884761897</v>
      </c>
      <c r="C90" s="249">
        <f t="shared" si="417"/>
        <v>4.5822654651139771E-3</v>
      </c>
      <c r="D90" s="271"/>
      <c r="E90" s="272"/>
      <c r="F90" s="208">
        <f t="shared" si="440"/>
        <v>3.6658123720911817E-3</v>
      </c>
      <c r="G90" s="208">
        <f t="shared" si="441"/>
        <v>2.9326498976729454E-3</v>
      </c>
      <c r="I90" s="183"/>
      <c r="J90" s="168">
        <v>45170</v>
      </c>
      <c r="K90" s="261">
        <f>'2023'!E69</f>
        <v>4.9363899999999985</v>
      </c>
      <c r="L90" s="248">
        <f t="shared" si="403"/>
        <v>6.8217228869613677E-3</v>
      </c>
      <c r="M90" s="183"/>
      <c r="N90" s="183"/>
      <c r="O90" s="168">
        <v>45170</v>
      </c>
      <c r="P90" s="274">
        <f>'2023'!F66</f>
        <v>8272</v>
      </c>
      <c r="Q90" s="248">
        <f t="shared" si="418"/>
        <v>-9.5515922041592427E-3</v>
      </c>
      <c r="R90" s="218">
        <f t="shared" si="430"/>
        <v>40833.81807999999</v>
      </c>
      <c r="S90" s="153">
        <f t="shared" si="420"/>
        <v>-2.7950276323438494E-3</v>
      </c>
      <c r="U90" s="168">
        <v>45170</v>
      </c>
      <c r="V90" s="275">
        <f>AVERAGE('[2]2021_Base RPA'!$H$491:$H$511)</f>
        <v>2487.4761904761904</v>
      </c>
      <c r="W90" s="248">
        <f t="shared" si="449"/>
        <v>3.6006932471507103E-2</v>
      </c>
      <c r="X90" s="276">
        <f t="shared" si="345"/>
        <v>12279.152591904758</v>
      </c>
      <c r="Y90" s="153">
        <f t="shared" si="431"/>
        <v>4.3074284673798591E-2</v>
      </c>
      <c r="Z90" s="227"/>
      <c r="AA90" s="168">
        <v>45170</v>
      </c>
      <c r="AB90" s="277">
        <f>AVERAGE('[2]2021_Base RPA'!$J$491:$J$511)</f>
        <v>19629.047619047618</v>
      </c>
      <c r="AC90" s="248">
        <f t="shared" si="423"/>
        <v>-4.2379315624686553E-2</v>
      </c>
      <c r="AD90" s="278">
        <f t="shared" si="442"/>
        <v>96896.634376190443</v>
      </c>
      <c r="AE90" s="209">
        <f t="shared" si="450"/>
        <v>-3.5846692685055914E-2</v>
      </c>
      <c r="AG90" s="168">
        <v>45170</v>
      </c>
      <c r="AH90" s="279">
        <f>AVERAGE('[2]2021_Base RPA'!$L$491:$L$511)</f>
        <v>2251.8095238095239</v>
      </c>
      <c r="AI90" s="235">
        <f t="shared" si="443"/>
        <v>4.6645177127725868E-2</v>
      </c>
      <c r="AJ90" s="280">
        <f t="shared" si="434"/>
        <v>11115.810015238092</v>
      </c>
      <c r="AK90" s="235">
        <f t="shared" si="444"/>
        <v>5.3785100487065751E-2</v>
      </c>
      <c r="AL90" s="255"/>
      <c r="AM90" s="168">
        <v>45170</v>
      </c>
      <c r="AN90" s="281">
        <f>AVERAGE('[2]2021_Base RPA'!$N$491:$N$511)</f>
        <v>1243.4000000000001</v>
      </c>
      <c r="AO90" s="235">
        <f t="shared" si="445"/>
        <v>6.5806310094007614E-5</v>
      </c>
      <c r="AP90" s="280">
        <f t="shared" si="437"/>
        <v>6137.9073259999986</v>
      </c>
      <c r="AQ90" s="235">
        <f t="shared" ref="AQ90:AQ95" si="451">AP90/AP89-1</f>
        <v>6.8879781094670633E-3</v>
      </c>
      <c r="AR90" s="252"/>
      <c r="AS90" s="168">
        <v>45170</v>
      </c>
      <c r="AT90" s="200">
        <f t="shared" si="429"/>
        <v>33.289770189719988</v>
      </c>
      <c r="AU90" s="163">
        <f t="shared" si="448"/>
        <v>-2.7950276323438494E-3</v>
      </c>
      <c r="AV90" s="235">
        <v>0.75</v>
      </c>
      <c r="AW90" s="91"/>
      <c r="AX90" s="91"/>
      <c r="AY90" s="91"/>
      <c r="AZ90" s="237"/>
      <c r="BA90" s="238"/>
      <c r="BB90"/>
      <c r="BC90" s="168">
        <v>45170</v>
      </c>
      <c r="BD90" s="229">
        <f>AVERAGE('[2]2021_Base RPA'!$D$491:$D$511)</f>
        <v>5.2689999999999992</v>
      </c>
      <c r="BE90" s="317">
        <f t="shared" si="415"/>
        <v>-1.4741439444814097E-2</v>
      </c>
      <c r="BG90" s="168"/>
      <c r="BH90" s="311"/>
      <c r="BI90" s="249"/>
      <c r="BK90" s="168"/>
      <c r="BL90" s="310"/>
      <c r="BM90" s="249"/>
      <c r="BO90" s="168"/>
      <c r="BP90" s="310"/>
      <c r="BQ90" s="249"/>
      <c r="BS90" s="168"/>
      <c r="BT90" s="282"/>
      <c r="BU90" s="282"/>
    </row>
    <row r="91" spans="1:73" hidden="1" x14ac:dyDescent="0.35">
      <c r="A91" s="168">
        <v>45200</v>
      </c>
      <c r="B91" s="164">
        <f t="shared" si="391"/>
        <v>29081.557844181814</v>
      </c>
      <c r="C91" s="249">
        <f t="shared" ref="C91:C95" si="452">(B91/B90-1)</f>
        <v>-1.1233325889916768E-2</v>
      </c>
      <c r="D91" s="271"/>
      <c r="E91" s="272"/>
      <c r="F91" s="208">
        <f t="shared" ref="F91:F114" si="453">C91*80%</f>
        <v>-8.9866607119334137E-3</v>
      </c>
      <c r="G91" s="208">
        <f t="shared" si="441"/>
        <v>-7.189328569546731E-3</v>
      </c>
      <c r="I91" s="183"/>
      <c r="J91" s="168">
        <v>45200</v>
      </c>
      <c r="K91" s="261">
        <f>'2023'!G69</f>
        <v>5.0643599999999998</v>
      </c>
      <c r="L91" s="248">
        <f t="shared" si="403"/>
        <v>2.5923802616892422E-2</v>
      </c>
      <c r="M91" s="183"/>
      <c r="N91" s="183"/>
      <c r="O91" s="168">
        <v>45200</v>
      </c>
      <c r="P91" s="274">
        <f>'2023'!H66</f>
        <v>7939.340909090909</v>
      </c>
      <c r="Q91" s="248">
        <f t="shared" si="418"/>
        <v>-4.0215073852646444E-2</v>
      </c>
      <c r="R91" s="218">
        <f t="shared" ref="R91:R96" si="454">P91*K91</f>
        <v>40207.680526363634</v>
      </c>
      <c r="S91" s="166">
        <f t="shared" ref="S91:S96" si="455">R91/R90-1</f>
        <v>-1.5333798872533833E-2</v>
      </c>
      <c r="U91" s="168">
        <v>45200</v>
      </c>
      <c r="V91" s="275">
        <f>AVERAGE('[2]2021_Base RPA'!$H$512:$H$533)</f>
        <v>2446.9772727272725</v>
      </c>
      <c r="W91" s="248">
        <f t="shared" si="449"/>
        <v>-1.628112779691171E-2</v>
      </c>
      <c r="X91" s="276">
        <f t="shared" si="345"/>
        <v>12392.37382090909</v>
      </c>
      <c r="Y91" s="153">
        <f t="shared" si="431"/>
        <v>9.2206060765931408E-3</v>
      </c>
      <c r="Z91" s="227"/>
      <c r="AA91" s="168">
        <v>45200</v>
      </c>
      <c r="AB91" s="277">
        <f>AVERAGE('[2]2021_Base RPA'!$J$512:$J$533)</f>
        <v>18255.227272727272</v>
      </c>
      <c r="AC91" s="248">
        <f t="shared" si="423"/>
        <v>-6.9989149396490369E-2</v>
      </c>
      <c r="AD91" s="278">
        <f t="shared" si="442"/>
        <v>92451.042790909079</v>
      </c>
      <c r="AE91" s="209">
        <f t="shared" si="450"/>
        <v>-4.5879731673876822E-2</v>
      </c>
      <c r="AG91" s="168">
        <v>45200</v>
      </c>
      <c r="AH91" s="279">
        <f>AVERAGE('[2]2021_Base RPA'!$L$512:$L$533)</f>
        <v>2135.8863636363635</v>
      </c>
      <c r="AI91" s="235">
        <f t="shared" si="443"/>
        <v>-5.1480002614539999E-2</v>
      </c>
      <c r="AJ91" s="280">
        <f t="shared" si="434"/>
        <v>10816.897464545453</v>
      </c>
      <c r="AK91" s="235">
        <f t="shared" si="444"/>
        <v>-2.6890757424144152E-2</v>
      </c>
      <c r="AL91" s="255"/>
      <c r="AM91" s="168">
        <v>45200</v>
      </c>
      <c r="AN91" s="281">
        <f>AVERAGE('[2]2021_Base RPA'!$N$512:$N$533)</f>
        <v>1142.4285714285713</v>
      </c>
      <c r="AO91" s="235">
        <f t="shared" si="445"/>
        <v>-8.1205910062271847E-2</v>
      </c>
      <c r="AP91" s="280">
        <f t="shared" si="437"/>
        <v>5785.6695599999994</v>
      </c>
      <c r="AQ91" s="235">
        <f t="shared" si="451"/>
        <v>-5.7387273429158836E-2</v>
      </c>
      <c r="AR91" s="252"/>
      <c r="AS91" s="168">
        <v>45200</v>
      </c>
      <c r="AT91" s="200">
        <f t="shared" si="429"/>
        <v>32.779311549117949</v>
      </c>
      <c r="AU91" s="321">
        <f t="shared" si="448"/>
        <v>-1.5333798872533833E-2</v>
      </c>
      <c r="AV91" s="235">
        <v>0.75</v>
      </c>
      <c r="AW91" s="91"/>
      <c r="AX91" s="91"/>
      <c r="AY91" s="91"/>
      <c r="AZ91" s="237"/>
      <c r="BA91" s="238"/>
      <c r="BB91"/>
      <c r="BC91" s="168">
        <v>45200</v>
      </c>
      <c r="BD91" s="229">
        <f>AVERAGE('[2]2021_Base RPA'!$D$512:$D$533)</f>
        <v>5.3499349999999994</v>
      </c>
      <c r="BE91" s="317">
        <f t="shared" si="415"/>
        <v>1.5360599734294933E-2</v>
      </c>
      <c r="BG91" s="168"/>
      <c r="BH91" s="311"/>
      <c r="BI91" s="249"/>
      <c r="BK91" s="168"/>
      <c r="BL91" s="310"/>
      <c r="BM91" s="249"/>
      <c r="BO91" s="168"/>
      <c r="BP91" s="310"/>
      <c r="BQ91" s="249"/>
      <c r="BS91" s="168"/>
      <c r="BT91" s="282"/>
      <c r="BU91" s="282"/>
    </row>
    <row r="92" spans="1:73" hidden="1" x14ac:dyDescent="0.35">
      <c r="A92" s="168">
        <v>45231</v>
      </c>
      <c r="B92" s="164">
        <f t="shared" si="391"/>
        <v>29012.294980123967</v>
      </c>
      <c r="C92" s="249">
        <f t="shared" si="452"/>
        <v>-2.3816765397836059E-3</v>
      </c>
      <c r="D92" s="271"/>
      <c r="E92" s="272"/>
      <c r="F92" s="208">
        <f t="shared" si="453"/>
        <v>-1.9053412318268848E-3</v>
      </c>
      <c r="G92" s="208">
        <f t="shared" si="441"/>
        <v>-1.5242729854615079E-3</v>
      </c>
      <c r="I92" s="183"/>
      <c r="J92" s="168">
        <v>45231</v>
      </c>
      <c r="K92" s="261">
        <f>'2023'!I69</f>
        <v>4.8991681818181823</v>
      </c>
      <c r="L92" s="248">
        <f t="shared" si="403"/>
        <v>-3.2618498325912348E-2</v>
      </c>
      <c r="M92" s="183"/>
      <c r="N92" s="183"/>
      <c r="O92" s="168">
        <v>45231</v>
      </c>
      <c r="P92" s="274">
        <f>'2023'!J66</f>
        <v>8173.954545454545</v>
      </c>
      <c r="Q92" s="248">
        <f t="shared" si="418"/>
        <v>2.9550769900180685E-2</v>
      </c>
      <c r="R92" s="218">
        <f t="shared" si="454"/>
        <v>40045.578028719006</v>
      </c>
      <c r="S92" s="166">
        <f t="shared" si="455"/>
        <v>-4.0316301642503438E-3</v>
      </c>
      <c r="U92" s="168">
        <v>45231</v>
      </c>
      <c r="V92" s="275">
        <f>AVERAGE('[2]2021_Base RPA'!$H$534:$H$555)</f>
        <v>2543.7727272727275</v>
      </c>
      <c r="W92" s="248">
        <f t="shared" si="449"/>
        <v>3.9557153073829676E-2</v>
      </c>
      <c r="X92" s="276">
        <f t="shared" si="345"/>
        <v>12462.370407231407</v>
      </c>
      <c r="Y92" s="153">
        <f t="shared" ref="Y92:Y105" si="456">X92/X91-1</f>
        <v>5.6483598166006121E-3</v>
      </c>
      <c r="Z92" s="227"/>
      <c r="AA92" s="168">
        <v>45231</v>
      </c>
      <c r="AB92" s="277">
        <f>AVERAGE('[2]2021_Base RPA'!$J$534:$J$555)</f>
        <v>16979.772727272728</v>
      </c>
      <c r="AC92" s="248">
        <f t="shared" si="423"/>
        <v>-6.9867908320157324E-2</v>
      </c>
      <c r="AD92" s="278">
        <f t="shared" si="442"/>
        <v>83186.762279958682</v>
      </c>
      <c r="AE92" s="209">
        <f t="shared" si="450"/>
        <v>-0.10020742039549368</v>
      </c>
      <c r="AG92" s="168">
        <v>45231</v>
      </c>
      <c r="AH92" s="279">
        <f>AVERAGE('[2]2021_Base RPA'!$L$534:$L$555)</f>
        <v>2185.068181818182</v>
      </c>
      <c r="AI92" s="235">
        <f t="shared" si="443"/>
        <v>2.3026420796135483E-2</v>
      </c>
      <c r="AJ92" s="280">
        <f t="shared" si="434"/>
        <v>10705.016511466943</v>
      </c>
      <c r="AK92" s="235">
        <f t="shared" si="444"/>
        <v>-1.0343164797967375E-2</v>
      </c>
      <c r="AL92" s="255"/>
      <c r="AM92" s="168">
        <v>45231</v>
      </c>
      <c r="AN92" s="281">
        <f>AVERAGE('[2]2021_Base RPA'!$N$534:$N$555)</f>
        <v>1050.2727272727273</v>
      </c>
      <c r="AO92" s="235">
        <f t="shared" si="445"/>
        <v>-8.0666613616469762E-2</v>
      </c>
      <c r="AP92" s="280">
        <f t="shared" si="437"/>
        <v>5145.462727685951</v>
      </c>
      <c r="AQ92" s="235">
        <f t="shared" si="451"/>
        <v>-0.11065388814117627</v>
      </c>
      <c r="AR92" s="252"/>
      <c r="AS92" s="168">
        <v>45231</v>
      </c>
      <c r="AT92" s="200">
        <f t="shared" si="429"/>
        <v>32.647157487913169</v>
      </c>
      <c r="AU92" s="321">
        <f t="shared" si="448"/>
        <v>-4.0316301642502328E-3</v>
      </c>
      <c r="AV92" s="235">
        <v>0.75</v>
      </c>
      <c r="AW92" s="91"/>
      <c r="AX92" s="91"/>
      <c r="AY92" s="91"/>
      <c r="AZ92" s="237"/>
      <c r="BA92" s="238"/>
      <c r="BB92"/>
      <c r="BC92" s="168">
        <v>45231</v>
      </c>
      <c r="BD92" s="229">
        <f>AVERAGE('[2]2021_Base RPA'!$D$534:$D$555)</f>
        <v>5.3000350000000003</v>
      </c>
      <c r="BE92" s="317">
        <f t="shared" si="415"/>
        <v>-9.327216125055604E-3</v>
      </c>
      <c r="BG92" s="168"/>
      <c r="BH92" s="311"/>
      <c r="BI92" s="249"/>
      <c r="BK92" s="168"/>
      <c r="BL92" s="310"/>
      <c r="BM92" s="249"/>
      <c r="BO92" s="168"/>
      <c r="BP92" s="310"/>
      <c r="BQ92" s="249"/>
      <c r="BS92" s="168"/>
      <c r="BT92" s="282"/>
      <c r="BU92" s="282"/>
    </row>
    <row r="93" spans="1:73" hidden="1" x14ac:dyDescent="0.35">
      <c r="A93" s="168">
        <v>45261</v>
      </c>
      <c r="B93" s="164">
        <f t="shared" si="391"/>
        <v>29561.754539097747</v>
      </c>
      <c r="C93" s="249">
        <f t="shared" si="452"/>
        <v>1.8938851936746381E-2</v>
      </c>
      <c r="D93" s="271"/>
      <c r="E93" s="272"/>
      <c r="F93" s="208">
        <f t="shared" si="453"/>
        <v>1.5151081549397106E-2</v>
      </c>
      <c r="G93" s="208">
        <f t="shared" si="441"/>
        <v>1.2120865239517685E-2</v>
      </c>
      <c r="I93" s="183"/>
      <c r="J93" s="168">
        <v>45261</v>
      </c>
      <c r="K93" s="261">
        <f>'2023'!K69</f>
        <v>4.896642857142858</v>
      </c>
      <c r="L93" s="248">
        <f t="shared" si="403"/>
        <v>-5.154598865775295E-4</v>
      </c>
      <c r="M93" s="183"/>
      <c r="N93" s="183"/>
      <c r="O93" s="168">
        <v>45261</v>
      </c>
      <c r="P93" s="274">
        <f>'2023'!L66</f>
        <v>8394.105263157895</v>
      </c>
      <c r="Q93" s="248">
        <f t="shared" si="418"/>
        <v>2.6933195735199478E-2</v>
      </c>
      <c r="R93" s="218">
        <f t="shared" si="454"/>
        <v>41102.935578947378</v>
      </c>
      <c r="S93" s="166">
        <f t="shared" si="455"/>
        <v>2.6403852866603073E-2</v>
      </c>
      <c r="U93" s="168">
        <v>45261</v>
      </c>
      <c r="V93" s="275">
        <f>AVERAGE('[2]2021_Base RPA'!$H$556:$H$574)</f>
        <v>2501.7105263157896</v>
      </c>
      <c r="W93" s="248">
        <f t="shared" si="449"/>
        <v>-1.6535361239616075E-2</v>
      </c>
      <c r="X93" s="276">
        <f t="shared" si="345"/>
        <v>12249.982979323311</v>
      </c>
      <c r="Y93" s="153">
        <f t="shared" si="456"/>
        <v>-1.7042297810764495E-2</v>
      </c>
      <c r="Z93" s="227"/>
      <c r="AA93" s="168">
        <v>45261</v>
      </c>
      <c r="AB93" s="277">
        <f>AVERAGE('[2]2021_Base RPA'!$J$556:$J$574)</f>
        <v>16387.63157894737</v>
      </c>
      <c r="AC93" s="248">
        <f t="shared" si="423"/>
        <v>-3.4873325917623599E-2</v>
      </c>
      <c r="AD93" s="278">
        <f t="shared" si="442"/>
        <v>80244.379116541371</v>
      </c>
      <c r="AE93" s="209">
        <f t="shared" si="450"/>
        <v>-3.5370810003579001E-2</v>
      </c>
      <c r="AG93" s="168">
        <v>45261</v>
      </c>
      <c r="AH93" s="279">
        <f>AVERAGE('[2]2021_Base RPA'!$L$556:$L$574)</f>
        <v>2036.3947368421052</v>
      </c>
      <c r="AI93" s="235">
        <f t="shared" si="443"/>
        <v>-6.8040643405628876E-2</v>
      </c>
      <c r="AJ93" s="280">
        <f t="shared" si="434"/>
        <v>9971.4977424812041</v>
      </c>
      <c r="AK93" s="235">
        <f t="shared" si="444"/>
        <v>-6.8521031069873839E-2</v>
      </c>
      <c r="AL93" s="255"/>
      <c r="AM93" s="168">
        <v>45261</v>
      </c>
      <c r="AN93" s="281">
        <f>AVERAGE('[2]2021_Base RPA'!$N$556:$N$574)</f>
        <v>1067.8421052631579</v>
      </c>
      <c r="AO93" s="235">
        <f t="shared" si="445"/>
        <v>1.6728395905369897E-2</v>
      </c>
      <c r="AP93" s="280">
        <f t="shared" si="437"/>
        <v>5228.8414172932344</v>
      </c>
      <c r="AQ93" s="235">
        <f t="shared" si="451"/>
        <v>1.6204313201736209E-2</v>
      </c>
      <c r="AR93" s="252"/>
      <c r="AS93" s="168">
        <v>45261</v>
      </c>
      <c r="AT93" s="200">
        <f t="shared" si="429"/>
        <v>33.509168230736847</v>
      </c>
      <c r="AU93" s="321">
        <f t="shared" si="448"/>
        <v>2.6403852866603073E-2</v>
      </c>
      <c r="AV93" s="235">
        <v>0.75</v>
      </c>
      <c r="AW93" s="91"/>
      <c r="AX93" s="91"/>
      <c r="AY93" s="91"/>
      <c r="AZ93" s="237"/>
      <c r="BA93" s="238"/>
      <c r="BB93"/>
      <c r="BC93" s="168">
        <v>45261</v>
      </c>
      <c r="BD93" s="229">
        <f>AVERAGE('[2]2021_Base RPA'!$D$556:$D$574)</f>
        <v>5.3415842105263156</v>
      </c>
      <c r="BE93" s="317">
        <f t="shared" si="415"/>
        <v>7.8394219144430899E-3</v>
      </c>
      <c r="BG93" s="168"/>
      <c r="BH93" s="311"/>
      <c r="BI93" s="249"/>
      <c r="BK93" s="168"/>
      <c r="BL93" s="310"/>
      <c r="BM93" s="249"/>
      <c r="BO93" s="168"/>
      <c r="BP93" s="310"/>
      <c r="BQ93" s="249"/>
      <c r="BS93" s="168"/>
      <c r="BT93" s="282"/>
      <c r="BU93" s="282"/>
    </row>
    <row r="94" spans="1:73" hidden="1" x14ac:dyDescent="0.35">
      <c r="A94" s="168">
        <v>45292</v>
      </c>
      <c r="B94" s="164">
        <f t="shared" si="391"/>
        <v>29526.123301652893</v>
      </c>
      <c r="C94" s="178">
        <f t="shared" si="452"/>
        <v>-1.2053153813224027E-3</v>
      </c>
      <c r="D94" s="271"/>
      <c r="E94" s="272"/>
      <c r="F94" s="208">
        <f t="shared" si="453"/>
        <v>-9.6425230505792214E-4</v>
      </c>
      <c r="G94" s="208">
        <f t="shared" si="441"/>
        <v>-7.7140184404633771E-4</v>
      </c>
      <c r="I94" s="183"/>
      <c r="J94" s="168">
        <v>45292</v>
      </c>
      <c r="K94" s="261">
        <f>'2024'!A31</f>
        <v>4.9090454545454554</v>
      </c>
      <c r="L94" s="324">
        <f t="shared" si="403"/>
        <v>2.5328776805735309E-3</v>
      </c>
      <c r="M94" s="183"/>
      <c r="N94" s="183"/>
      <c r="O94" s="168">
        <v>45292</v>
      </c>
      <c r="P94" s="274">
        <f>'2024'!B29</f>
        <v>8343.681818181818</v>
      </c>
      <c r="Q94" s="248">
        <f t="shared" si="418"/>
        <v>-6.007006511746682E-3</v>
      </c>
      <c r="R94" s="218">
        <f t="shared" si="454"/>
        <v>40959.513303719017</v>
      </c>
      <c r="S94" s="166">
        <f t="shared" si="455"/>
        <v>-3.4893438438937663E-3</v>
      </c>
      <c r="U94" s="168">
        <v>45292</v>
      </c>
      <c r="V94" s="275">
        <f>AVERAGE('[2]2021_Base RPA'!$H$575:$H$596)</f>
        <v>2521.068181818182</v>
      </c>
      <c r="W94" s="248">
        <f t="shared" si="449"/>
        <v>7.7377679386831932E-3</v>
      </c>
      <c r="X94" s="276">
        <f t="shared" si="345"/>
        <v>12376.038298553722</v>
      </c>
      <c r="Y94" s="166">
        <f t="shared" si="456"/>
        <v>1.029024443896609E-2</v>
      </c>
      <c r="Z94" s="227"/>
      <c r="AA94" s="168">
        <v>45292</v>
      </c>
      <c r="AB94" s="277">
        <f>AVERAGE('[2]2021_Base RPA'!$J$575:$J$596)</f>
        <v>16086.136363636364</v>
      </c>
      <c r="AC94" s="324">
        <f t="shared" si="423"/>
        <v>-1.8397729644979766E-2</v>
      </c>
      <c r="AD94" s="278">
        <f t="shared" si="442"/>
        <v>78967.57459710745</v>
      </c>
      <c r="AE94" s="325">
        <f t="shared" si="450"/>
        <v>-1.5911451163197143E-2</v>
      </c>
      <c r="AG94" s="168">
        <v>45292</v>
      </c>
      <c r="AH94" s="279">
        <f>AVERAGE('[2]2021_Base RPA'!$L$575:$L$596)</f>
        <v>2086.9772727272725</v>
      </c>
      <c r="AI94" s="235">
        <f t="shared" si="443"/>
        <v>2.483925879891391E-2</v>
      </c>
      <c r="AJ94" s="280">
        <f t="shared" si="434"/>
        <v>10245.066294421489</v>
      </c>
      <c r="AK94" s="317">
        <f t="shared" si="444"/>
        <v>2.7435051283701384E-2</v>
      </c>
      <c r="AL94" s="255"/>
      <c r="AM94" s="168">
        <v>45292</v>
      </c>
      <c r="AN94" s="281">
        <f>AVERAGE('[2]2021_Base RPA'!$N$575:$N$596)</f>
        <v>982.45354545454563</v>
      </c>
      <c r="AO94" s="235">
        <f t="shared" si="445"/>
        <v>-7.9963656974894493E-2</v>
      </c>
      <c r="AP94" s="280">
        <f t="shared" si="437"/>
        <v>4822.9091116157042</v>
      </c>
      <c r="AQ94" s="317">
        <f t="shared" si="451"/>
        <v>-7.763331745632962E-2</v>
      </c>
      <c r="AR94" s="252"/>
      <c r="AS94" s="168">
        <v>45292</v>
      </c>
      <c r="AT94" s="200">
        <f t="shared" si="429"/>
        <v>33.392243220856919</v>
      </c>
      <c r="AU94" s="321">
        <f t="shared" si="448"/>
        <v>-3.4893438438939883E-3</v>
      </c>
      <c r="AV94" s="235">
        <v>0.75</v>
      </c>
      <c r="AW94" s="91"/>
      <c r="AX94" s="91"/>
      <c r="AY94" s="91"/>
      <c r="AZ94" s="237"/>
      <c r="BA94" s="238"/>
      <c r="BB94"/>
      <c r="BC94" s="168">
        <v>45292</v>
      </c>
      <c r="BD94" s="229">
        <f>AVERAGE('[2]2021_Base RPA'!$D$575:$D$596)</f>
        <v>5.3546727272727273</v>
      </c>
      <c r="BE94" s="282">
        <f t="shared" si="415"/>
        <v>2.4503061695853035E-3</v>
      </c>
      <c r="BG94" s="168"/>
      <c r="BH94" s="311"/>
      <c r="BI94" s="249"/>
      <c r="BK94" s="168"/>
      <c r="BL94" s="310"/>
      <c r="BM94" s="249"/>
      <c r="BO94" s="168"/>
      <c r="BP94" s="310"/>
      <c r="BQ94" s="249"/>
      <c r="BS94" s="168"/>
      <c r="BT94" s="282"/>
      <c r="BU94" s="282"/>
    </row>
    <row r="95" spans="1:73" hidden="1" x14ac:dyDescent="0.35">
      <c r="A95" s="168">
        <v>45323</v>
      </c>
      <c r="B95" s="164">
        <f t="shared" si="391"/>
        <v>29455.682445132828</v>
      </c>
      <c r="C95" s="178">
        <f t="shared" si="452"/>
        <v>-2.3857130108280167E-3</v>
      </c>
      <c r="D95" s="271"/>
      <c r="E95" s="272"/>
      <c r="F95" s="208">
        <f t="shared" si="453"/>
        <v>-1.9085704086624134E-3</v>
      </c>
      <c r="G95" s="208">
        <f t="shared" si="441"/>
        <v>-1.5268563269299307E-3</v>
      </c>
      <c r="I95" s="183"/>
      <c r="J95" s="168">
        <v>45323</v>
      </c>
      <c r="K95" s="261">
        <f>'2024'!C31</f>
        <v>4.9653684210526317</v>
      </c>
      <c r="L95" s="324">
        <f t="shared" si="403"/>
        <v>1.147330311537953E-2</v>
      </c>
      <c r="M95" s="183"/>
      <c r="N95" s="183"/>
      <c r="O95" s="168">
        <v>45323</v>
      </c>
      <c r="P95" s="274">
        <f>'2024'!D29</f>
        <v>8310.74</v>
      </c>
      <c r="Q95" s="324">
        <f t="shared" si="418"/>
        <v>-3.9481153404045122E-3</v>
      </c>
      <c r="R95" s="218">
        <f t="shared" si="454"/>
        <v>41265.885951578945</v>
      </c>
      <c r="S95" s="166">
        <f t="shared" si="455"/>
        <v>7.4798898509398359E-3</v>
      </c>
      <c r="U95" s="168">
        <v>45323</v>
      </c>
      <c r="V95" s="275">
        <f>AVERAGE('[2]2021_Base RPA'!$H$597:$H$617)</f>
        <v>2364.4523809523807</v>
      </c>
      <c r="W95" s="248">
        <f t="shared" si="449"/>
        <v>-6.2122794613531873E-2</v>
      </c>
      <c r="X95" s="276">
        <f t="shared" si="345"/>
        <v>11740.377185463658</v>
      </c>
      <c r="Y95" s="166">
        <f t="shared" si="456"/>
        <v>-5.1362245151127861E-2</v>
      </c>
      <c r="Z95" s="227"/>
      <c r="AA95" s="168">
        <v>45323</v>
      </c>
      <c r="AB95" s="277">
        <f>AVERAGE('[2]2021_Base RPA'!$J$597:$J$617)</f>
        <v>16307.619047619048</v>
      </c>
      <c r="AC95" s="324">
        <f t="shared" ref="AC95:AC100" si="457">AB95/AB94-1</f>
        <v>1.3768544476805422E-2</v>
      </c>
      <c r="AD95" s="278">
        <f t="shared" si="442"/>
        <v>80973.336641604008</v>
      </c>
      <c r="AE95" s="325">
        <f t="shared" si="450"/>
        <v>2.5399818276425012E-2</v>
      </c>
      <c r="AG95" s="168">
        <v>45323</v>
      </c>
      <c r="AH95" s="279">
        <f>AVERAGE('[2]2021_Base RPA'!$L$597:$L$617)</f>
        <v>2084.2380952380954</v>
      </c>
      <c r="AI95" s="282">
        <f t="shared" si="443"/>
        <v>-1.3125094963768458E-3</v>
      </c>
      <c r="AJ95" s="280">
        <f t="shared" si="434"/>
        <v>10349.010020050126</v>
      </c>
      <c r="AK95" s="317">
        <f t="shared" si="444"/>
        <v>1.0145734799708928E-2</v>
      </c>
      <c r="AL95" s="255"/>
      <c r="AM95" s="168">
        <v>45323</v>
      </c>
      <c r="AN95" s="281">
        <f>AVERAGE('[2]2021_Base RPA'!$N$597:$N$617)</f>
        <v>937.14285714285711</v>
      </c>
      <c r="AO95" s="235">
        <f t="shared" si="445"/>
        <v>-4.6119929559341077E-2</v>
      </c>
      <c r="AP95" s="280">
        <f t="shared" si="437"/>
        <v>4653.2595488721799</v>
      </c>
      <c r="AQ95" s="317">
        <f t="shared" si="451"/>
        <v>-3.5175774375455826E-2</v>
      </c>
      <c r="AR95" s="252"/>
      <c r="AS95" s="168">
        <v>45323</v>
      </c>
      <c r="AT95" s="200">
        <f>R95*AV95*(1+7.1%)/1000</f>
        <v>33.146822890605783</v>
      </c>
      <c r="AU95" s="321">
        <f t="shared" si="448"/>
        <v>-7.3496209472337926E-3</v>
      </c>
      <c r="AV95" s="235">
        <v>0.75</v>
      </c>
      <c r="AW95" s="91"/>
      <c r="AX95" s="91"/>
      <c r="AY95" s="91"/>
      <c r="AZ95" s="237"/>
      <c r="BA95" s="238"/>
      <c r="BB95"/>
      <c r="BC95" s="168">
        <v>45323</v>
      </c>
      <c r="BD95" s="229">
        <f>AVERAGE('[2]2021_Base RPA'!$D$597:$D$617)</f>
        <v>5.3561578947368416</v>
      </c>
      <c r="BE95" s="282">
        <f t="shared" si="415"/>
        <v>2.7735914774962289E-4</v>
      </c>
      <c r="BG95" s="168"/>
      <c r="BH95" s="311"/>
      <c r="BI95" s="249"/>
      <c r="BK95" s="168"/>
      <c r="BL95" s="310"/>
      <c r="BM95" s="249"/>
      <c r="BO95" s="168"/>
      <c r="BP95" s="310"/>
      <c r="BQ95" s="249"/>
      <c r="BS95" s="168"/>
      <c r="BT95" s="282"/>
      <c r="BU95" s="282"/>
    </row>
    <row r="96" spans="1:73" hidden="1" x14ac:dyDescent="0.35">
      <c r="A96" s="168">
        <v>45352</v>
      </c>
      <c r="B96" s="164">
        <f t="shared" si="391"/>
        <v>30887.893333151926</v>
      </c>
      <c r="C96" s="178">
        <f t="shared" ref="C96:C103" si="458">(B96/B95-1)</f>
        <v>4.8622566823460334E-2</v>
      </c>
      <c r="D96" s="271"/>
      <c r="E96" s="272"/>
      <c r="F96" s="208">
        <f t="shared" si="453"/>
        <v>3.8898053458768268E-2</v>
      </c>
      <c r="G96" s="208">
        <f t="shared" si="441"/>
        <v>3.1118442767014615E-2</v>
      </c>
      <c r="I96" s="183"/>
      <c r="J96" s="168">
        <v>45352</v>
      </c>
      <c r="K96" s="261">
        <f>'2024'!E31</f>
        <v>4.9834952380952373</v>
      </c>
      <c r="L96" s="324">
        <f>K96/K95-1</f>
        <v>3.6506489560270694E-3</v>
      </c>
      <c r="M96" s="183"/>
      <c r="N96" s="183"/>
      <c r="O96" s="168">
        <v>45352</v>
      </c>
      <c r="P96" s="274">
        <f>'2024'!F29</f>
        <v>8690.0952380952385</v>
      </c>
      <c r="Q96" s="324">
        <f t="shared" ref="Q96:Q104" si="459">P96/P95-1</f>
        <v>4.564638505057772E-2</v>
      </c>
      <c r="R96" s="218">
        <f t="shared" si="454"/>
        <v>43307.04823764172</v>
      </c>
      <c r="S96" s="166">
        <f t="shared" si="455"/>
        <v>4.9463672934536351E-2</v>
      </c>
      <c r="U96" s="168">
        <v>45352</v>
      </c>
      <c r="V96" s="275">
        <f>AVERAGE('[2]2021_Base RPA'!$H$618:$H$638)</f>
        <v>2459.9523809523807</v>
      </c>
      <c r="W96" s="248">
        <f t="shared" ref="W96:W105" si="460">V96/V95-1</f>
        <v>4.0389902021005675E-2</v>
      </c>
      <c r="X96" s="276">
        <f t="shared" si="345"/>
        <v>12259.16097641723</v>
      </c>
      <c r="Y96" s="166">
        <f t="shared" si="456"/>
        <v>4.41880003306796E-2</v>
      </c>
      <c r="Z96" s="227"/>
      <c r="AA96" s="168">
        <v>45352</v>
      </c>
      <c r="AB96" s="277">
        <f>AVERAGE('[2]2021_Base RPA'!$J$618:$J$638)</f>
        <v>17424.523809523809</v>
      </c>
      <c r="AC96" s="324">
        <f t="shared" si="457"/>
        <v>6.8489750627810597E-2</v>
      </c>
      <c r="AD96" s="278">
        <f t="shared" si="442"/>
        <v>86835.031430838993</v>
      </c>
      <c r="AE96" s="325">
        <f t="shared" ref="AE96:AE104" si="461">AD96/AD95-1</f>
        <v>7.2390431620465767E-2</v>
      </c>
      <c r="AG96" s="168">
        <v>45352</v>
      </c>
      <c r="AH96" s="279">
        <f>AVERAGE('[2]2021_Base RPA'!$L$518:$L$638)</f>
        <v>2095.9545454545455</v>
      </c>
      <c r="AI96" s="282">
        <f t="shared" ref="AI96:AI105" si="462">AH96/AH95-1</f>
        <v>5.6214547863888686E-3</v>
      </c>
      <c r="AJ96" s="280">
        <f t="shared" si="434"/>
        <v>10445.179496536795</v>
      </c>
      <c r="AK96" s="317">
        <f t="shared" ref="AK96:AK104" si="463">AJ96/AJ95-1</f>
        <v>9.2926257004632973E-3</v>
      </c>
      <c r="AL96" s="255"/>
      <c r="AM96" s="168">
        <v>45352</v>
      </c>
      <c r="AN96" s="281">
        <f>AVERAGE('[2]2021_Base RPA'!$N$618:$N$638)</f>
        <v>1011.952380952381</v>
      </c>
      <c r="AO96" s="235">
        <f t="shared" ref="AO96:AO105" si="464">AN96/AN95-1</f>
        <v>7.982723577235773E-2</v>
      </c>
      <c r="AP96" s="280">
        <f t="shared" si="437"/>
        <v>5043.0598716553277</v>
      </c>
      <c r="AQ96" s="317">
        <f t="shared" ref="AQ96:AQ105" si="465">AP96/AP95-1</f>
        <v>8.3769305943319772E-2</v>
      </c>
      <c r="AR96" s="252"/>
      <c r="AS96" s="168">
        <v>45352</v>
      </c>
      <c r="AT96" s="200">
        <f>R96*AV96*(1+7.1%)/1000</f>
        <v>34.786386496885711</v>
      </c>
      <c r="AU96" s="321">
        <f t="shared" ref="AU96:AU105" si="466">AT96/AT95-1</f>
        <v>4.9463672934536351E-2</v>
      </c>
      <c r="AV96" s="235">
        <v>0.75</v>
      </c>
      <c r="AW96" s="91"/>
      <c r="AX96" s="91"/>
      <c r="AY96" s="91"/>
      <c r="AZ96" s="237"/>
      <c r="BA96" s="238"/>
      <c r="BB96"/>
      <c r="BC96" s="168">
        <v>45352</v>
      </c>
      <c r="BD96" s="229">
        <f>AVERAGE('[2]2021_Base RPA'!$D$618:$D$638)</f>
        <v>5.4172666666666673</v>
      </c>
      <c r="BE96" s="282">
        <f t="shared" ref="BE96:BE105" si="467">IFERROR(BD96/BD95-1,"")</f>
        <v>1.1409068427552072E-2</v>
      </c>
      <c r="BG96" s="168"/>
      <c r="BH96" s="311"/>
      <c r="BI96" s="249"/>
      <c r="BK96" s="168"/>
      <c r="BL96" s="310"/>
      <c r="BM96" s="249"/>
      <c r="BO96" s="168"/>
      <c r="BP96" s="310"/>
      <c r="BQ96" s="249"/>
      <c r="BS96" s="168"/>
      <c r="BT96" s="282"/>
      <c r="BU96" s="282"/>
    </row>
    <row r="97" spans="1:73" hidden="1" x14ac:dyDescent="0.35">
      <c r="A97" s="168">
        <v>45383</v>
      </c>
      <c r="B97" s="164">
        <f t="shared" si="391"/>
        <v>34773.335468181809</v>
      </c>
      <c r="C97" s="178">
        <f t="shared" si="458"/>
        <v>0.12579174931492165</v>
      </c>
      <c r="D97" s="271"/>
      <c r="E97" s="272"/>
      <c r="F97" s="208">
        <f t="shared" si="453"/>
        <v>0.10063339945193733</v>
      </c>
      <c r="G97" s="208">
        <f t="shared" si="441"/>
        <v>8.0506719561549853E-2</v>
      </c>
      <c r="I97" s="183"/>
      <c r="J97" s="168">
        <v>45383</v>
      </c>
      <c r="K97" s="261">
        <f>'2024'!G31</f>
        <v>5.1284863636363633</v>
      </c>
      <c r="L97" s="324">
        <f>K97/K96-1</f>
        <v>2.9094263887877947E-2</v>
      </c>
      <c r="M97" s="183"/>
      <c r="N97" s="183"/>
      <c r="O97" s="168">
        <v>45383</v>
      </c>
      <c r="P97" s="274">
        <f>'2024'!H29</f>
        <v>9480.8095238095229</v>
      </c>
      <c r="Q97" s="324">
        <f t="shared" si="459"/>
        <v>9.0990289985314332E-2</v>
      </c>
      <c r="R97" s="218">
        <f t="shared" ref="R97:R104" si="468">P97*K97</f>
        <v>48622.202359090901</v>
      </c>
      <c r="S97" s="166">
        <f t="shared" ref="S97:S105" si="469">R97/R96-1</f>
        <v>0.12273184938125947</v>
      </c>
      <c r="U97" s="168">
        <v>45383</v>
      </c>
      <c r="V97" s="275">
        <f>AVERAGE('[2]2021_Base RPA'!$H$639:$H$660)</f>
        <v>2729.8571428571427</v>
      </c>
      <c r="W97" s="248">
        <f t="shared" si="460"/>
        <v>0.10971950676552011</v>
      </c>
      <c r="X97" s="276">
        <f t="shared" si="345"/>
        <v>14000.03513181818</v>
      </c>
      <c r="Y97" s="166">
        <f t="shared" si="456"/>
        <v>0.14200597893688194</v>
      </c>
      <c r="Z97" s="227"/>
      <c r="AA97" s="168">
        <v>45383</v>
      </c>
      <c r="AB97" s="277">
        <f>AVERAGE('[2]2021_Base RPA'!$J$639:$J$660)</f>
        <v>18165.714285714286</v>
      </c>
      <c r="AC97" s="324">
        <f t="shared" si="457"/>
        <v>4.253720126258842E-2</v>
      </c>
      <c r="AD97" s="278">
        <f t="shared" si="442"/>
        <v>93162.618000000002</v>
      </c>
      <c r="AE97" s="325">
        <f t="shared" si="461"/>
        <v>7.2869053709051723E-2</v>
      </c>
      <c r="AG97" s="168">
        <v>45383</v>
      </c>
      <c r="AH97" s="279">
        <f>AVERAGE('[2]2021_Base RPA'!$L$639:$L$660)</f>
        <v>2128.8571428571427</v>
      </c>
      <c r="AI97" s="282">
        <f t="shared" si="462"/>
        <v>1.5698144539418646E-2</v>
      </c>
      <c r="AJ97" s="280">
        <f t="shared" si="434"/>
        <v>10917.814827272725</v>
      </c>
      <c r="AK97" s="317">
        <f t="shared" si="463"/>
        <v>4.5249134387076451E-2</v>
      </c>
      <c r="AL97" s="255"/>
      <c r="AM97" s="168">
        <v>45383</v>
      </c>
      <c r="AN97" s="281">
        <f>AVERAGE('[2]2021_Base RPA'!$N$639:$N$660)</f>
        <v>1015.8571428571429</v>
      </c>
      <c r="AO97" s="235">
        <f t="shared" si="464"/>
        <v>3.8586419462613986E-3</v>
      </c>
      <c r="AP97" s="280">
        <f t="shared" si="437"/>
        <v>5209.8095045454547</v>
      </c>
      <c r="AQ97" s="317">
        <f t="shared" si="465"/>
        <v>3.3065170181172832E-2</v>
      </c>
      <c r="AR97" s="252"/>
      <c r="AS97" s="168">
        <v>45383</v>
      </c>
      <c r="AT97" s="200">
        <f>R97*AV97*(1+7.1%)/1000</f>
        <v>39.055784044939763</v>
      </c>
      <c r="AU97" s="321">
        <f t="shared" si="466"/>
        <v>0.12273184938125925</v>
      </c>
      <c r="AV97" s="235">
        <v>0.75</v>
      </c>
      <c r="AW97" s="91"/>
      <c r="AX97" s="91"/>
      <c r="AY97" s="91"/>
      <c r="AZ97" s="237"/>
      <c r="BA97" s="238"/>
      <c r="BB97"/>
      <c r="BC97" s="168">
        <v>45383</v>
      </c>
      <c r="BD97" s="229">
        <f>AVERAGE('[2]2021_Base RPA'!$D$639:$D$660)</f>
        <v>5.4980954545454539</v>
      </c>
      <c r="BE97" s="282">
        <f t="shared" si="467"/>
        <v>1.4920585020512078E-2</v>
      </c>
      <c r="BG97" s="168"/>
      <c r="BH97" s="311"/>
      <c r="BI97" s="249"/>
      <c r="BK97" s="168"/>
      <c r="BL97" s="310"/>
      <c r="BM97" s="249"/>
      <c r="BO97" s="168"/>
      <c r="BP97" s="310"/>
      <c r="BQ97" s="249"/>
      <c r="BS97" s="168"/>
      <c r="BT97" s="282"/>
      <c r="BU97" s="282"/>
    </row>
    <row r="98" spans="1:73" hidden="1" x14ac:dyDescent="0.35">
      <c r="A98" s="168">
        <v>45413</v>
      </c>
      <c r="B98" s="164">
        <f t="shared" si="391"/>
        <v>37327.664741283639</v>
      </c>
      <c r="C98" s="178">
        <f t="shared" si="458"/>
        <v>7.3456550506611151E-2</v>
      </c>
      <c r="D98" s="271"/>
      <c r="E98" s="272"/>
      <c r="F98" s="208">
        <f t="shared" si="453"/>
        <v>5.8765240405288924E-2</v>
      </c>
      <c r="G98" s="208">
        <f t="shared" si="441"/>
        <v>4.7012192324231136E-2</v>
      </c>
      <c r="I98" s="183"/>
      <c r="J98" s="168">
        <v>45413</v>
      </c>
      <c r="K98" s="261">
        <f>'2024'!I31</f>
        <v>5.1389565217391304</v>
      </c>
      <c r="L98" s="324">
        <f>K98/K97-1</f>
        <v>2.0415688685468947E-3</v>
      </c>
      <c r="M98" s="183"/>
      <c r="N98" s="183"/>
      <c r="O98" s="168">
        <v>45413</v>
      </c>
      <c r="P98" s="274">
        <f>'2024'!J29</f>
        <v>10135.65</v>
      </c>
      <c r="Q98" s="324">
        <f t="shared" si="459"/>
        <v>6.9070101508310167E-2</v>
      </c>
      <c r="R98" s="218">
        <f t="shared" si="468"/>
        <v>52086.664669565216</v>
      </c>
      <c r="S98" s="166">
        <f t="shared" si="469"/>
        <v>7.1252681745843649E-2</v>
      </c>
      <c r="U98" s="168">
        <v>45413</v>
      </c>
      <c r="V98" s="275">
        <f>AVERAGE('[2]2021_Base RPA'!$H$661:$H$683)</f>
        <v>2955.6904761904761</v>
      </c>
      <c r="W98" s="248">
        <f t="shared" si="460"/>
        <v>8.2727161721352971E-2</v>
      </c>
      <c r="X98" s="276">
        <f t="shared" si="345"/>
        <v>15189.164848861283</v>
      </c>
      <c r="Y98" s="166">
        <f t="shared" si="456"/>
        <v>8.4937623787853411E-2</v>
      </c>
      <c r="Z98" s="227"/>
      <c r="AA98" s="168">
        <v>45413</v>
      </c>
      <c r="AB98" s="277">
        <f>AVERAGE('[2]2021_Base RPA'!$J$661:$J$683)</f>
        <v>19517.142857142859</v>
      </c>
      <c r="AC98" s="324">
        <f t="shared" si="457"/>
        <v>7.439446366782021E-2</v>
      </c>
      <c r="AD98" s="278">
        <f t="shared" si="442"/>
        <v>100297.74857142857</v>
      </c>
      <c r="AE98" s="325">
        <f t="shared" si="461"/>
        <v>7.6587913957383291E-2</v>
      </c>
      <c r="AG98" s="168">
        <v>45413</v>
      </c>
      <c r="AH98" s="279">
        <f>AVERAGE('[2]2021_Base RPA'!$L$661:$L$683)</f>
        <v>2220.7857142857142</v>
      </c>
      <c r="AI98" s="282">
        <f t="shared" si="462"/>
        <v>4.3182123204938971E-2</v>
      </c>
      <c r="AJ98" s="280">
        <f t="shared" si="434"/>
        <v>11412.521229813665</v>
      </c>
      <c r="AK98" s="317">
        <f t="shared" si="463"/>
        <v>4.5311851351898857E-2</v>
      </c>
      <c r="AL98" s="255"/>
      <c r="AM98" s="168">
        <v>45413</v>
      </c>
      <c r="AN98" s="281">
        <f>AVERAGE('[2]2021_Base RPA'!$N$661:$N$683)</f>
        <v>927.3795238095239</v>
      </c>
      <c r="AO98" s="235">
        <f t="shared" si="464"/>
        <v>-8.7096517133080087E-2</v>
      </c>
      <c r="AP98" s="280">
        <f t="shared" si="437"/>
        <v>4765.7630520082821</v>
      </c>
      <c r="AQ98" s="317">
        <f t="shared" si="465"/>
        <v>-8.523276180247108E-2</v>
      </c>
      <c r="AR98" s="252"/>
      <c r="AS98" s="168">
        <v>45413</v>
      </c>
      <c r="AT98" s="200">
        <f>R98*AV98*(1+7.1%)/1000</f>
        <v>41.838613395828261</v>
      </c>
      <c r="AU98" s="321">
        <f t="shared" si="466"/>
        <v>7.1252681745843871E-2</v>
      </c>
      <c r="AV98" s="235">
        <v>0.75</v>
      </c>
      <c r="AW98" s="91"/>
      <c r="AX98" s="91"/>
      <c r="AY98" s="91"/>
      <c r="AZ98" s="237"/>
      <c r="BA98" s="238"/>
      <c r="BB98"/>
      <c r="BC98" s="168">
        <v>45413</v>
      </c>
      <c r="BD98" s="229">
        <f>AVERAGE('[2]2021_Base RPA'!$D$661:$D$683)</f>
        <v>5.555699999999999</v>
      </c>
      <c r="BE98" s="282">
        <f t="shared" si="467"/>
        <v>1.0477181767901467E-2</v>
      </c>
      <c r="BG98" s="168"/>
      <c r="BH98" s="311"/>
      <c r="BI98" s="249"/>
      <c r="BK98" s="168"/>
      <c r="BL98" s="310"/>
      <c r="BM98" s="249"/>
      <c r="BO98" s="168"/>
      <c r="BP98" s="310"/>
      <c r="BQ98" s="249"/>
      <c r="BS98" s="168"/>
      <c r="BT98" s="282"/>
      <c r="BU98" s="282"/>
    </row>
    <row r="99" spans="1:73" hidden="1" x14ac:dyDescent="0.35">
      <c r="A99" s="168">
        <v>45444</v>
      </c>
      <c r="B99" s="164">
        <f t="shared" si="391"/>
        <v>37209.311616400002</v>
      </c>
      <c r="C99" s="178">
        <f t="shared" si="458"/>
        <v>-3.1706544115185364E-3</v>
      </c>
      <c r="D99" s="271"/>
      <c r="E99" s="272"/>
      <c r="F99" s="208">
        <f t="shared" si="453"/>
        <v>-2.5365235292148292E-3</v>
      </c>
      <c r="G99" s="208">
        <f t="shared" si="441"/>
        <v>-2.0292188233718635E-3</v>
      </c>
      <c r="I99" s="183"/>
      <c r="J99" s="168">
        <v>45444</v>
      </c>
      <c r="K99" s="261">
        <f>'2024'!K31</f>
        <v>5.3870950000000004</v>
      </c>
      <c r="L99" s="324">
        <f>K99/K98-1</f>
        <v>4.8285771092084318E-2</v>
      </c>
      <c r="M99" s="183"/>
      <c r="N99" s="183"/>
      <c r="O99" s="168">
        <v>45444</v>
      </c>
      <c r="P99" s="274">
        <f>'2024'!L29</f>
        <v>9636.6</v>
      </c>
      <c r="Q99" s="324">
        <f t="shared" si="459"/>
        <v>-4.923709875538318E-2</v>
      </c>
      <c r="R99" s="218">
        <f t="shared" si="468"/>
        <v>51913.279677000006</v>
      </c>
      <c r="S99" s="166">
        <f t="shared" si="469"/>
        <v>-3.3287789430395121E-3</v>
      </c>
      <c r="U99" s="168">
        <v>45444</v>
      </c>
      <c r="V99" s="275">
        <f>AVERAGE('[2]2021_Base RPA'!$H$684:$H$703)</f>
        <v>2812.9</v>
      </c>
      <c r="W99" s="248">
        <f t="shared" si="460"/>
        <v>-4.8310361771884747E-2</v>
      </c>
      <c r="X99" s="276">
        <f t="shared" ref="X99:X118" si="470">V99*K99</f>
        <v>15153.359525500002</v>
      </c>
      <c r="Y99" s="166">
        <f t="shared" si="456"/>
        <v>-2.35729374969329E-3</v>
      </c>
      <c r="Z99" s="227"/>
      <c r="AA99" s="168">
        <v>45444</v>
      </c>
      <c r="AB99" s="277">
        <f>AVERAGE('[2]2021_Base RPA'!$J$684:$J$703)</f>
        <v>17508.25</v>
      </c>
      <c r="AC99" s="324">
        <f t="shared" si="457"/>
        <v>-0.10292965890791983</v>
      </c>
      <c r="AD99" s="278">
        <f t="shared" si="442"/>
        <v>94318.606033750009</v>
      </c>
      <c r="AE99" s="325">
        <f t="shared" si="461"/>
        <v>-5.961392576444946E-2</v>
      </c>
      <c r="AG99" s="168">
        <v>45444</v>
      </c>
      <c r="AH99" s="279">
        <f>AVERAGE('[2]2021_Base RPA'!$L$684:$L$703)</f>
        <v>2147.8249999999998</v>
      </c>
      <c r="AI99" s="282">
        <f t="shared" si="462"/>
        <v>-3.2853558907722569E-2</v>
      </c>
      <c r="AJ99" s="280">
        <f t="shared" si="434"/>
        <v>11570.537318375</v>
      </c>
      <c r="AK99" s="317">
        <f t="shared" si="463"/>
        <v>1.3845852759383215E-2</v>
      </c>
      <c r="AL99" s="255"/>
      <c r="AM99" s="168">
        <v>45444</v>
      </c>
      <c r="AN99" s="281">
        <f>AVERAGE('[2]2021_Base RPA'!$N$684:$N$703)</f>
        <v>859.66550000000007</v>
      </c>
      <c r="AO99" s="235">
        <f t="shared" si="464"/>
        <v>-7.3016518125573526E-2</v>
      </c>
      <c r="AP99" s="280">
        <f t="shared" si="437"/>
        <v>4631.0997167225005</v>
      </c>
      <c r="AQ99" s="317">
        <f t="shared" si="465"/>
        <v>-2.8256405913641647E-2</v>
      </c>
      <c r="AR99" s="252"/>
      <c r="AS99" s="168">
        <v>45444</v>
      </c>
      <c r="AT99" s="200">
        <f>R99*AV99*(1+7.1%)/1000</f>
        <v>41.699341900550252</v>
      </c>
      <c r="AU99" s="321">
        <f t="shared" si="466"/>
        <v>-3.3287789430396231E-3</v>
      </c>
      <c r="AV99" s="235">
        <v>0.75</v>
      </c>
      <c r="AW99" s="91"/>
      <c r="AX99" s="91"/>
      <c r="AY99" s="91"/>
      <c r="AZ99" s="237"/>
      <c r="BA99" s="238"/>
      <c r="BB99"/>
      <c r="BC99" s="168">
        <v>45444</v>
      </c>
      <c r="BD99" s="229">
        <f>AVERAGE('[2]2021_Base RPA'!$D$684:$D$703)</f>
        <v>5.7976799999999988</v>
      </c>
      <c r="BE99" s="282">
        <f t="shared" si="467"/>
        <v>4.3555267563043287E-2</v>
      </c>
      <c r="BG99" s="168"/>
      <c r="BH99" s="311"/>
      <c r="BI99" s="249"/>
      <c r="BK99" s="168"/>
      <c r="BL99" s="310"/>
      <c r="BM99" s="249"/>
      <c r="BO99" s="168"/>
      <c r="BP99" s="310"/>
      <c r="BQ99" s="249"/>
      <c r="BS99" s="168"/>
      <c r="BT99" s="282"/>
      <c r="BU99" s="282"/>
    </row>
    <row r="100" spans="1:73" hidden="1" x14ac:dyDescent="0.35">
      <c r="A100" s="168">
        <v>45474</v>
      </c>
      <c r="B100" s="164">
        <f t="shared" si="391"/>
        <v>37379.595229035906</v>
      </c>
      <c r="C100" s="178">
        <f t="shared" si="458"/>
        <v>4.5763709469124336E-3</v>
      </c>
      <c r="D100" s="271"/>
      <c r="E100" s="272"/>
      <c r="F100" s="208">
        <f t="shared" si="453"/>
        <v>3.6610967575299472E-3</v>
      </c>
      <c r="G100" s="208">
        <f t="shared" si="441"/>
        <v>2.9288774060239574E-3</v>
      </c>
      <c r="I100" s="183"/>
      <c r="J100" s="168">
        <v>45474</v>
      </c>
      <c r="K100" s="261">
        <f>'2024'!A69</f>
        <v>5.5375608695652163</v>
      </c>
      <c r="L100" s="324">
        <v>3.0599999999999999E-2</v>
      </c>
      <c r="M100" s="183"/>
      <c r="N100" s="183"/>
      <c r="O100" s="168">
        <v>45474</v>
      </c>
      <c r="P100" s="274">
        <f>'2024'!B66</f>
        <v>9393.5217391304341</v>
      </c>
      <c r="Q100" s="324">
        <f>P100/P99-1</f>
        <v>-2.522448382931386E-2</v>
      </c>
      <c r="R100" s="218">
        <f t="shared" si="468"/>
        <v>52017.198410018893</v>
      </c>
      <c r="S100" s="166">
        <f t="shared" si="469"/>
        <v>2.0017755315298036E-3</v>
      </c>
      <c r="U100" s="168">
        <v>45474</v>
      </c>
      <c r="V100" s="275">
        <f>AVERAGE('[2]2021_Base RPA'!$H$704:$H$726)</f>
        <v>2785.195652173913</v>
      </c>
      <c r="W100" s="248">
        <f t="shared" si="460"/>
        <v>-9.8490340311020441E-3</v>
      </c>
      <c r="X100" s="276">
        <f t="shared" si="470"/>
        <v>15423.190457561434</v>
      </c>
      <c r="Y100" s="166">
        <f t="shared" si="456"/>
        <v>1.7806673933087991E-2</v>
      </c>
      <c r="Z100" s="227"/>
      <c r="AA100" s="168">
        <v>45474</v>
      </c>
      <c r="AB100" s="277">
        <f>AVERAGE('[2]2021_Base RPA'!$J$704:$J$726)</f>
        <v>16396.304347826088</v>
      </c>
      <c r="AC100" s="324">
        <f t="shared" si="457"/>
        <v>-6.3509811213223077E-2</v>
      </c>
      <c r="AD100" s="278">
        <f t="shared" si="442"/>
        <v>90795.533362003771</v>
      </c>
      <c r="AE100" s="325">
        <f t="shared" si="461"/>
        <v>-3.7352891649878428E-2</v>
      </c>
      <c r="AG100" s="168">
        <v>45474</v>
      </c>
      <c r="AH100" s="279">
        <f>AVERAGE('[2]2021_Base RPA'!$L$704:$L$726)</f>
        <v>2114.3478260869565</v>
      </c>
      <c r="AI100" s="282">
        <f t="shared" si="462"/>
        <v>-1.5586546349466657E-2</v>
      </c>
      <c r="AJ100" s="280">
        <f t="shared" si="434"/>
        <v>11708.329786389411</v>
      </c>
      <c r="AK100" s="317">
        <f t="shared" si="463"/>
        <v>1.1908908309347543E-2</v>
      </c>
      <c r="AL100" s="255"/>
      <c r="AM100" s="168">
        <v>45474</v>
      </c>
      <c r="AN100" s="281">
        <f>AVERAGE('[2]2021_Base RPA'!$N$704:$N$726)</f>
        <v>925.7147826086956</v>
      </c>
      <c r="AO100" s="235">
        <f t="shared" si="464"/>
        <v>7.6831375236874777E-2</v>
      </c>
      <c r="AP100" s="280">
        <f t="shared" si="437"/>
        <v>5126.201956551984</v>
      </c>
      <c r="AQ100" s="317">
        <f t="shared" si="465"/>
        <v>0.10690813632056173</v>
      </c>
      <c r="AR100" s="252"/>
      <c r="AS100" s="168">
        <v>45474</v>
      </c>
      <c r="AT100" s="200">
        <f>R100*AV100*(1+6.78%)/1000</f>
        <v>41.657973346663631</v>
      </c>
      <c r="AU100" s="321">
        <f t="shared" si="466"/>
        <v>-9.920673085268561E-4</v>
      </c>
      <c r="AV100" s="235">
        <v>0.75</v>
      </c>
      <c r="AW100" s="91"/>
      <c r="AX100" s="91"/>
      <c r="AY100" s="91"/>
      <c r="AZ100" s="237"/>
      <c r="BA100" s="238"/>
      <c r="BB100"/>
      <c r="BC100" s="168">
        <v>45474</v>
      </c>
      <c r="BD100" s="229">
        <f>AVERAGE('[2]2021_Base RPA'!$D$703:$D$726)</f>
        <v>6.0061333333333318</v>
      </c>
      <c r="BE100" s="282">
        <f t="shared" si="467"/>
        <v>3.5954611729749342E-2</v>
      </c>
      <c r="BG100" s="168"/>
      <c r="BH100" s="311"/>
      <c r="BI100" s="249"/>
      <c r="BK100" s="168"/>
      <c r="BL100" s="310"/>
      <c r="BM100" s="249"/>
      <c r="BO100" s="168"/>
      <c r="BP100" s="310"/>
      <c r="BQ100" s="249"/>
      <c r="BS100" s="168"/>
      <c r="BT100" s="282"/>
      <c r="BU100" s="282"/>
    </row>
    <row r="101" spans="1:73" hidden="1" x14ac:dyDescent="0.35">
      <c r="A101" s="168">
        <v>45505</v>
      </c>
      <c r="B101" s="164">
        <f t="shared" si="391"/>
        <v>35951.287020363641</v>
      </c>
      <c r="C101" s="178">
        <f t="shared" si="458"/>
        <v>-3.8210906242312048E-2</v>
      </c>
      <c r="D101" s="271"/>
      <c r="E101" s="272"/>
      <c r="F101" s="208">
        <f t="shared" si="453"/>
        <v>-3.056872499384964E-2</v>
      </c>
      <c r="G101" s="208">
        <f t="shared" si="441"/>
        <v>-2.4454979995079711E-2</v>
      </c>
      <c r="I101" s="183"/>
      <c r="J101" s="168">
        <v>45505</v>
      </c>
      <c r="K101" s="261">
        <f>'2024'!C69</f>
        <v>5.552013636363637</v>
      </c>
      <c r="L101" s="324">
        <f t="shared" ref="L101:L105" si="471">K101/K100-1</f>
        <v>2.6099517709781139E-3</v>
      </c>
      <c r="M101" s="183"/>
      <c r="N101" s="183"/>
      <c r="O101" s="168">
        <v>45505</v>
      </c>
      <c r="P101" s="274">
        <f>'2024'!D66</f>
        <v>8980.0499999999993</v>
      </c>
      <c r="Q101" s="324">
        <f t="shared" si="459"/>
        <v>-4.4016690503631106E-2</v>
      </c>
      <c r="R101" s="218">
        <f t="shared" si="468"/>
        <v>49857.360055227276</v>
      </c>
      <c r="S101" s="166">
        <f t="shared" si="469"/>
        <v>-4.1521620171985574E-2</v>
      </c>
      <c r="U101" s="168">
        <v>45505</v>
      </c>
      <c r="V101" s="275">
        <f>AVERAGE('[2]2021_Base RPA'!$H$727:$H$748)</f>
        <v>2718.3249999999998</v>
      </c>
      <c r="W101" s="248">
        <f t="shared" si="460"/>
        <v>-2.400931946081386E-2</v>
      </c>
      <c r="X101" s="276">
        <f t="shared" si="470"/>
        <v>15092.177468068183</v>
      </c>
      <c r="Y101" s="166">
        <f t="shared" si="456"/>
        <v>-2.1462030855682435E-2</v>
      </c>
      <c r="Z101" s="227"/>
      <c r="AA101" s="168">
        <v>45505</v>
      </c>
      <c r="AB101" s="277">
        <f>AVERAGE('[2]2021_Base RPA'!$J$727:$J$748)</f>
        <v>16272.75</v>
      </c>
      <c r="AC101" s="324">
        <f t="shared" ref="AC101:AC105" si="472">AB101/AB100-1</f>
        <v>-7.535499781233912E-3</v>
      </c>
      <c r="AD101" s="278">
        <f t="shared" si="442"/>
        <v>90346.529901136368</v>
      </c>
      <c r="AE101" s="325">
        <f t="shared" si="461"/>
        <v>-4.9452153012551348E-3</v>
      </c>
      <c r="AG101" s="168">
        <v>45505</v>
      </c>
      <c r="AH101" s="279">
        <f>AVERAGE('[2]2021_Base RPA'!$L$727:$L$748)</f>
        <v>2005.675</v>
      </c>
      <c r="AI101" s="282">
        <f t="shared" si="462"/>
        <v>-5.1397799712111891E-2</v>
      </c>
      <c r="AJ101" s="280">
        <f t="shared" si="434"/>
        <v>11135.534950113637</v>
      </c>
      <c r="AK101" s="317">
        <f t="shared" si="463"/>
        <v>-4.8921993719516776E-2</v>
      </c>
      <c r="AL101" s="255"/>
      <c r="AM101" s="168">
        <v>45505</v>
      </c>
      <c r="AN101" s="281">
        <f>AVERAGE('[2]2021_Base RPA'!$N$727:$N$748)</f>
        <v>935.6</v>
      </c>
      <c r="AO101" s="235">
        <f t="shared" si="464"/>
        <v>1.0678469845158522E-2</v>
      </c>
      <c r="AP101" s="280">
        <f t="shared" si="437"/>
        <v>5194.4639581818192</v>
      </c>
      <c r="AQ101" s="317">
        <f t="shared" si="465"/>
        <v>1.3316291907420341E-2</v>
      </c>
      <c r="AR101" s="252"/>
      <c r="AS101" s="168">
        <v>45505</v>
      </c>
      <c r="AT101" s="200">
        <f>R101*AV101*(1+6.78%)/1000</f>
        <v>39.928266800228769</v>
      </c>
      <c r="AU101" s="321">
        <f t="shared" si="466"/>
        <v>-4.1521620171985463E-2</v>
      </c>
      <c r="AV101" s="235">
        <v>0.75</v>
      </c>
      <c r="AW101" s="91"/>
      <c r="AX101" s="91"/>
      <c r="AY101" s="91"/>
      <c r="AZ101" s="237"/>
      <c r="BA101" s="238"/>
      <c r="BB101"/>
      <c r="BC101" s="168">
        <v>45505</v>
      </c>
      <c r="BD101" s="229">
        <f>AVERAGE('[2]2021_Base RPA'!$D$727:$D$748)</f>
        <v>6.1627863636363633</v>
      </c>
      <c r="BE101" s="282">
        <f t="shared" si="467"/>
        <v>2.6082176603310803E-2</v>
      </c>
      <c r="BG101" s="168"/>
      <c r="BH101" s="311"/>
      <c r="BI101" s="249"/>
      <c r="BK101" s="168"/>
      <c r="BL101" s="310"/>
      <c r="BM101" s="249"/>
      <c r="BO101" s="168"/>
      <c r="BP101" s="310"/>
      <c r="BQ101" s="249"/>
      <c r="BS101" s="168"/>
      <c r="BT101" s="282"/>
      <c r="BU101" s="282"/>
    </row>
    <row r="102" spans="1:73" hidden="1" x14ac:dyDescent="0.35">
      <c r="A102" s="168">
        <v>45536</v>
      </c>
      <c r="B102" s="164">
        <f t="shared" si="391"/>
        <v>37063.605190000002</v>
      </c>
      <c r="C102" s="178">
        <f t="shared" si="458"/>
        <v>3.093959248263678E-2</v>
      </c>
      <c r="D102" s="271"/>
      <c r="E102" s="272"/>
      <c r="F102" s="208">
        <f t="shared" si="453"/>
        <v>2.4751673986109425E-2</v>
      </c>
      <c r="G102" s="208">
        <f t="shared" ref="G102:G114" si="473">C102*64%</f>
        <v>1.9801339188887539E-2</v>
      </c>
      <c r="I102" s="183"/>
      <c r="J102" s="168">
        <v>45536</v>
      </c>
      <c r="K102" s="261">
        <f>'2024'!E69</f>
        <v>5.5409666666666668</v>
      </c>
      <c r="L102" s="324">
        <f t="shared" si="471"/>
        <v>-1.9897230843628488E-3</v>
      </c>
      <c r="M102" s="183"/>
      <c r="N102" s="183"/>
      <c r="O102" s="168">
        <v>45536</v>
      </c>
      <c r="P102" s="274">
        <f>'2024'!F66</f>
        <v>9254.5</v>
      </c>
      <c r="Q102" s="324">
        <f t="shared" si="459"/>
        <v>3.0562190633682595E-2</v>
      </c>
      <c r="R102" s="218">
        <f t="shared" si="468"/>
        <v>51278.876016666669</v>
      </c>
      <c r="S102" s="166">
        <f t="shared" si="469"/>
        <v>2.8511657253107003E-2</v>
      </c>
      <c r="U102" s="168">
        <v>45536</v>
      </c>
      <c r="V102" s="275">
        <f>AVERAGE('[2]2021_Base RPA'!$H$749:$H$769)</f>
        <v>2840.7857142857142</v>
      </c>
      <c r="W102" s="248">
        <f t="shared" si="460"/>
        <v>4.5050063655270867E-2</v>
      </c>
      <c r="X102" s="276">
        <f t="shared" si="470"/>
        <v>15740.69895</v>
      </c>
      <c r="Y102" s="166">
        <f t="shared" si="456"/>
        <v>4.2970703419301204E-2</v>
      </c>
      <c r="Z102" s="227"/>
      <c r="AA102" s="168">
        <v>45536</v>
      </c>
      <c r="AB102" s="277">
        <f>AVERAGE('[2]2021_Base RPA'!$J$749:$J$769)</f>
        <v>16117.857142857143</v>
      </c>
      <c r="AC102" s="324">
        <f t="shared" si="472"/>
        <v>-9.5185421728261055E-3</v>
      </c>
      <c r="AD102" s="278">
        <f t="shared" si="442"/>
        <v>89308.50916666667</v>
      </c>
      <c r="AE102" s="325">
        <f t="shared" si="461"/>
        <v>-1.1489325994098243E-2</v>
      </c>
      <c r="AG102" s="168">
        <v>45536</v>
      </c>
      <c r="AH102" s="279">
        <f>AVERAGE('[2]2021_Base RPA'!$L$749:$L$769)</f>
        <v>2007.3571428571429</v>
      </c>
      <c r="AI102" s="282">
        <f t="shared" si="462"/>
        <v>8.386916410401124E-4</v>
      </c>
      <c r="AJ102" s="280">
        <f t="shared" si="434"/>
        <v>11122.699016666667</v>
      </c>
      <c r="AK102" s="317">
        <f t="shared" si="463"/>
        <v>-1.1527002074416259E-3</v>
      </c>
      <c r="AL102" s="255"/>
      <c r="AM102" s="168">
        <v>45536</v>
      </c>
      <c r="AN102" s="281">
        <f>AVERAGE('[2]2021_Base RPA'!$N$749:$N$769)</f>
        <v>934.34047619047624</v>
      </c>
      <c r="AO102" s="235">
        <f t="shared" si="464"/>
        <v>-1.3462204035098457E-3</v>
      </c>
      <c r="AP102" s="280">
        <f t="shared" si="437"/>
        <v>5177.1494338888897</v>
      </c>
      <c r="AQ102" s="317">
        <f t="shared" si="465"/>
        <v>-3.3332648820592059E-3</v>
      </c>
      <c r="AR102" s="252"/>
      <c r="AS102" s="168">
        <v>45536</v>
      </c>
      <c r="AT102" s="200">
        <f>R102*AV102*(1+6.78%)/1000</f>
        <v>41.0666878579475</v>
      </c>
      <c r="AU102" s="321">
        <f t="shared" si="466"/>
        <v>2.8511657253107003E-2</v>
      </c>
      <c r="AV102" s="235">
        <v>0.75</v>
      </c>
      <c r="AW102" s="91"/>
      <c r="AX102" s="91"/>
      <c r="AY102" s="91"/>
      <c r="AZ102" s="237"/>
      <c r="BA102" s="238"/>
      <c r="BB102"/>
      <c r="BC102" s="168">
        <v>45536</v>
      </c>
      <c r="BD102" s="229">
        <f>AVERAGE('[2]2021_Base RPA'!$D$749:$D$769)</f>
        <v>6.1509952380952377</v>
      </c>
      <c r="BE102" s="282">
        <f t="shared" si="467"/>
        <v>-1.9132783201279979E-3</v>
      </c>
      <c r="BG102" s="168"/>
      <c r="BH102" s="311"/>
      <c r="BI102" s="249"/>
      <c r="BK102" s="168"/>
      <c r="BL102" s="310"/>
      <c r="BM102" s="249"/>
      <c r="BO102" s="168"/>
      <c r="BP102" s="310"/>
      <c r="BQ102" s="249"/>
      <c r="BS102" s="168"/>
      <c r="BT102" s="282"/>
      <c r="BU102" s="282"/>
    </row>
    <row r="103" spans="1:73" hidden="1" x14ac:dyDescent="0.35">
      <c r="A103" s="168">
        <v>45566</v>
      </c>
      <c r="B103" s="164">
        <f t="shared" si="391"/>
        <v>39014.751631304345</v>
      </c>
      <c r="C103" s="178">
        <f t="shared" si="458"/>
        <v>5.2643190841855203E-2</v>
      </c>
      <c r="D103" s="271"/>
      <c r="E103" s="272"/>
      <c r="F103" s="208">
        <f t="shared" si="453"/>
        <v>4.2114552673484164E-2</v>
      </c>
      <c r="G103" s="208">
        <f t="shared" si="473"/>
        <v>3.369164213878733E-2</v>
      </c>
      <c r="I103" s="183"/>
      <c r="J103" s="168">
        <v>45566</v>
      </c>
      <c r="K103" s="261">
        <f>'2024'!G69</f>
        <v>5.6035199999999996</v>
      </c>
      <c r="L103" s="324">
        <f t="shared" si="471"/>
        <v>1.1289245558837369E-2</v>
      </c>
      <c r="M103" s="183"/>
      <c r="N103" s="183"/>
      <c r="O103" s="168">
        <v>45566</v>
      </c>
      <c r="P103" s="274">
        <f>'2024'!H66</f>
        <v>9539.2391304347821</v>
      </c>
      <c r="Q103" s="324">
        <f t="shared" si="459"/>
        <v>3.0767640654252748E-2</v>
      </c>
      <c r="R103" s="218">
        <f t="shared" si="468"/>
        <v>53453.317252173903</v>
      </c>
      <c r="S103" s="166">
        <f t="shared" si="469"/>
        <v>4.2404229663701942E-2</v>
      </c>
      <c r="U103" s="168">
        <v>45566</v>
      </c>
      <c r="V103" s="275">
        <f>AVERAGE('[2]2021_Base RPA'!$H$770:$H$789)</f>
        <v>3097.5</v>
      </c>
      <c r="W103" s="248">
        <f t="shared" si="460"/>
        <v>9.0367353096477254E-2</v>
      </c>
      <c r="X103" s="276">
        <f t="shared" si="470"/>
        <v>17356.903199999997</v>
      </c>
      <c r="Y103" s="166">
        <f t="shared" si="456"/>
        <v>0.10267677789492291</v>
      </c>
      <c r="Z103" s="227"/>
      <c r="AA103" s="168">
        <v>45566</v>
      </c>
      <c r="AB103" s="277">
        <f>AVERAGE('[2]2021_Base RPA'!$J$770:$J$789)</f>
        <v>16977.25</v>
      </c>
      <c r="AC103" s="324">
        <f t="shared" si="472"/>
        <v>5.3319299800576037E-2</v>
      </c>
      <c r="AD103" s="278">
        <f t="shared" si="442"/>
        <v>95132.359919999988</v>
      </c>
      <c r="AE103" s="325">
        <f t="shared" si="461"/>
        <v>6.521048002788743E-2</v>
      </c>
      <c r="AG103" s="168">
        <v>45566</v>
      </c>
      <c r="AH103" s="279">
        <f>AVERAGE('[2]2021_Base RPA'!$L$770:$L$789)</f>
        <v>2045.4749999999999</v>
      </c>
      <c r="AI103" s="282">
        <f t="shared" si="462"/>
        <v>1.8989075899370045E-2</v>
      </c>
      <c r="AJ103" s="280">
        <f t="shared" si="434"/>
        <v>11461.860071999999</v>
      </c>
      <c r="AK103" s="317">
        <f t="shared" si="463"/>
        <v>3.0492693798970905E-2</v>
      </c>
      <c r="AL103" s="255"/>
      <c r="AM103" s="168">
        <v>45566</v>
      </c>
      <c r="AN103" s="281">
        <f>AVERAGE('[2]2021_Base RPA'!$N$770:$N$789)</f>
        <v>956.84099999999978</v>
      </c>
      <c r="AO103" s="235">
        <f t="shared" si="464"/>
        <v>2.4081717942118219E-2</v>
      </c>
      <c r="AP103" s="280">
        <f t="shared" si="437"/>
        <v>5361.6776803199982</v>
      </c>
      <c r="AQ103" s="317">
        <f t="shared" si="465"/>
        <v>3.5642827928282772E-2</v>
      </c>
      <c r="AR103" s="252"/>
      <c r="AS103" s="168">
        <v>45566</v>
      </c>
      <c r="AT103" s="200">
        <f>R103*AV103*(1+6.78%)/1000</f>
        <v>42.808089121403469</v>
      </c>
      <c r="AU103" s="321">
        <f t="shared" si="466"/>
        <v>4.2404229663701942E-2</v>
      </c>
      <c r="AV103" s="235">
        <v>0.75</v>
      </c>
      <c r="AW103" s="91"/>
      <c r="AX103" s="91"/>
      <c r="AY103" s="91"/>
      <c r="AZ103" s="237"/>
      <c r="BA103" s="238"/>
      <c r="BB103"/>
      <c r="BC103" s="168">
        <v>45566</v>
      </c>
      <c r="BD103" s="229">
        <f>AVERAGE('[2]2021_Base RPA'!$D$770:$D$789)</f>
        <v>6.1533449999999998</v>
      </c>
      <c r="BE103" s="282">
        <f t="shared" si="467"/>
        <v>3.820132862741854E-4</v>
      </c>
      <c r="BG103" s="168"/>
      <c r="BH103" s="311"/>
      <c r="BI103" s="249"/>
      <c r="BK103" s="168"/>
      <c r="BL103" s="310"/>
      <c r="BM103" s="249"/>
      <c r="BO103" s="168"/>
      <c r="BP103" s="310"/>
      <c r="BQ103" s="249"/>
      <c r="BS103" s="168"/>
      <c r="BT103" s="282"/>
      <c r="BU103" s="282"/>
    </row>
    <row r="104" spans="1:73" hidden="1" x14ac:dyDescent="0.35">
      <c r="A104" s="168">
        <v>45597</v>
      </c>
      <c r="B104" s="164">
        <f t="shared" si="391"/>
        <v>38576.82794285714</v>
      </c>
      <c r="C104" s="178">
        <f t="shared" ref="C104:C114" si="474">(B104/B103-1)</f>
        <v>-1.1224566866031904E-2</v>
      </c>
      <c r="D104" s="271"/>
      <c r="E104" s="272"/>
      <c r="F104" s="208">
        <f t="shared" si="453"/>
        <v>-8.9796534928255241E-3</v>
      </c>
      <c r="G104" s="208">
        <f t="shared" si="473"/>
        <v>-7.1837227942604187E-3</v>
      </c>
      <c r="I104" s="183"/>
      <c r="J104" s="168">
        <v>45597</v>
      </c>
      <c r="K104" s="261">
        <f>'2024'!I69</f>
        <v>5.805828571428572</v>
      </c>
      <c r="L104" s="324">
        <f t="shared" si="471"/>
        <v>3.6103836771988362E-2</v>
      </c>
      <c r="M104" s="183"/>
      <c r="N104" s="183"/>
      <c r="O104" s="168">
        <v>45597</v>
      </c>
      <c r="P104" s="274">
        <f>'2024'!J66</f>
        <v>9074.7857142857138</v>
      </c>
      <c r="Q104" s="324">
        <f t="shared" si="459"/>
        <v>-4.8688727664582543E-2</v>
      </c>
      <c r="R104" s="218">
        <f t="shared" si="468"/>
        <v>52686.650179591838</v>
      </c>
      <c r="S104" s="166">
        <f t="shared" si="469"/>
        <v>-1.4342740768832019E-2</v>
      </c>
      <c r="U104" s="168">
        <v>45597</v>
      </c>
      <c r="V104" s="275">
        <f>AVERAGE('[2]2021_Base RPA'!$H$793:$H$813)</f>
        <v>2999.0714285714284</v>
      </c>
      <c r="W104" s="248">
        <f>V104/V103-1</f>
        <v>-3.1776778508013415E-2</v>
      </c>
      <c r="X104" s="276">
        <f t="shared" si="470"/>
        <v>17412.094587755102</v>
      </c>
      <c r="Y104" s="166">
        <f t="shared" si="456"/>
        <v>3.1797946395821786E-3</v>
      </c>
      <c r="Z104" s="227"/>
      <c r="AA104" s="168">
        <v>45597</v>
      </c>
      <c r="AB104" s="277">
        <f>AVERAGE('[2]2021_Base RPA'!$J$793:$J$813)</f>
        <v>15740.238095238095</v>
      </c>
      <c r="AC104" s="324">
        <f t="shared" si="472"/>
        <v>-7.2862913885458735E-2</v>
      </c>
      <c r="AD104" s="278">
        <f t="shared" si="442"/>
        <v>91385.124054421773</v>
      </c>
      <c r="AE104" s="325">
        <f t="shared" si="461"/>
        <v>-3.9389707863122458E-2</v>
      </c>
      <c r="AG104" s="168">
        <v>45597</v>
      </c>
      <c r="AH104" s="279">
        <f>AVERAGE('[2]2021_Base RPA'!$L$793:$L$813)</f>
        <v>1988.4285714285713</v>
      </c>
      <c r="AI104" s="282">
        <f t="shared" si="462"/>
        <v>-2.7889086188503165E-2</v>
      </c>
      <c r="AJ104" s="280">
        <f t="shared" si="434"/>
        <v>11544.475412244899</v>
      </c>
      <c r="AK104" s="317">
        <f t="shared" si="463"/>
        <v>7.207847568015513E-3</v>
      </c>
      <c r="AL104" s="255"/>
      <c r="AM104" s="168">
        <v>45597</v>
      </c>
      <c r="AN104" s="281">
        <f>AVERAGE('[2]2021_Base RPA'!$N$793:$N$813)</f>
        <v>951.44714285714304</v>
      </c>
      <c r="AO104" s="235">
        <f t="shared" si="464"/>
        <v>-5.6371509402887154E-3</v>
      </c>
      <c r="AP104" s="280">
        <f t="shared" si="437"/>
        <v>5523.9390062040829</v>
      </c>
      <c r="AQ104" s="317">
        <f t="shared" si="465"/>
        <v>3.0263163054292441E-2</v>
      </c>
      <c r="AR104" s="252"/>
      <c r="AS104" s="168">
        <v>45597</v>
      </c>
      <c r="AT104" s="200">
        <f>R104*AV104*(1+6.78%)/1000</f>
        <v>42.194103796326125</v>
      </c>
      <c r="AU104" s="321">
        <f t="shared" si="466"/>
        <v>-1.4342740768831908E-2</v>
      </c>
      <c r="AV104" s="235">
        <v>0.75</v>
      </c>
      <c r="AW104" s="91"/>
      <c r="AX104" s="91"/>
      <c r="AY104" s="91"/>
      <c r="AZ104" s="237"/>
      <c r="BA104" s="238"/>
      <c r="BB104"/>
      <c r="BC104" s="168">
        <v>45597</v>
      </c>
      <c r="BD104" s="229">
        <f>AVERAGE('[2]2021_Base RPA'!$D$793:$D$813)</f>
        <v>6.1699142857142855</v>
      </c>
      <c r="BE104" s="282">
        <f t="shared" si="467"/>
        <v>2.6927282176256728E-3</v>
      </c>
      <c r="BG104" s="168"/>
      <c r="BH104" s="311"/>
      <c r="BI104" s="249"/>
      <c r="BK104" s="168"/>
      <c r="BL104" s="310"/>
      <c r="BM104" s="249"/>
      <c r="BO104" s="168"/>
      <c r="BP104" s="310"/>
      <c r="BQ104" s="249"/>
      <c r="BS104" s="168"/>
      <c r="BT104" s="282"/>
      <c r="BU104" s="282"/>
    </row>
    <row r="105" spans="1:73" hidden="1" x14ac:dyDescent="0.35">
      <c r="A105" s="168">
        <v>45627</v>
      </c>
      <c r="B105" s="164">
        <f t="shared" si="391"/>
        <v>40007.445038190475</v>
      </c>
      <c r="C105" s="178">
        <f t="shared" si="474"/>
        <v>3.7084881562902794E-2</v>
      </c>
      <c r="D105" s="271"/>
      <c r="E105" s="272"/>
      <c r="F105" s="208">
        <f t="shared" si="453"/>
        <v>2.9667905250322237E-2</v>
      </c>
      <c r="G105" s="208">
        <f t="shared" si="473"/>
        <v>2.3734324200257787E-2</v>
      </c>
      <c r="I105" s="183"/>
      <c r="J105" s="168">
        <v>45627</v>
      </c>
      <c r="K105" s="261">
        <f>'2024'!K69</f>
        <v>6.0904190476190481</v>
      </c>
      <c r="L105" s="324">
        <f t="shared" si="471"/>
        <v>4.9018063948872426E-2</v>
      </c>
      <c r="M105" s="183"/>
      <c r="N105" s="183"/>
      <c r="O105" s="168">
        <v>45627</v>
      </c>
      <c r="P105" s="274">
        <f>'2024'!L66</f>
        <v>8919.5249999999996</v>
      </c>
      <c r="Q105" s="324">
        <f t="shared" ref="Q105:Q118" si="475">P105/P104-1</f>
        <v>-1.7109022645162786E-2</v>
      </c>
      <c r="R105" s="218">
        <f t="shared" ref="R105:R118" si="476">P105*K105</f>
        <v>54323.644955714284</v>
      </c>
      <c r="S105" s="166">
        <f t="shared" si="469"/>
        <v>3.1070390137586168E-2</v>
      </c>
      <c r="U105" s="168">
        <v>45627</v>
      </c>
      <c r="V105" s="275">
        <f>AVERAGE('[2]2021_Base RPA'!$H$814:$H$835)</f>
        <v>3043</v>
      </c>
      <c r="W105" s="248">
        <f t="shared" si="460"/>
        <v>1.4647390859075404E-2</v>
      </c>
      <c r="X105" s="276">
        <f t="shared" si="470"/>
        <v>18533.145161904762</v>
      </c>
      <c r="Y105" s="166">
        <f t="shared" si="456"/>
        <v>6.4383441549762166E-2</v>
      </c>
      <c r="Z105" s="227"/>
      <c r="AA105" s="168">
        <v>45627</v>
      </c>
      <c r="AB105" s="277">
        <f>AVERAGE('[2]2021_Base RPA'!$J$814:$J$835)</f>
        <v>15470.5</v>
      </c>
      <c r="AC105" s="324">
        <f t="shared" si="472"/>
        <v>-1.7136849748143224E-2</v>
      </c>
      <c r="AD105" s="278">
        <f t="shared" si="442"/>
        <v>94221.82787619048</v>
      </c>
      <c r="AE105" s="325">
        <f t="shared" ref="AE105:AE118" si="477">AD105/AD104-1</f>
        <v>3.1041199003892572E-2</v>
      </c>
      <c r="AG105" s="168">
        <v>45627</v>
      </c>
      <c r="AH105" s="279">
        <f>AVERAGE('[2]2021_Base RPA'!$L$814:$L$835)</f>
        <v>1994.05</v>
      </c>
      <c r="AI105" s="282">
        <f t="shared" si="462"/>
        <v>2.8270709102664604E-3</v>
      </c>
      <c r="AJ105" s="280">
        <f t="shared" si="434"/>
        <v>12144.600101904762</v>
      </c>
      <c r="AK105" s="317">
        <f t="shared" ref="AK105:AK118" si="478">AJ105/AJ104-1</f>
        <v>5.1983712401806326E-2</v>
      </c>
      <c r="AL105" s="255"/>
      <c r="AM105" s="168">
        <v>45627</v>
      </c>
      <c r="AN105" s="281">
        <f>AVERAGE('[2]2021_Base RPA'!$N$814:$N$835)</f>
        <v>949.7</v>
      </c>
      <c r="AO105" s="235">
        <f t="shared" si="464"/>
        <v>-1.8363004926331694E-3</v>
      </c>
      <c r="AP105" s="280">
        <f t="shared" si="437"/>
        <v>5784.0709695238102</v>
      </c>
      <c r="AQ105" s="317">
        <f t="shared" si="465"/>
        <v>4.7091751561262107E-2</v>
      </c>
      <c r="AR105" s="252"/>
      <c r="AS105" s="168">
        <v>45627</v>
      </c>
      <c r="AT105" s="200">
        <f>R105*AV105*(1+7.29%)/1000</f>
        <v>43.712879004739385</v>
      </c>
      <c r="AU105" s="321">
        <f t="shared" si="466"/>
        <v>3.5994963081678266E-2</v>
      </c>
      <c r="AV105" s="235">
        <v>0.75</v>
      </c>
      <c r="AW105" s="91"/>
      <c r="AX105" s="91"/>
      <c r="AY105" s="91"/>
      <c r="AZ105" s="237"/>
      <c r="BA105" s="238"/>
      <c r="BB105"/>
      <c r="BC105" s="168">
        <v>45627</v>
      </c>
      <c r="BD105" s="229">
        <f>AVERAGE('[2]2021_Base RPA'!$D$814:$D$835)</f>
        <v>6.3760150000000007</v>
      </c>
      <c r="BE105" s="282">
        <f t="shared" si="467"/>
        <v>3.3404145461618073E-2</v>
      </c>
      <c r="BG105" s="168"/>
      <c r="BH105" s="311"/>
      <c r="BI105" s="249"/>
      <c r="BK105" s="168"/>
      <c r="BL105" s="310"/>
      <c r="BM105" s="249"/>
      <c r="BO105" s="168"/>
      <c r="BP105" s="310"/>
      <c r="BQ105" s="249"/>
      <c r="BS105" s="168"/>
      <c r="BT105" s="282"/>
      <c r="BU105" s="282"/>
    </row>
    <row r="106" spans="1:73" ht="16" customHeight="1" x14ac:dyDescent="0.35">
      <c r="A106" s="168">
        <v>45658</v>
      </c>
      <c r="B106" s="164">
        <f t="shared" si="391"/>
        <v>39378.419463553728</v>
      </c>
      <c r="C106" s="178">
        <f t="shared" si="474"/>
        <v>-1.5722712960957397E-2</v>
      </c>
      <c r="D106" s="271"/>
      <c r="E106" s="272"/>
      <c r="F106" s="208">
        <f t="shared" si="453"/>
        <v>-1.2578170368765918E-2</v>
      </c>
      <c r="G106" s="208">
        <f t="shared" si="473"/>
        <v>-1.0062536295012733E-2</v>
      </c>
      <c r="I106" s="183"/>
      <c r="J106" s="168">
        <v>45658</v>
      </c>
      <c r="K106" s="261">
        <f>'2025'!A31</f>
        <v>6.0427818181818189</v>
      </c>
      <c r="L106" s="324">
        <f t="shared" ref="L106:L118" si="479">K106/K105-1</f>
        <v>-7.8216669599856514E-3</v>
      </c>
      <c r="M106" s="183"/>
      <c r="N106" s="183"/>
      <c r="O106" s="168">
        <v>45658</v>
      </c>
      <c r="P106" s="274">
        <f>'2025'!B29</f>
        <v>8977.568181818182</v>
      </c>
      <c r="Q106" s="324">
        <f t="shared" si="475"/>
        <v>6.5074296913998353E-3</v>
      </c>
      <c r="R106" s="218">
        <f t="shared" si="476"/>
        <v>54249.485780578521</v>
      </c>
      <c r="S106" s="166">
        <f t="shared" ref="S106:S118" si="480">R106/R105-1</f>
        <v>-1.3651362163974445E-3</v>
      </c>
      <c r="U106" s="168">
        <v>45658</v>
      </c>
      <c r="V106" s="275">
        <f>AVERAGE('[2]2021_Base RPA'!$H$836:$H$857)</f>
        <v>2825.159090909091</v>
      </c>
      <c r="W106" s="248">
        <f t="shared" ref="W106:W118" si="481">V106/V105-1</f>
        <v>-7.1587548173154492E-2</v>
      </c>
      <c r="X106" s="276">
        <f t="shared" si="470"/>
        <v>17071.81998801653</v>
      </c>
      <c r="Y106" s="166">
        <f t="shared" ref="Y106:Y116" si="482">X106/X105-1</f>
        <v>-7.8849281172847729E-2</v>
      </c>
      <c r="Z106" s="227"/>
      <c r="AA106" s="168">
        <v>45658</v>
      </c>
      <c r="AB106" s="277">
        <f>AVERAGE('[2]2021_Base RPA'!$J$836:$J$857)</f>
        <v>15378.636363636364</v>
      </c>
      <c r="AC106" s="324">
        <f t="shared" ref="AC106:AC114" si="483">AB106/AB105-1</f>
        <v>-5.937987548148782E-3</v>
      </c>
      <c r="AD106" s="278">
        <f t="shared" si="442"/>
        <v>92929.744206611576</v>
      </c>
      <c r="AE106" s="325">
        <f t="shared" si="477"/>
        <v>-1.3713209547120297E-2</v>
      </c>
      <c r="AG106" s="168">
        <v>45658</v>
      </c>
      <c r="AH106" s="279">
        <f>AVERAGE('[2]2021_Base RPA'!$L$836:$L$857)</f>
        <v>1921.7954545454545</v>
      </c>
      <c r="AI106" s="282">
        <f t="shared" ref="AI106:AI118" si="484">AH106/AH105-1</f>
        <v>-3.6235072066671092E-2</v>
      </c>
      <c r="AJ106" s="280">
        <f t="shared" si="434"/>
        <v>11612.990630991737</v>
      </c>
      <c r="AK106" s="317">
        <f t="shared" si="478"/>
        <v>-4.3773320360680046E-2</v>
      </c>
      <c r="AL106" s="255"/>
      <c r="AM106" s="168">
        <v>45658</v>
      </c>
      <c r="AN106" s="281">
        <f>AVERAGE('[2]2021_Base RPA'!$N$836:$N$857)</f>
        <v>953.36363636363637</v>
      </c>
      <c r="AO106" s="235">
        <f t="shared" ref="AO106:AO111" si="485">AN106/AN105-1</f>
        <v>3.8576775441048206E-3</v>
      </c>
      <c r="AP106" s="280">
        <f t="shared" si="437"/>
        <v>5760.9684479338848</v>
      </c>
      <c r="AQ106" s="317">
        <f t="shared" ref="AQ106:AQ111" si="486">AP106/AP105-1</f>
        <v>-3.9941628848698674E-3</v>
      </c>
      <c r="AR106" s="252"/>
      <c r="AS106" s="168">
        <v>45658</v>
      </c>
      <c r="AT106" s="200">
        <f>R106*AV106*(1+7.29%)/1000</f>
        <v>43.653204970487025</v>
      </c>
      <c r="AU106" s="321">
        <f t="shared" ref="AU106:AU118" si="487">AT106/AT105-1</f>
        <v>-1.3651362163972225E-3</v>
      </c>
      <c r="AV106" s="235">
        <v>0.75</v>
      </c>
      <c r="AW106" s="91"/>
      <c r="AX106" s="91"/>
      <c r="AY106" s="91"/>
      <c r="AZ106" s="237"/>
      <c r="BA106" s="238"/>
      <c r="BB106"/>
      <c r="BC106" s="168">
        <v>45658</v>
      </c>
      <c r="BD106" s="229">
        <f>AVERAGE('[2]2021_Base RPA'!$D$836:$D$857)</f>
        <v>6.2359863636363633</v>
      </c>
      <c r="BE106" s="282">
        <f t="shared" ref="BE106:BE114" si="488">IFERROR(BD106/BD105-1,"")</f>
        <v>-2.1961779632519218E-2</v>
      </c>
      <c r="BG106" s="168"/>
      <c r="BH106" s="311"/>
      <c r="BI106" s="249"/>
      <c r="BK106" s="168"/>
      <c r="BL106" s="310"/>
      <c r="BM106" s="249"/>
      <c r="BO106" s="168"/>
      <c r="BP106" s="310"/>
      <c r="BQ106" s="249"/>
      <c r="BS106" s="168"/>
      <c r="BT106" s="282"/>
      <c r="BU106" s="282"/>
    </row>
    <row r="107" spans="1:73" x14ac:dyDescent="0.35">
      <c r="A107" s="168">
        <v>45689</v>
      </c>
      <c r="B107" s="164">
        <f t="shared" ref="B107:B118" si="489">(($P107*0.6)+($V107*0.4))*($K107)</f>
        <v>38752.706643599995</v>
      </c>
      <c r="C107" s="178">
        <f t="shared" si="474"/>
        <v>-1.588973931604476E-2</v>
      </c>
      <c r="D107" s="271"/>
      <c r="E107" s="272"/>
      <c r="F107" s="208">
        <f t="shared" si="453"/>
        <v>-1.2711791452835809E-2</v>
      </c>
      <c r="G107" s="208">
        <f t="shared" si="473"/>
        <v>-1.0169433162268647E-2</v>
      </c>
      <c r="I107" s="183"/>
      <c r="J107" s="168">
        <v>45689</v>
      </c>
      <c r="K107" s="261">
        <f>'2025'!C31</f>
        <v>5.7692099999999993</v>
      </c>
      <c r="L107" s="324">
        <f t="shared" si="479"/>
        <v>-4.5272496411947749E-2</v>
      </c>
      <c r="M107" s="183"/>
      <c r="N107" s="183"/>
      <c r="O107" s="168">
        <v>45689</v>
      </c>
      <c r="P107" s="274">
        <f>'2025'!D29</f>
        <v>9328.7999999999993</v>
      </c>
      <c r="Q107" s="324">
        <f t="shared" si="475"/>
        <v>3.9123269360755053E-2</v>
      </c>
      <c r="R107" s="218">
        <f t="shared" si="476"/>
        <v>53819.806247999986</v>
      </c>
      <c r="S107" s="166">
        <f t="shared" si="480"/>
        <v>-7.9204351229511527E-3</v>
      </c>
      <c r="U107" s="168">
        <v>45689</v>
      </c>
      <c r="V107" s="275">
        <f>AVERAGE('[2]2021_Base RPA'!$H$858:$H$877)</f>
        <v>2799.7</v>
      </c>
      <c r="W107" s="248">
        <f t="shared" si="481"/>
        <v>-9.0115600891342851E-3</v>
      </c>
      <c r="X107" s="276">
        <f t="shared" si="470"/>
        <v>16152.057236999997</v>
      </c>
      <c r="Y107" s="166">
        <f t="shared" si="482"/>
        <v>-5.3876080679280514E-2</v>
      </c>
      <c r="Z107" s="227"/>
      <c r="AA107" s="168">
        <v>45689</v>
      </c>
      <c r="AB107" s="277">
        <f>AVERAGE('[2]2021_Base RPA'!$J$858:$J$877)</f>
        <v>15274.75</v>
      </c>
      <c r="AC107" s="324">
        <f t="shared" si="483"/>
        <v>-6.7552389678716684E-3</v>
      </c>
      <c r="AD107" s="278">
        <f t="shared" si="442"/>
        <v>88123.240447499993</v>
      </c>
      <c r="AE107" s="325">
        <f t="shared" si="477"/>
        <v>-5.1721908847884412E-2</v>
      </c>
      <c r="AG107" s="168">
        <v>45689</v>
      </c>
      <c r="AH107" s="279">
        <f>AVERAGE('[2]2021_Base RPA'!$L$858:$L$877)</f>
        <v>1955.2750000000001</v>
      </c>
      <c r="AI107" s="282">
        <f t="shared" si="484"/>
        <v>1.7420972338840324E-2</v>
      </c>
      <c r="AJ107" s="280">
        <f t="shared" si="434"/>
        <v>11280.392082749999</v>
      </c>
      <c r="AK107" s="317">
        <f t="shared" si="478"/>
        <v>-2.8640214980810264E-2</v>
      </c>
      <c r="AL107" s="255"/>
      <c r="AM107" s="168">
        <v>45689</v>
      </c>
      <c r="AN107" s="281">
        <f>AVERAGE('[2]2021_Base RPA'!$N$858:$N$877)</f>
        <v>973.875</v>
      </c>
      <c r="AO107" s="235">
        <f t="shared" si="485"/>
        <v>2.151473252598457E-2</v>
      </c>
      <c r="AP107" s="280">
        <f t="shared" si="437"/>
        <v>5618.4893887499993</v>
      </c>
      <c r="AQ107" s="317">
        <f t="shared" si="486"/>
        <v>-2.4731789537049798E-2</v>
      </c>
      <c r="AR107" s="252"/>
      <c r="AS107" s="168">
        <v>45689</v>
      </c>
      <c r="AT107" s="200">
        <f>R107*AV107*(1+8.058%)/1000</f>
        <v>43.617454676597873</v>
      </c>
      <c r="AU107" s="321">
        <f t="shared" si="487"/>
        <v>-8.1896149236515559E-4</v>
      </c>
      <c r="AV107" s="235">
        <v>0.75</v>
      </c>
      <c r="AW107" s="91"/>
      <c r="AX107" s="91"/>
      <c r="AY107" s="91"/>
      <c r="AZ107" s="237"/>
      <c r="BA107" s="238"/>
      <c r="BB107"/>
      <c r="BC107" s="168">
        <v>45689</v>
      </c>
      <c r="BD107" s="229">
        <f>AVERAGE('[2]2021_Base RPA'!$D$858:$D$877)</f>
        <v>6.0054300000000005</v>
      </c>
      <c r="BE107" s="282">
        <f t="shared" si="488"/>
        <v>-3.6971915939520983E-2</v>
      </c>
      <c r="BG107" s="168"/>
      <c r="BH107" s="311"/>
      <c r="BI107" s="249"/>
      <c r="BK107" s="168"/>
      <c r="BL107" s="310"/>
      <c r="BM107" s="249"/>
      <c r="BO107" s="168"/>
      <c r="BP107" s="310"/>
      <c r="BQ107" s="249"/>
      <c r="BS107" s="168"/>
      <c r="BT107" s="282"/>
      <c r="BU107" s="282"/>
    </row>
    <row r="108" spans="1:73" x14ac:dyDescent="0.35">
      <c r="A108" s="168">
        <v>45717</v>
      </c>
      <c r="B108" s="164">
        <f t="shared" si="489"/>
        <v>40231.035825563922</v>
      </c>
      <c r="C108" s="178">
        <f t="shared" si="474"/>
        <v>3.8147765924062771E-2</v>
      </c>
      <c r="D108" s="271"/>
      <c r="E108" s="272"/>
      <c r="F108" s="208">
        <f t="shared" si="453"/>
        <v>3.0518212739250219E-2</v>
      </c>
      <c r="G108" s="208">
        <f t="shared" si="473"/>
        <v>2.4414570191400174E-2</v>
      </c>
      <c r="I108" s="183"/>
      <c r="J108" s="168">
        <v>45717</v>
      </c>
      <c r="K108" s="261">
        <f>'2025'!E31</f>
        <v>5.75242105263158</v>
      </c>
      <c r="L108" s="324">
        <f t="shared" si="479"/>
        <v>-2.9100946868668709E-3</v>
      </c>
      <c r="M108" s="183"/>
      <c r="N108" s="183"/>
      <c r="O108" s="168">
        <v>45717</v>
      </c>
      <c r="P108" s="274">
        <f>'2025'!F29</f>
        <v>9731.0714285714294</v>
      </c>
      <c r="Q108" s="324">
        <f t="shared" si="475"/>
        <v>4.312145491075281E-2</v>
      </c>
      <c r="R108" s="218">
        <f t="shared" si="476"/>
        <v>55977.220150375957</v>
      </c>
      <c r="S108" s="166">
        <f t="shared" si="480"/>
        <v>4.00858727070601E-2</v>
      </c>
      <c r="U108" s="168">
        <v>45717</v>
      </c>
      <c r="V108" s="275">
        <f>AVERAGE('[2]2021_Base RPA'!$H$878:$H$898)</f>
        <v>2887.7857142857142</v>
      </c>
      <c r="W108" s="248">
        <f t="shared" si="481"/>
        <v>3.1462554661468856E-2</v>
      </c>
      <c r="X108" s="276">
        <f t="shared" si="470"/>
        <v>16611.759338345866</v>
      </c>
      <c r="Y108" s="166">
        <f t="shared" si="482"/>
        <v>2.8460900961446267E-2</v>
      </c>
      <c r="Z108" s="227"/>
      <c r="AA108" s="168">
        <v>45717</v>
      </c>
      <c r="AB108" s="277">
        <f>AVERAGE('[2]2021_Base RPA'!$J$878:$J$898)</f>
        <v>16054.523809523809</v>
      </c>
      <c r="AC108" s="324">
        <f t="shared" si="483"/>
        <v>5.1049857413300259E-2</v>
      </c>
      <c r="AD108" s="278">
        <f t="shared" si="442"/>
        <v>92352.380751879711</v>
      </c>
      <c r="AE108" s="325">
        <f t="shared" si="477"/>
        <v>4.7991202807609712E-2</v>
      </c>
      <c r="AG108" s="168">
        <v>45717</v>
      </c>
      <c r="AH108" s="279">
        <f>AVERAGE('[2]2021_Base RPA'!$L$878:$L$898)</f>
        <v>2033.7142857142858</v>
      </c>
      <c r="AI108" s="282">
        <f t="shared" si="484"/>
        <v>4.0116753763171697E-2</v>
      </c>
      <c r="AJ108" s="280">
        <f t="shared" si="434"/>
        <v>11698.780872180454</v>
      </c>
      <c r="AK108" s="317">
        <f t="shared" si="478"/>
        <v>3.7089915524324502E-2</v>
      </c>
      <c r="AL108" s="255"/>
      <c r="AM108" s="168">
        <v>45717</v>
      </c>
      <c r="AN108" s="281">
        <f>AVERAGE('[2]2021_Base RPA'!$N$878:$N$898)</f>
        <v>958.33333333333337</v>
      </c>
      <c r="AO108" s="235">
        <f t="shared" si="485"/>
        <v>-1.5958584691738276E-2</v>
      </c>
      <c r="AP108" s="280">
        <f t="shared" si="437"/>
        <v>5512.7368421052643</v>
      </c>
      <c r="AQ108" s="317">
        <f t="shared" si="486"/>
        <v>-1.8822238386083878E-2</v>
      </c>
      <c r="AR108" s="252"/>
      <c r="AS108" s="168">
        <v>45717</v>
      </c>
      <c r="AT108" s="200">
        <f>R108*AV108*(1+8.38%)/1000</f>
        <v>45.501083399233096</v>
      </c>
      <c r="AU108" s="321">
        <f t="shared" si="487"/>
        <v>4.3185205019444783E-2</v>
      </c>
      <c r="AV108" s="235">
        <v>0.75</v>
      </c>
      <c r="AW108" s="91"/>
      <c r="AX108" s="91"/>
      <c r="AY108" s="91"/>
      <c r="AZ108" s="237"/>
      <c r="BA108" s="238"/>
      <c r="BB108"/>
      <c r="BC108" s="168">
        <v>45717</v>
      </c>
      <c r="BD108" s="229">
        <f>AVERAGE('[2]2021_Base RPA'!$D$878:$D$898)</f>
        <v>6.2314999999999996</v>
      </c>
      <c r="BE108" s="282">
        <f t="shared" si="488"/>
        <v>3.7644265273260924E-2</v>
      </c>
      <c r="BG108" s="168"/>
      <c r="BH108" s="311"/>
      <c r="BI108" s="249"/>
      <c r="BK108" s="168"/>
      <c r="BL108" s="310"/>
      <c r="BM108" s="249"/>
      <c r="BO108" s="168"/>
      <c r="BP108" s="310"/>
      <c r="BQ108" s="249"/>
      <c r="BS108" s="168"/>
      <c r="BT108" s="282"/>
      <c r="BU108" s="282"/>
    </row>
    <row r="109" spans="1:73" x14ac:dyDescent="0.35">
      <c r="A109" s="168">
        <v>45748</v>
      </c>
      <c r="B109" s="164">
        <f t="shared" si="489"/>
        <v>37996.460761874994</v>
      </c>
      <c r="C109" s="178">
        <f t="shared" si="474"/>
        <v>-5.5543562770238641E-2</v>
      </c>
      <c r="D109" s="271"/>
      <c r="E109" s="272"/>
      <c r="F109" s="208">
        <f t="shared" si="453"/>
        <v>-4.4434850216190917E-2</v>
      </c>
      <c r="G109" s="208">
        <f t="shared" si="473"/>
        <v>-3.5547880172952732E-2</v>
      </c>
      <c r="I109" s="183"/>
      <c r="J109" s="168">
        <v>45748</v>
      </c>
      <c r="K109" s="261">
        <f>'2025'!G31</f>
        <v>5.787374999999999</v>
      </c>
      <c r="L109" s="324">
        <f t="shared" si="479"/>
        <v>6.0763888888886175E-3</v>
      </c>
      <c r="M109" s="183"/>
      <c r="N109" s="183"/>
      <c r="O109" s="168">
        <v>45748</v>
      </c>
      <c r="P109" s="274">
        <f>'2025'!H29</f>
        <v>9192.125</v>
      </c>
      <c r="Q109" s="324">
        <f t="shared" si="475"/>
        <v>-5.5384078981172369E-2</v>
      </c>
      <c r="R109" s="218">
        <f t="shared" si="476"/>
        <v>53198.274421874994</v>
      </c>
      <c r="S109" s="166">
        <f t="shared" si="480"/>
        <v>-4.9644225294426247E-2</v>
      </c>
      <c r="U109" s="168">
        <v>45748</v>
      </c>
      <c r="V109" s="275">
        <f>AVERAGE('[2]2021_Base RPA'!$H$899:$H$918)</f>
        <v>2625.3249999999998</v>
      </c>
      <c r="W109" s="248">
        <f t="shared" si="481"/>
        <v>-9.0886492369338878E-2</v>
      </c>
      <c r="X109" s="276">
        <f t="shared" si="470"/>
        <v>15193.740271874996</v>
      </c>
      <c r="Y109" s="166">
        <f t="shared" si="482"/>
        <v>-8.5362365152833353E-2</v>
      </c>
      <c r="Z109" s="227"/>
      <c r="AA109" s="168">
        <v>45748</v>
      </c>
      <c r="AB109" s="277">
        <f>AVERAGE('[2]2021_Base RPA'!$J$899:$J$918)</f>
        <v>15209.5</v>
      </c>
      <c r="AC109" s="324">
        <f t="shared" si="483"/>
        <v>-5.2634623085022758E-2</v>
      </c>
      <c r="AD109" s="278">
        <f t="shared" si="442"/>
        <v>88023.080062499983</v>
      </c>
      <c r="AE109" s="325">
        <f t="shared" si="477"/>
        <v>-4.6878062635018924E-2</v>
      </c>
      <c r="AG109" s="168">
        <v>45748</v>
      </c>
      <c r="AH109" s="279">
        <f>AVERAGE('[2]2021_Base RPA'!$L$899:$L$918)</f>
        <v>1909.125</v>
      </c>
      <c r="AI109" s="282">
        <f t="shared" si="484"/>
        <v>-6.1261941556617017E-2</v>
      </c>
      <c r="AJ109" s="280">
        <f t="shared" si="434"/>
        <v>11048.822296874998</v>
      </c>
      <c r="AK109" s="317">
        <f t="shared" si="478"/>
        <v>-5.5557804048714909E-2</v>
      </c>
      <c r="AL109" s="255"/>
      <c r="AM109" s="168">
        <v>45748</v>
      </c>
      <c r="AN109" s="281">
        <f>AVERAGE('[2]2021_Base RPA'!$N$899:$N$918)</f>
        <v>945.35</v>
      </c>
      <c r="AO109" s="235">
        <f t="shared" si="485"/>
        <v>-1.3547826086956483E-2</v>
      </c>
      <c r="AP109" s="280">
        <f t="shared" si="437"/>
        <v>5471.0949562499991</v>
      </c>
      <c r="AQ109" s="317">
        <f t="shared" si="486"/>
        <v>-7.5537590579713987E-3</v>
      </c>
      <c r="AR109" s="252"/>
      <c r="AS109" s="168">
        <v>45748</v>
      </c>
      <c r="AT109" s="200">
        <f>R109*AV109*(1+9.022%)/1000</f>
        <v>43.498367055162419</v>
      </c>
      <c r="AU109" s="321">
        <f t="shared" si="487"/>
        <v>-4.4014695793033187E-2</v>
      </c>
      <c r="AV109" s="235">
        <v>0.75</v>
      </c>
      <c r="AW109" s="91"/>
      <c r="AX109" s="91"/>
      <c r="AY109" s="91"/>
      <c r="AZ109" s="237"/>
      <c r="BA109" s="238"/>
      <c r="BB109"/>
      <c r="BC109" s="168">
        <v>45748</v>
      </c>
      <c r="BD109" s="229">
        <f>AVERAGE('[2]2021_Base RPA'!$D$899:$D$918)</f>
        <v>6.4814450000000008</v>
      </c>
      <c r="BE109" s="282">
        <f t="shared" si="488"/>
        <v>4.0109925379122391E-2</v>
      </c>
      <c r="BG109" s="168"/>
      <c r="BH109" s="311"/>
      <c r="BI109" s="249"/>
      <c r="BK109" s="168"/>
      <c r="BL109" s="310"/>
      <c r="BM109" s="249"/>
      <c r="BO109" s="168"/>
      <c r="BP109" s="310"/>
      <c r="BQ109" s="249"/>
      <c r="BS109" s="168"/>
      <c r="BT109" s="282"/>
      <c r="BU109" s="282"/>
    </row>
    <row r="110" spans="1:73" x14ac:dyDescent="0.35">
      <c r="A110" s="168">
        <v>45778</v>
      </c>
      <c r="B110" s="164">
        <f t="shared" si="489"/>
        <v>38388.591025714282</v>
      </c>
      <c r="C110" s="178">
        <f t="shared" si="474"/>
        <v>1.0320178668660196E-2</v>
      </c>
      <c r="D110" s="271"/>
      <c r="E110" s="272"/>
      <c r="F110" s="208">
        <f t="shared" si="453"/>
        <v>8.2561429349281568E-3</v>
      </c>
      <c r="G110" s="208">
        <f t="shared" si="473"/>
        <v>6.6049143479425254E-3</v>
      </c>
      <c r="I110" s="183"/>
      <c r="J110" s="168">
        <v>45778</v>
      </c>
      <c r="K110" s="261">
        <f>'2025'!I31</f>
        <v>5.6651047619047619</v>
      </c>
      <c r="L110" s="324">
        <f t="shared" si="479"/>
        <v>-2.1127063322358919E-2</v>
      </c>
      <c r="M110" s="183"/>
      <c r="N110" s="183"/>
      <c r="O110" s="168">
        <v>45778</v>
      </c>
      <c r="P110" s="274">
        <f>'2025'!J29</f>
        <v>9529.7749999999996</v>
      </c>
      <c r="Q110" s="324">
        <f t="shared" si="475"/>
        <v>3.6732529202986308E-2</v>
      </c>
      <c r="R110" s="218">
        <f t="shared" si="476"/>
        <v>53987.17373238095</v>
      </c>
      <c r="S110" s="166">
        <f t="shared" si="480"/>
        <v>1.4829415410165359E-2</v>
      </c>
      <c r="U110" s="168">
        <v>45778</v>
      </c>
      <c r="V110" s="275">
        <f>AVERAGE('[2]2021_Base RPA'!$H$919:$H$940)</f>
        <v>2646.15</v>
      </c>
      <c r="W110" s="248">
        <f t="shared" si="481"/>
        <v>7.9323512327045265E-3</v>
      </c>
      <c r="X110" s="276">
        <f t="shared" si="470"/>
        <v>14990.716965714286</v>
      </c>
      <c r="Y110" s="166">
        <f t="shared" si="482"/>
        <v>-1.3362299376442843E-2</v>
      </c>
      <c r="Z110" s="227"/>
      <c r="AA110" s="168">
        <v>45778</v>
      </c>
      <c r="AB110" s="277">
        <f>AVERAGE('[2]2021_Base RPA'!$J$919:$J$940)</f>
        <v>15324.75</v>
      </c>
      <c r="AC110" s="324">
        <f t="shared" si="483"/>
        <v>7.5775009040401908E-3</v>
      </c>
      <c r="AD110" s="278">
        <f t="shared" si="442"/>
        <v>86816.314199999993</v>
      </c>
      <c r="AE110" s="325">
        <f t="shared" si="477"/>
        <v>-1.3709652759743673E-2</v>
      </c>
      <c r="AG110" s="168">
        <v>45778</v>
      </c>
      <c r="AH110" s="279">
        <f>AVERAGE('[2]2021_Base RPA'!$L$919:$L$940)</f>
        <v>1958.2750000000001</v>
      </c>
      <c r="AI110" s="282">
        <f t="shared" si="484"/>
        <v>2.5744778367053023E-2</v>
      </c>
      <c r="AJ110" s="280">
        <f t="shared" si="434"/>
        <v>11093.833027619048</v>
      </c>
      <c r="AK110" s="317">
        <f t="shared" si="478"/>
        <v>4.0738034819132185E-3</v>
      </c>
      <c r="AL110" s="255"/>
      <c r="AM110" s="168">
        <v>45778</v>
      </c>
      <c r="AN110" s="281">
        <f>AVERAGE('[2]2021_Base RPA'!$N$919:$N$940)</f>
        <v>954.25</v>
      </c>
      <c r="AO110" s="235">
        <f t="shared" si="485"/>
        <v>9.4145025651874992E-3</v>
      </c>
      <c r="AP110" s="280">
        <f t="shared" si="437"/>
        <v>5405.9262190476193</v>
      </c>
      <c r="AQ110" s="317">
        <f t="shared" si="486"/>
        <v>-1.1911461549014679E-2</v>
      </c>
      <c r="AR110" s="252"/>
      <c r="AS110" s="168">
        <v>45778</v>
      </c>
      <c r="AT110" s="200">
        <f>R110*AV110*(1+9.022%)/1000</f>
        <v>44.143422409887265</v>
      </c>
      <c r="AU110" s="321">
        <f t="shared" si="487"/>
        <v>1.4829415410165137E-2</v>
      </c>
      <c r="AV110" s="235">
        <v>0.75</v>
      </c>
      <c r="AW110" s="91"/>
      <c r="AX110" s="91"/>
      <c r="AY110" s="91"/>
      <c r="AZ110" s="237"/>
      <c r="BA110" s="238"/>
      <c r="BB110"/>
      <c r="BC110" s="168">
        <v>45778</v>
      </c>
      <c r="BD110" s="229">
        <f>AVERAGE('[2]2021_Base RPA'!$D$919:$D$940)</f>
        <v>6.3906238095238086</v>
      </c>
      <c r="BE110" s="282">
        <f t="shared" si="488"/>
        <v>-1.4012491115205306E-2</v>
      </c>
      <c r="BG110" s="168"/>
      <c r="BH110" s="311"/>
      <c r="BI110" s="249"/>
      <c r="BK110" s="168"/>
      <c r="BL110" s="310"/>
      <c r="BM110" s="249"/>
      <c r="BO110" s="168"/>
      <c r="BP110" s="310"/>
      <c r="BQ110" s="249"/>
      <c r="BS110" s="168"/>
      <c r="BT110" s="282"/>
      <c r="BU110" s="282"/>
    </row>
    <row r="111" spans="1:73" x14ac:dyDescent="0.35">
      <c r="A111" s="168">
        <v>45809</v>
      </c>
      <c r="B111" s="164">
        <f t="shared" si="489"/>
        <v>38698.421855452369</v>
      </c>
      <c r="C111" s="178">
        <f t="shared" si="474"/>
        <v>8.0709091284583145E-3</v>
      </c>
      <c r="D111" s="271"/>
      <c r="E111" s="272"/>
      <c r="F111" s="208">
        <f t="shared" si="453"/>
        <v>6.4567273027666518E-3</v>
      </c>
      <c r="G111" s="208">
        <f t="shared" si="473"/>
        <v>5.1653818422133218E-3</v>
      </c>
      <c r="I111" s="183"/>
      <c r="J111" s="168">
        <v>45809</v>
      </c>
      <c r="K111" s="261">
        <f>'2025'!K31</f>
        <v>5.5596349999999983</v>
      </c>
      <c r="L111" s="324">
        <f t="shared" si="479"/>
        <v>-1.8617442454727295E-2</v>
      </c>
      <c r="M111" s="183"/>
      <c r="N111" s="183"/>
      <c r="O111" s="168">
        <v>45809</v>
      </c>
      <c r="P111" s="274">
        <f>'2025'!L29</f>
        <v>9833.7380952380954</v>
      </c>
      <c r="Q111" s="324">
        <f t="shared" si="475"/>
        <v>3.1896146051517027E-2</v>
      </c>
      <c r="R111" s="218">
        <f t="shared" si="476"/>
        <v>54671.994495119034</v>
      </c>
      <c r="S111" s="166">
        <f t="shared" si="480"/>
        <v>1.2684878933147958E-2</v>
      </c>
      <c r="U111" s="168">
        <v>45809</v>
      </c>
      <c r="V111" s="275">
        <f>AVERAGE('[2]2021_Base RPA'!$H$941:$H$961)</f>
        <v>2650.9047619047619</v>
      </c>
      <c r="W111" s="248">
        <f t="shared" si="481"/>
        <v>1.7968603082825219E-3</v>
      </c>
      <c r="X111" s="276">
        <f t="shared" si="470"/>
        <v>14738.062895952376</v>
      </c>
      <c r="Y111" s="166">
        <f t="shared" si="482"/>
        <v>-1.6854035089833408E-2</v>
      </c>
      <c r="Z111" s="227"/>
      <c r="AA111" s="168">
        <v>45809</v>
      </c>
      <c r="AB111" s="277">
        <f>AVERAGE('[2]2021_Base RPA'!$J$941:$J$961)</f>
        <v>14989.285714285714</v>
      </c>
      <c r="AC111" s="324">
        <f t="shared" si="483"/>
        <v>-2.1890359432570561E-2</v>
      </c>
      <c r="AD111" s="278">
        <f t="shared" si="442"/>
        <v>83334.957482142825</v>
      </c>
      <c r="AE111" s="325">
        <f t="shared" si="477"/>
        <v>-4.0100259380248748E-2</v>
      </c>
      <c r="AG111" s="168">
        <v>45809</v>
      </c>
      <c r="AH111" s="279">
        <f>AVERAGE('[2]2021_Base RPA'!$L$941:$L$961)</f>
        <v>1972.8809523809523</v>
      </c>
      <c r="AI111" s="282">
        <f t="shared" si="484"/>
        <v>7.4585808331066872E-3</v>
      </c>
      <c r="AJ111" s="280">
        <f t="shared" si="434"/>
        <v>10968.497993690473</v>
      </c>
      <c r="AK111" s="317">
        <f t="shared" si="478"/>
        <v>-1.1297721321074761E-2</v>
      </c>
      <c r="AL111" s="255"/>
      <c r="AM111" s="168">
        <v>45809</v>
      </c>
      <c r="AN111" s="281" t="e">
        <f>AVERAGE('[2]2021_Base RPA'!$N$941:$N$961)</f>
        <v>#DIV/0!</v>
      </c>
      <c r="AO111" s="235" t="e">
        <f t="shared" si="485"/>
        <v>#DIV/0!</v>
      </c>
      <c r="AP111" s="280" t="e">
        <f t="shared" si="437"/>
        <v>#DIV/0!</v>
      </c>
      <c r="AQ111" s="317" t="e">
        <f t="shared" si="486"/>
        <v>#DIV/0!</v>
      </c>
      <c r="AR111" s="252"/>
      <c r="AS111" s="168">
        <v>45809</v>
      </c>
      <c r="AT111" s="200">
        <f>R111*AV111*(1+9.022%)/1000</f>
        <v>44.703376378851509</v>
      </c>
      <c r="AU111" s="321">
        <f t="shared" si="487"/>
        <v>1.268487893314818E-2</v>
      </c>
      <c r="AV111" s="235">
        <v>0.75</v>
      </c>
      <c r="AW111" s="91"/>
      <c r="AX111" s="91"/>
      <c r="AY111" s="91"/>
      <c r="AZ111" s="237"/>
      <c r="BA111" s="238"/>
      <c r="BB111"/>
      <c r="BC111" s="168">
        <v>45809</v>
      </c>
      <c r="BD111" s="229">
        <f>AVERAGE('[2]2021_Base RPA'!$D$941:$D$961)</f>
        <v>6.3926523809523825</v>
      </c>
      <c r="BE111" s="282">
        <f t="shared" si="488"/>
        <v>3.1742932912925959E-4</v>
      </c>
      <c r="BG111" s="168"/>
      <c r="BH111" s="311"/>
      <c r="BI111" s="249"/>
      <c r="BK111" s="168"/>
      <c r="BL111" s="310"/>
      <c r="BM111" s="249"/>
      <c r="BO111" s="168"/>
      <c r="BP111" s="310"/>
      <c r="BQ111" s="249"/>
      <c r="BS111" s="168"/>
      <c r="BT111" s="282"/>
      <c r="BU111" s="282"/>
    </row>
    <row r="112" spans="1:73" x14ac:dyDescent="0.35">
      <c r="A112" s="168">
        <v>45839</v>
      </c>
      <c r="B112" s="164">
        <f t="shared" si="489"/>
        <v>38492.236113875224</v>
      </c>
      <c r="C112" s="178">
        <f t="shared" si="474"/>
        <v>-5.3280142106905126E-3</v>
      </c>
      <c r="D112" s="271"/>
      <c r="E112" s="272"/>
      <c r="F112" s="208">
        <f t="shared" si="453"/>
        <v>-4.2624113685524106E-3</v>
      </c>
      <c r="G112" s="208">
        <f t="shared" si="473"/>
        <v>-3.4099290948419281E-3</v>
      </c>
      <c r="I112" s="183"/>
      <c r="J112" s="168">
        <v>45839</v>
      </c>
      <c r="K112" s="261">
        <f>'2025'!A69</f>
        <v>5.5221869565217379</v>
      </c>
      <c r="L112" s="324">
        <f t="shared" si="479"/>
        <v>-6.7357018002549562E-3</v>
      </c>
      <c r="M112" s="183"/>
      <c r="N112" s="183"/>
      <c r="O112" s="168">
        <v>45839</v>
      </c>
      <c r="P112" s="274">
        <f>'2025'!B66</f>
        <v>9778.217391304348</v>
      </c>
      <c r="Q112" s="324">
        <f t="shared" si="475"/>
        <v>-5.6459408818944068E-3</v>
      </c>
      <c r="R112" s="218">
        <f t="shared" si="476"/>
        <v>53997.144536294887</v>
      </c>
      <c r="S112" s="166">
        <f t="shared" si="480"/>
        <v>-1.2343613307987056E-2</v>
      </c>
      <c r="U112" s="168">
        <v>45839</v>
      </c>
      <c r="V112" s="275">
        <f>AVERAGE('[2]2021_Base RPA'!$H$962:$H$984)</f>
        <v>2758.8478260869565</v>
      </c>
      <c r="W112" s="248">
        <f t="shared" si="481"/>
        <v>4.0719329390254577E-2</v>
      </c>
      <c r="X112" s="276">
        <f t="shared" si="470"/>
        <v>15234.873480245744</v>
      </c>
      <c r="Y112" s="166">
        <f t="shared" si="482"/>
        <v>3.3709354329720664E-2</v>
      </c>
      <c r="Z112" s="227"/>
      <c r="AA112" s="168">
        <v>45839</v>
      </c>
      <c r="AB112" s="277">
        <f>AVERAGE('[2]2021_Base RPA'!$J$962:$J$984)</f>
        <v>15023.260869565218</v>
      </c>
      <c r="AC112" s="324">
        <f t="shared" si="483"/>
        <v>2.2666293729476372E-3</v>
      </c>
      <c r="AD112" s="278">
        <f t="shared" si="442"/>
        <v>82961.255218336475</v>
      </c>
      <c r="AE112" s="325">
        <f t="shared" si="477"/>
        <v>-4.4843397668550278E-3</v>
      </c>
      <c r="AG112" s="168">
        <v>45839</v>
      </c>
      <c r="AH112" s="279">
        <f>AVERAGE('[2]2021_Base RPA'!$L$962:$L$984)</f>
        <v>1994.8695652173913</v>
      </c>
      <c r="AI112" s="282">
        <f t="shared" si="484"/>
        <v>1.1145433184857056E-2</v>
      </c>
      <c r="AJ112" s="280">
        <f t="shared" si="434"/>
        <v>11016.042693005667</v>
      </c>
      <c r="AK112" s="317">
        <f t="shared" si="478"/>
        <v>4.3346590702340038E-3</v>
      </c>
      <c r="AL112" s="255"/>
      <c r="AM112" s="168">
        <v>45839</v>
      </c>
      <c r="AN112" s="281" t="e">
        <f>AVERAGE('[2]2021_Base RPA'!$N$962:$N$984)</f>
        <v>#DIV/0!</v>
      </c>
      <c r="AO112" s="235"/>
      <c r="AP112" s="280"/>
      <c r="AQ112" s="317"/>
      <c r="AR112" s="252"/>
      <c r="AS112" s="168">
        <v>45839</v>
      </c>
      <c r="AT112" s="200">
        <f>R112*AV112*(1+9.022%)/1000</f>
        <v>44.151575187269557</v>
      </c>
      <c r="AU112" s="321">
        <f t="shared" si="487"/>
        <v>-1.2343613307987167E-2</v>
      </c>
      <c r="AV112" s="235">
        <v>0.75</v>
      </c>
      <c r="AW112" s="91"/>
      <c r="AX112" s="91"/>
      <c r="AY112" s="91"/>
      <c r="AZ112" s="237"/>
      <c r="BA112" s="238"/>
      <c r="BB112"/>
      <c r="BC112" s="168">
        <v>45839</v>
      </c>
      <c r="BD112" s="229">
        <f>AVERAGE('[2]2021_Base RPA'!$D$962:$D$984)</f>
        <v>6.4529608695652163</v>
      </c>
      <c r="BE112" s="282">
        <f t="shared" si="488"/>
        <v>9.4340322324626413E-3</v>
      </c>
      <c r="BG112" s="168"/>
      <c r="BH112" s="311"/>
      <c r="BI112" s="249"/>
      <c r="BK112" s="168"/>
      <c r="BL112" s="310"/>
      <c r="BM112" s="249"/>
      <c r="BO112" s="168"/>
      <c r="BP112" s="310"/>
      <c r="BQ112" s="249"/>
      <c r="BS112" s="168"/>
      <c r="BT112" s="282"/>
      <c r="BU112" s="282"/>
    </row>
    <row r="113" spans="1:73" x14ac:dyDescent="0.35">
      <c r="A113" s="168">
        <v>45870</v>
      </c>
      <c r="B113" s="164">
        <f t="shared" si="489"/>
        <v>37673.051451210886</v>
      </c>
      <c r="C113" s="178">
        <f t="shared" si="474"/>
        <v>-2.1281815383259794E-2</v>
      </c>
      <c r="D113" s="271"/>
      <c r="E113" s="272"/>
      <c r="F113" s="208">
        <f t="shared" si="453"/>
        <v>-1.7025452306607836E-2</v>
      </c>
      <c r="G113" s="208">
        <f t="shared" si="473"/>
        <v>-1.3620361845286269E-2</v>
      </c>
      <c r="I113" s="183"/>
      <c r="J113" s="168">
        <v>45870</v>
      </c>
      <c r="K113" s="261">
        <f>'2025'!C69</f>
        <v>5.455290476190477</v>
      </c>
      <c r="L113" s="324">
        <f>K113/K112-1</f>
        <v>-1.2114128126766044E-2</v>
      </c>
      <c r="M113" s="183"/>
      <c r="N113" s="183"/>
      <c r="O113" s="168">
        <v>45870</v>
      </c>
      <c r="P113" s="274">
        <f>'2025'!D66</f>
        <v>9653.4047619047615</v>
      </c>
      <c r="Q113" s="324">
        <f t="shared" si="475"/>
        <v>-1.2764354115360588E-2</v>
      </c>
      <c r="R113" s="218">
        <f t="shared" si="476"/>
        <v>52662.127060430845</v>
      </c>
      <c r="S113" s="166">
        <f t="shared" si="480"/>
        <v>-2.4723853220917857E-2</v>
      </c>
      <c r="U113" s="168">
        <v>45870</v>
      </c>
      <c r="V113" s="275">
        <f>AVERAGE('[2]2021_Base RPA'!$H$985:$H$1005)</f>
        <v>2784.35</v>
      </c>
      <c r="W113" s="248">
        <f t="shared" si="481"/>
        <v>9.2437769390183444E-3</v>
      </c>
      <c r="X113" s="276">
        <f t="shared" si="470"/>
        <v>15189.438037380954</v>
      </c>
      <c r="Y113" s="166">
        <f t="shared" si="482"/>
        <v>-2.9823314859622752E-3</v>
      </c>
      <c r="Z113" s="227"/>
      <c r="AA113" s="168">
        <v>45870</v>
      </c>
      <c r="AB113" s="277">
        <f>AVERAGE('[2]2021_Base RPA'!$J$985:$J$1005)</f>
        <v>14909</v>
      </c>
      <c r="AC113" s="324">
        <f t="shared" si="483"/>
        <v>-7.6055971175134074E-3</v>
      </c>
      <c r="AD113" s="278">
        <f t="shared" si="442"/>
        <v>81332.925709523828</v>
      </c>
      <c r="AE113" s="325">
        <f t="shared" si="477"/>
        <v>-1.9627590066317424E-2</v>
      </c>
      <c r="AG113" s="168">
        <v>45870</v>
      </c>
      <c r="AH113" s="279">
        <f>AVERAGE('[2]2021_Base RPA'!$L$985:$L$1005)</f>
        <v>1945.1750500000003</v>
      </c>
      <c r="AI113" s="282">
        <f t="shared" si="484"/>
        <v>-2.4911160149949652E-2</v>
      </c>
      <c r="AJ113" s="280">
        <f t="shared" si="434"/>
        <v>10611.494924788336</v>
      </c>
      <c r="AK113" s="317">
        <f t="shared" si="478"/>
        <v>-3.6723511290872923E-2</v>
      </c>
      <c r="AL113" s="255"/>
      <c r="AM113" s="168">
        <v>45870</v>
      </c>
      <c r="AN113" s="168"/>
      <c r="AO113" s="235"/>
      <c r="AP113" s="280"/>
      <c r="AQ113" s="317"/>
      <c r="AR113" s="252"/>
      <c r="AS113" s="168">
        <v>45870</v>
      </c>
      <c r="AT113" s="200">
        <f>R113*AV113*(1+8.116%)/1000</f>
        <v>42.702138969491557</v>
      </c>
      <c r="AU113" s="321">
        <f t="shared" si="487"/>
        <v>-3.2828641144289739E-2</v>
      </c>
      <c r="AV113" s="235">
        <v>0.75</v>
      </c>
      <c r="AW113" s="91"/>
      <c r="AX113" s="91"/>
      <c r="AY113" s="91"/>
      <c r="AZ113" s="237"/>
      <c r="BA113" s="238"/>
      <c r="BB113"/>
      <c r="BC113" s="168">
        <v>45870</v>
      </c>
      <c r="BD113" s="229">
        <f>AVERAGE('[2]2021_Base RPA'!$D$985:$D$1005)</f>
        <v>6.3447285714285711</v>
      </c>
      <c r="BE113" s="282">
        <f t="shared" si="488"/>
        <v>-1.6772501852151733E-2</v>
      </c>
      <c r="BG113" s="168"/>
      <c r="BH113" s="311"/>
      <c r="BI113" s="249"/>
      <c r="BK113" s="168"/>
      <c r="BL113" s="310"/>
      <c r="BM113" s="249"/>
      <c r="BO113" s="168"/>
      <c r="BP113" s="310"/>
      <c r="BQ113" s="249"/>
      <c r="BS113" s="168"/>
      <c r="BT113" s="282"/>
      <c r="BU113" s="282"/>
    </row>
    <row r="114" spans="1:73" x14ac:dyDescent="0.35">
      <c r="A114" s="168">
        <v>45901</v>
      </c>
      <c r="B114" s="164">
        <f t="shared" si="489"/>
        <v>38377.822578512401</v>
      </c>
      <c r="C114" s="178">
        <f t="shared" si="474"/>
        <v>1.8707566819062826E-2</v>
      </c>
      <c r="D114" s="271"/>
      <c r="E114" s="272"/>
      <c r="F114" s="208">
        <f t="shared" si="453"/>
        <v>1.4966053455250261E-2</v>
      </c>
      <c r="G114" s="208">
        <f t="shared" si="473"/>
        <v>1.1972842764200209E-2</v>
      </c>
      <c r="I114" s="183"/>
      <c r="J114" s="168">
        <v>45901</v>
      </c>
      <c r="K114" s="261">
        <f>'2025'!E69</f>
        <v>5.3723090909090923</v>
      </c>
      <c r="L114" s="324">
        <f t="shared" si="479"/>
        <v>-1.5211176314727126E-2</v>
      </c>
      <c r="M114" s="183"/>
      <c r="N114" s="183"/>
      <c r="O114" s="168">
        <v>45901</v>
      </c>
      <c r="P114" s="274">
        <f>'2025'!F66</f>
        <v>9952.7272727272721</v>
      </c>
      <c r="Q114" s="324">
        <f t="shared" si="475"/>
        <v>3.1006936744611302E-2</v>
      </c>
      <c r="R114" s="218">
        <f t="shared" si="476"/>
        <v>53469.127206611578</v>
      </c>
      <c r="S114" s="166">
        <f t="shared" si="480"/>
        <v>1.5324108448082407E-2</v>
      </c>
      <c r="U114" s="168">
        <v>45901</v>
      </c>
      <c r="V114" s="275">
        <f>AVERAGE('[2]2021_Base RPA'!$H$1006:$H$1027)</f>
        <v>2930</v>
      </c>
      <c r="W114" s="248">
        <f t="shared" si="481"/>
        <v>5.2310233986388344E-2</v>
      </c>
      <c r="X114" s="276">
        <f t="shared" si="470"/>
        <v>15740.86563636364</v>
      </c>
      <c r="Y114" s="166">
        <f t="shared" si="482"/>
        <v>3.6303357479429588E-2</v>
      </c>
      <c r="Z114" s="227"/>
      <c r="AA114" s="168">
        <v>45901</v>
      </c>
      <c r="AB114" s="277">
        <f>AVERAGE('[2]2021_Base RPA'!$J$1006:$J$1027)</f>
        <v>15102.045454545454</v>
      </c>
      <c r="AC114" s="324">
        <f t="shared" si="483"/>
        <v>1.2948249684449298E-2</v>
      </c>
      <c r="AD114" s="278">
        <f t="shared" si="442"/>
        <v>81132.856086776883</v>
      </c>
      <c r="AE114" s="325">
        <f t="shared" si="477"/>
        <v>-2.4598847391951173E-3</v>
      </c>
      <c r="AG114" s="168">
        <v>45901</v>
      </c>
      <c r="AH114" s="279">
        <f>AVERAGE('[2]2021_Base RPA'!$L$1006:$L$1027)</f>
        <v>1954.4772727272727</v>
      </c>
      <c r="AI114" s="282">
        <f t="shared" si="484"/>
        <v>4.7822033946365305E-3</v>
      </c>
      <c r="AJ114" s="280">
        <f t="shared" si="434"/>
        <v>10500.056020247937</v>
      </c>
      <c r="AK114" s="317">
        <f t="shared" si="478"/>
        <v>-1.0501715859099092E-2</v>
      </c>
      <c r="AL114" s="255"/>
      <c r="AM114" s="168"/>
      <c r="AN114" s="343"/>
      <c r="AO114" s="235"/>
      <c r="AP114" s="280"/>
      <c r="AQ114" s="317"/>
      <c r="AR114" s="252"/>
      <c r="AS114" s="168">
        <v>45901</v>
      </c>
      <c r="AT114" s="200">
        <f>R114*AV114*(1+8.116%)/1000</f>
        <v>43.35651117802513</v>
      </c>
      <c r="AU114" s="321">
        <f t="shared" si="487"/>
        <v>1.5324108448082407E-2</v>
      </c>
      <c r="AV114" s="235">
        <v>0.75</v>
      </c>
      <c r="AW114" s="91"/>
      <c r="AX114" s="91"/>
      <c r="AY114" s="91"/>
      <c r="AZ114" s="237"/>
      <c r="BA114" s="238"/>
      <c r="BB114"/>
      <c r="BC114" s="168">
        <v>45901</v>
      </c>
      <c r="BD114" s="229">
        <f>AVERAGE('[2]2021_Base RPA'!$D$1006:$D$1027)</f>
        <v>6.2982681818181838</v>
      </c>
      <c r="BE114" s="282">
        <f t="shared" si="488"/>
        <v>-7.322675680659807E-3</v>
      </c>
      <c r="BG114" s="168"/>
      <c r="BH114" s="311"/>
      <c r="BI114" s="249"/>
      <c r="BK114" s="168"/>
      <c r="BL114" s="310"/>
      <c r="BM114" s="249"/>
      <c r="BO114" s="168"/>
      <c r="BP114" s="310"/>
      <c r="BQ114" s="249"/>
      <c r="BS114" s="168"/>
      <c r="BT114" s="282"/>
      <c r="BU114" s="282"/>
    </row>
    <row r="115" spans="1:73" x14ac:dyDescent="0.35">
      <c r="A115" s="168">
        <v>45931</v>
      </c>
      <c r="B115" s="164">
        <f t="shared" si="489"/>
        <v>41324.181829754241</v>
      </c>
      <c r="C115" s="178">
        <f>(B115/B114-1)</f>
        <v>7.677244442970288E-2</v>
      </c>
      <c r="D115" s="178">
        <f>(C115/C114-1)</f>
        <v>3.1038177317358295</v>
      </c>
      <c r="E115" s="178" t="e">
        <f>(D115/D114-1)</f>
        <v>#DIV/0!</v>
      </c>
      <c r="F115" s="208">
        <f>C115*80%</f>
        <v>6.1417955543762309E-2</v>
      </c>
      <c r="G115" s="208">
        <f>C115*64%</f>
        <v>4.9134364435009847E-2</v>
      </c>
      <c r="I115" s="183"/>
      <c r="J115" s="168">
        <v>45931</v>
      </c>
      <c r="K115" s="261">
        <f>'2025'!G69</f>
        <v>5.382669565217391</v>
      </c>
      <c r="L115" s="324">
        <f t="shared" si="479"/>
        <v>1.9284955748042343E-3</v>
      </c>
      <c r="M115" s="183"/>
      <c r="N115" s="183"/>
      <c r="O115" s="168">
        <v>45931</v>
      </c>
      <c r="P115" s="274">
        <f>'2025'!H66</f>
        <v>10696.021739130434</v>
      </c>
      <c r="Q115" s="324">
        <f t="shared" si="475"/>
        <v>7.4682491143905683E-2</v>
      </c>
      <c r="R115" s="218">
        <f t="shared" si="476"/>
        <v>57573.150684120978</v>
      </c>
      <c r="S115" s="166">
        <f t="shared" si="480"/>
        <v>7.6755011572396281E-2</v>
      </c>
      <c r="U115" s="168">
        <v>45931</v>
      </c>
      <c r="V115" s="275">
        <f>AVERAGE('[2]2021_Base RPA'!$H$1028:$H$1050)</f>
        <v>3149.1304347826085</v>
      </c>
      <c r="W115" s="248">
        <f t="shared" si="481"/>
        <v>7.4788544294405623E-2</v>
      </c>
      <c r="X115" s="276">
        <f t="shared" si="470"/>
        <v>16950.728548204155</v>
      </c>
      <c r="Y115" s="166">
        <f t="shared" si="482"/>
        <v>7.6861269245927621E-2</v>
      </c>
      <c r="Z115" s="227"/>
      <c r="AA115" s="168">
        <v>45931</v>
      </c>
      <c r="AB115" s="277">
        <f>AVERAGE('[2]2021_Base RPA'!$J$1028:$J$1050)</f>
        <v>15079.782608695652</v>
      </c>
      <c r="AC115" s="324">
        <f>AB115/AB114-1</f>
        <v>-1.4741609616266693E-3</v>
      </c>
      <c r="AD115" s="278">
        <f t="shared" si="442"/>
        <v>81169.486897920593</v>
      </c>
      <c r="AE115" s="325">
        <f t="shared" si="477"/>
        <v>4.5149170028646601E-4</v>
      </c>
      <c r="AG115" s="168">
        <v>45931</v>
      </c>
      <c r="AH115" s="279">
        <f>AVERAGE('[2]2021_Base RPA'!$L$1028:$L$1050)</f>
        <v>1968.2391304347825</v>
      </c>
      <c r="AI115" s="282">
        <f t="shared" si="484"/>
        <v>7.0411960781240346E-3</v>
      </c>
      <c r="AJ115" s="280">
        <f t="shared" si="434"/>
        <v>10594.380864461247</v>
      </c>
      <c r="AK115" s="317">
        <f t="shared" si="478"/>
        <v>8.9832705684063097E-3</v>
      </c>
      <c r="AL115" s="255"/>
      <c r="AM115" s="168"/>
      <c r="AN115" s="343"/>
      <c r="AO115" s="235"/>
      <c r="AP115" s="280"/>
      <c r="AQ115" s="317"/>
      <c r="AR115" s="252"/>
      <c r="AS115" s="168">
        <v>45931</v>
      </c>
      <c r="AT115" s="200">
        <f>R115*AV115*(1+7.86%)/1000</f>
        <v>46.573800245919664</v>
      </c>
      <c r="AU115" s="321">
        <f t="shared" si="487"/>
        <v>7.4205441823584462E-2</v>
      </c>
      <c r="AV115" s="235">
        <v>0.75</v>
      </c>
      <c r="AW115" s="91"/>
      <c r="AX115" s="91"/>
      <c r="AY115" s="91"/>
      <c r="AZ115" s="237"/>
      <c r="BA115" s="238"/>
      <c r="BB115"/>
      <c r="BC115" s="168">
        <v>45931</v>
      </c>
      <c r="BD115" s="229">
        <f>AVERAGE('[2]2021_Base RPA'!$D$1028:$D$1050)</f>
        <v>6.2669565217391288</v>
      </c>
      <c r="BE115" s="282">
        <f>IFERROR(BD115/BD114-1,"")</f>
        <v>-4.9714713910476993E-3</v>
      </c>
      <c r="BG115" s="168"/>
      <c r="BH115" s="311"/>
      <c r="BI115" s="249"/>
      <c r="BK115" s="168"/>
      <c r="BL115" s="310"/>
      <c r="BM115" s="249"/>
      <c r="BO115" s="168"/>
      <c r="BP115" s="310"/>
      <c r="BQ115" s="249"/>
      <c r="BS115" s="168"/>
      <c r="BT115" s="282"/>
      <c r="BU115" s="282"/>
    </row>
    <row r="116" spans="1:73" x14ac:dyDescent="0.35">
      <c r="A116" s="168">
        <v>45962</v>
      </c>
      <c r="B116" s="164">
        <f t="shared" si="489"/>
        <v>41456.934554499996</v>
      </c>
      <c r="C116" s="178">
        <f>(B116/B115-1)</f>
        <v>3.212470734270445E-3</v>
      </c>
      <c r="D116" s="271"/>
      <c r="E116" s="272"/>
      <c r="F116" s="208">
        <f>C116*80%</f>
        <v>2.5699765874163563E-3</v>
      </c>
      <c r="G116" s="208">
        <f>C116*64%</f>
        <v>2.0559812699330847E-3</v>
      </c>
      <c r="I116" s="183"/>
      <c r="J116" s="168">
        <v>45962</v>
      </c>
      <c r="K116" s="261">
        <f>'2025'!I69</f>
        <v>5.3455399999999997</v>
      </c>
      <c r="L116" s="324">
        <f t="shared" si="479"/>
        <v>-6.8979833830634663E-3</v>
      </c>
      <c r="M116" s="183"/>
      <c r="N116" s="183"/>
      <c r="O116" s="168">
        <v>45962</v>
      </c>
      <c r="P116" s="274">
        <f>'2025'!J66</f>
        <v>10800.775</v>
      </c>
      <c r="Q116" s="324">
        <f t="shared" si="475"/>
        <v>9.7936656660237986E-3</v>
      </c>
      <c r="R116" s="218">
        <f t="shared" si="476"/>
        <v>57735.974793499998</v>
      </c>
      <c r="S116" s="166">
        <f t="shared" si="480"/>
        <v>2.8281257399367377E-3</v>
      </c>
      <c r="U116" s="168">
        <v>45962</v>
      </c>
      <c r="V116" s="275">
        <f>AVERAGE('[2]2021_Base RPA'!$H$1051:$H$1070)</f>
        <v>3187.4</v>
      </c>
      <c r="W116" s="248">
        <f t="shared" si="481"/>
        <v>1.2152423029131665E-2</v>
      </c>
      <c r="X116" s="276">
        <f t="shared" si="470"/>
        <v>17038.374196000001</v>
      </c>
      <c r="Y116" s="166">
        <f t="shared" si="482"/>
        <v>5.1706124339494508E-3</v>
      </c>
      <c r="Z116" s="227"/>
      <c r="AA116" s="168">
        <v>45962</v>
      </c>
      <c r="AB116" s="277">
        <f>AVERAGE('[2]2021_Base RPA'!$J$1051:$J$1070)</f>
        <v>14689.25</v>
      </c>
      <c r="AC116" s="324">
        <f>AB116/AB115-1</f>
        <v>-2.5897761183271584E-2</v>
      </c>
      <c r="AD116" s="278">
        <f t="shared" si="442"/>
        <v>78521.973444999996</v>
      </c>
      <c r="AE116" s="325">
        <f t="shared" si="477"/>
        <v>-3.2617102240034224E-2</v>
      </c>
      <c r="AG116" s="168">
        <v>45962</v>
      </c>
      <c r="AH116" s="279">
        <f>AVERAGE('[2]2021_Base RPA'!$L$1051:$L$1070)</f>
        <v>2001.8</v>
      </c>
      <c r="AI116" s="282">
        <f t="shared" si="484"/>
        <v>1.7051215498293582E-2</v>
      </c>
      <c r="AJ116" s="280">
        <f t="shared" si="434"/>
        <v>10700.701971999999</v>
      </c>
      <c r="AK116" s="317">
        <f t="shared" si="478"/>
        <v>1.0035613114061759E-2</v>
      </c>
      <c r="AL116" s="255"/>
      <c r="AM116" s="168"/>
      <c r="AN116" s="343"/>
      <c r="AO116" s="235"/>
      <c r="AP116" s="280"/>
      <c r="AQ116" s="317"/>
      <c r="AR116" s="252"/>
      <c r="AS116" s="168">
        <v>45962</v>
      </c>
      <c r="AT116" s="200">
        <f>R116*AV116*(1+7.86%)/1000</f>
        <v>46.705516809201818</v>
      </c>
      <c r="AU116" s="321">
        <f t="shared" si="487"/>
        <v>2.8281257399367377E-3</v>
      </c>
      <c r="AV116" s="235">
        <v>0.75</v>
      </c>
      <c r="AW116" s="91"/>
      <c r="AX116" s="91"/>
      <c r="AY116" s="91"/>
      <c r="AZ116" s="237"/>
      <c r="BA116" s="238"/>
      <c r="BB116"/>
      <c r="BC116" s="168">
        <v>45962</v>
      </c>
      <c r="BD116" s="229">
        <f>AVERAGE('[2]2021_Base RPA'!$D$1051:$D$1070)</f>
        <v>6.1739499999999996</v>
      </c>
      <c r="BE116" s="282">
        <f t="shared" ref="BE116:BE118" si="490">IFERROR(BD116/BD115-1,"")</f>
        <v>-1.4840779797418935E-2</v>
      </c>
      <c r="BG116" s="168"/>
      <c r="BH116" s="311"/>
      <c r="BI116" s="249"/>
      <c r="BK116" s="168"/>
      <c r="BL116" s="310"/>
      <c r="BM116" s="249"/>
      <c r="BO116" s="168"/>
      <c r="BP116" s="310"/>
      <c r="BQ116" s="249"/>
      <c r="BS116" s="168"/>
      <c r="BT116" s="282"/>
      <c r="BU116" s="282"/>
    </row>
    <row r="117" spans="1:73" x14ac:dyDescent="0.35">
      <c r="A117" s="168">
        <v>45992</v>
      </c>
      <c r="B117" s="164">
        <f t="shared" si="489"/>
        <v>45448.443589393937</v>
      </c>
      <c r="C117" s="178">
        <f>(B117/B116-1)</f>
        <v>9.6280853318921444E-2</v>
      </c>
      <c r="D117" s="271"/>
      <c r="E117" s="272"/>
      <c r="F117" s="208">
        <f>C117*80%</f>
        <v>7.7024682655137164E-2</v>
      </c>
      <c r="G117" s="208">
        <f>C117*64%</f>
        <v>6.1619746124109726E-2</v>
      </c>
      <c r="I117" s="183"/>
      <c r="J117" s="168">
        <v>45992</v>
      </c>
      <c r="K117" s="261">
        <f>'2025'!K69</f>
        <v>5.4454272727272732</v>
      </c>
      <c r="L117" s="324">
        <f t="shared" si="479"/>
        <v>1.868609583452252E-2</v>
      </c>
      <c r="M117" s="183"/>
      <c r="N117" s="183"/>
      <c r="O117" s="168">
        <v>45992</v>
      </c>
      <c r="P117" s="274">
        <f>'2025'!L66</f>
        <v>11803.785714285714</v>
      </c>
      <c r="Q117" s="347">
        <f t="shared" si="475"/>
        <v>9.2864698531884393E-2</v>
      </c>
      <c r="R117" s="218">
        <f t="shared" si="476"/>
        <v>64276.656650000004</v>
      </c>
      <c r="S117" s="166">
        <f t="shared" si="480"/>
        <v>0.11328607302281779</v>
      </c>
      <c r="U117" s="168">
        <v>45992</v>
      </c>
      <c r="V117" s="275">
        <f>AVERAGE('[2]2021_Base RPA'!$H$1071:$H$1092)</f>
        <v>3159.7380952380954</v>
      </c>
      <c r="W117" s="248">
        <f t="shared" si="481"/>
        <v>-8.6785168983826155E-3</v>
      </c>
      <c r="X117" s="276">
        <f t="shared" si="470"/>
        <v>17206.123998484851</v>
      </c>
      <c r="Y117" s="166">
        <f>X117/X116-1</f>
        <v>9.8454113376751362E-3</v>
      </c>
      <c r="Z117" s="227"/>
      <c r="AA117" s="168">
        <v>45992</v>
      </c>
      <c r="AB117" s="277">
        <f>AVERAGE('[2]2021_Base RPA'!$J$1071:$J$1092)</f>
        <v>14878.809523809523</v>
      </c>
      <c r="AC117" s="347">
        <f>AB117/AB116-1</f>
        <v>1.2904642770020347E-2</v>
      </c>
      <c r="AD117" s="278">
        <f t="shared" si="442"/>
        <v>81021.475166666671</v>
      </c>
      <c r="AE117" s="325">
        <f t="shared" si="477"/>
        <v>3.183187599605386E-2</v>
      </c>
      <c r="AG117" s="168">
        <v>45992</v>
      </c>
      <c r="AH117" s="279">
        <f>AVERAGE('[2]2021_Base RPA'!$L$1071:$L$1092)</f>
        <v>1942.3095238095239</v>
      </c>
      <c r="AI117" s="282">
        <f t="shared" si="484"/>
        <v>-2.9718491452930373E-2</v>
      </c>
      <c r="AJ117" s="280">
        <f t="shared" si="434"/>
        <v>10576.705253030304</v>
      </c>
      <c r="AK117" s="317">
        <f t="shared" si="478"/>
        <v>-1.1587718197754726E-2</v>
      </c>
      <c r="AL117" s="255"/>
      <c r="AM117" s="168"/>
      <c r="AN117" s="343"/>
      <c r="AO117" s="235"/>
      <c r="AP117" s="280"/>
      <c r="AQ117" s="317"/>
      <c r="AR117" s="252"/>
      <c r="AS117" s="168">
        <v>45992</v>
      </c>
      <c r="AT117" s="200">
        <f>R117*AV117*(1+7.86%)/1000</f>
        <v>51.9966013970175</v>
      </c>
      <c r="AU117" s="321">
        <f t="shared" si="487"/>
        <v>0.11328607302281779</v>
      </c>
      <c r="AV117" s="235">
        <v>0.75</v>
      </c>
      <c r="AW117" s="91"/>
      <c r="AX117" s="91"/>
      <c r="AY117" s="91"/>
      <c r="AZ117" s="237"/>
      <c r="BA117" s="238"/>
      <c r="BB117"/>
      <c r="BC117" s="168">
        <v>45992</v>
      </c>
      <c r="BD117" s="229">
        <f>AVERAGE('[2]2021_Base RPA'!$D$1071:$D$1092)</f>
        <v>6.3870499999999986</v>
      </c>
      <c r="BE117" s="282">
        <f t="shared" si="490"/>
        <v>3.4515990573295685E-2</v>
      </c>
      <c r="BG117" s="168"/>
      <c r="BH117" s="311"/>
      <c r="BI117" s="249"/>
      <c r="BK117" s="168"/>
      <c r="BL117" s="310"/>
      <c r="BM117" s="249"/>
      <c r="BO117" s="168"/>
      <c r="BP117" s="310"/>
      <c r="BQ117" s="249"/>
      <c r="BS117" s="168"/>
      <c r="BT117" s="282"/>
      <c r="BU117" s="282"/>
    </row>
    <row r="118" spans="1:73" ht="17" customHeight="1" x14ac:dyDescent="0.35">
      <c r="A118" s="168">
        <v>46023</v>
      </c>
      <c r="B118" s="164">
        <f t="shared" si="489"/>
        <v>49243.919041527777</v>
      </c>
      <c r="C118" s="178">
        <f>(B118/B117-1)</f>
        <v>8.351167063990661E-2</v>
      </c>
      <c r="D118" s="271"/>
      <c r="E118" s="272"/>
      <c r="F118" s="208">
        <f>C118*80%</f>
        <v>6.6809336511925291E-2</v>
      </c>
      <c r="G118" s="208">
        <f>C118*64%</f>
        <v>5.344746920954023E-2</v>
      </c>
      <c r="I118" s="183"/>
      <c r="J118" s="168">
        <v>46023</v>
      </c>
      <c r="K118" s="261">
        <f>'2026'!A30</f>
        <v>5.3996166666666667</v>
      </c>
      <c r="L118" s="324">
        <f t="shared" si="479"/>
        <v>-8.4126742983131608E-3</v>
      </c>
      <c r="M118" s="183"/>
      <c r="N118" s="183"/>
      <c r="O118" s="168">
        <v>46023</v>
      </c>
      <c r="P118" s="274">
        <f>'2026'!B28</f>
        <v>13081.208333333334</v>
      </c>
      <c r="Q118" s="347">
        <f t="shared" si="475"/>
        <v>0.10822143420492636</v>
      </c>
      <c r="R118" s="218">
        <f t="shared" si="476"/>
        <v>70633.510536805567</v>
      </c>
      <c r="S118" s="166">
        <f t="shared" si="480"/>
        <v>9.8898328228550714E-2</v>
      </c>
      <c r="U118" s="168">
        <v>46023</v>
      </c>
      <c r="V118" s="275">
        <f>AVERAGE('[2]2021_Base RPA'!$H$1093:$H$1113)</f>
        <v>3177.9166666666665</v>
      </c>
      <c r="W118" s="248">
        <f t="shared" si="481"/>
        <v>5.7531893089390884E-3</v>
      </c>
      <c r="X118" s="276">
        <f t="shared" si="470"/>
        <v>17159.531798611111</v>
      </c>
      <c r="Y118" s="166">
        <f>X118/X117-1</f>
        <v>-2.7078846972067305E-3</v>
      </c>
      <c r="Z118" s="227"/>
      <c r="AA118" s="168">
        <v>46023</v>
      </c>
      <c r="AB118" s="277">
        <f>AVERAGE('[2]2021_Base RPA'!$J$1093:$J$1113)</f>
        <v>17622.083333333332</v>
      </c>
      <c r="AC118" s="347">
        <f>AB118/AB117-1</f>
        <v>0.18437454993519076</v>
      </c>
      <c r="AD118" s="278">
        <f t="shared" si="442"/>
        <v>95152.494868055554</v>
      </c>
      <c r="AE118" s="325">
        <f t="shared" si="477"/>
        <v>0.17441079259937453</v>
      </c>
      <c r="AG118" s="168">
        <v>46023</v>
      </c>
      <c r="AH118" s="279">
        <f>AVERAGE('[2]2021_Base RPA'!$L$1093:$L$1113)</f>
        <v>2007.625</v>
      </c>
      <c r="AI118" s="282">
        <f t="shared" si="484"/>
        <v>3.3627738210525004E-2</v>
      </c>
      <c r="AJ118" s="280">
        <f t="shared" si="434"/>
        <v>10840.405410416666</v>
      </c>
      <c r="AK118" s="317">
        <f t="shared" si="478"/>
        <v>2.4932164703257653E-2</v>
      </c>
      <c r="AL118" s="255"/>
      <c r="AM118" s="168"/>
      <c r="AN118" s="343"/>
      <c r="AO118" s="235"/>
      <c r="AP118" s="280"/>
      <c r="AQ118" s="317"/>
      <c r="AR118" s="252"/>
      <c r="AS118" s="168">
        <v>46023</v>
      </c>
      <c r="AT118" s="200">
        <f>R118*AV118*(1+7.86%)/1000</f>
        <v>57.138978348748864</v>
      </c>
      <c r="AU118" s="321">
        <f t="shared" si="487"/>
        <v>9.8898328228550936E-2</v>
      </c>
      <c r="AV118" s="235">
        <v>0.75</v>
      </c>
      <c r="AW118" s="91"/>
      <c r="AX118" s="91"/>
      <c r="AY118" s="91"/>
      <c r="AZ118" s="237"/>
      <c r="BA118" s="238"/>
      <c r="BB118"/>
      <c r="BC118" s="168">
        <v>46023</v>
      </c>
      <c r="BD118" s="229">
        <f>AVERAGE('[2]2021_Base RPA'!$D$1093:$D$1113)</f>
        <v>6.2831166666666656</v>
      </c>
      <c r="BE118" s="282">
        <f t="shared" si="490"/>
        <v>-1.62725097397598E-2</v>
      </c>
      <c r="BG118" s="168"/>
      <c r="BH118" s="311"/>
      <c r="BI118" s="249"/>
      <c r="BK118" s="168"/>
      <c r="BL118" s="310"/>
      <c r="BM118" s="249"/>
      <c r="BO118" s="168"/>
      <c r="BP118" s="310"/>
      <c r="BQ118" s="249"/>
      <c r="BS118" s="168"/>
      <c r="BT118" s="282"/>
      <c r="BU118" s="282"/>
    </row>
    <row r="119" spans="1:73" ht="13.5" customHeight="1" x14ac:dyDescent="0.35">
      <c r="A119" s="243" t="s">
        <v>348</v>
      </c>
      <c r="B119" s="257">
        <f>AVERAGE(B106:B117)</f>
        <v>39684.858807750497</v>
      </c>
      <c r="C119" s="162">
        <f>SUM(C106:C117)</f>
        <v>0.13774634438194777</v>
      </c>
      <c r="D119" s="417"/>
      <c r="E119" s="418"/>
      <c r="F119" s="162">
        <f>SUM(F106:F117)</f>
        <v>0.11019707550555823</v>
      </c>
      <c r="G119" s="313">
        <f>SUM(G106:G117)</f>
        <v>8.8157660404446572E-2</v>
      </c>
      <c r="H119" s="91"/>
      <c r="I119" s="91"/>
      <c r="J119" s="243" t="s">
        <v>348</v>
      </c>
      <c r="K119" s="283">
        <f>AVERAGE(K106:K117)</f>
        <v>5.591662582857011</v>
      </c>
      <c r="L119" s="313">
        <f>SUM(L106:L117)</f>
        <v>-0.11001677316248271</v>
      </c>
      <c r="M119" s="207"/>
      <c r="N119" s="91"/>
      <c r="O119" s="243" t="s">
        <v>348</v>
      </c>
      <c r="P119" s="265">
        <f>AVERAGE(P106:P117)</f>
        <v>9939.8341320816853</v>
      </c>
      <c r="Q119" s="162">
        <f>SUM(Q106:Q117)</f>
        <v>0.29193424732540885</v>
      </c>
      <c r="R119" s="309">
        <f>AVERAGE(R106:R117)</f>
        <v>55468.177979940643</v>
      </c>
      <c r="S119" s="162">
        <f>SUM(S106:S117)</f>
        <v>0.17979622267092688</v>
      </c>
      <c r="T119" s="91"/>
      <c r="U119" s="243" t="s">
        <v>348</v>
      </c>
      <c r="V119" s="265">
        <f>AVERAGE(V106:V117)</f>
        <v>2867.0409102672688</v>
      </c>
      <c r="W119" s="162">
        <f>SUM(W106:W117)</f>
        <v>5.0241956311644187E-2</v>
      </c>
      <c r="X119" s="266">
        <f>AVERAGE(X106:X117)</f>
        <v>16009.880049465282</v>
      </c>
      <c r="Y119" s="162">
        <f>SUM(Y106:Y117)</f>
        <v>-6.0935487169051394E-2</v>
      </c>
      <c r="Z119" s="227"/>
      <c r="AA119" s="243" t="s">
        <v>348</v>
      </c>
      <c r="AB119" s="265">
        <f>AVERAGE(AB106:AB116)</f>
        <v>15184.980438204744</v>
      </c>
      <c r="AC119" s="162">
        <f>SUM(AC106:AC117)</f>
        <v>-3.5448848151267698E-2</v>
      </c>
      <c r="AD119" s="267">
        <f>AVERAGE(AD106:AD117)</f>
        <v>84809.974139571554</v>
      </c>
      <c r="AE119" s="162">
        <f>SUM(AE106:AE117)</f>
        <v>-0.14503743947846781</v>
      </c>
      <c r="AF119" s="91"/>
      <c r="AG119" s="243" t="s">
        <v>348</v>
      </c>
      <c r="AH119" s="265">
        <f>AVERAGE(AH106:AH117)</f>
        <v>1963.1613529024719</v>
      </c>
      <c r="AI119" s="162">
        <f>SUM(AI106:AI117)</f>
        <v>-2.13655317680852E-2</v>
      </c>
      <c r="AJ119" s="264">
        <f>AVERAGE(AJ106:AJ117)</f>
        <v>10975.224885970014</v>
      </c>
      <c r="AK119" s="162">
        <f>SUM(AK106:AK117)</f>
        <v>-0.13356474430006693</v>
      </c>
      <c r="AL119" s="91"/>
      <c r="AM119" s="243" t="s">
        <v>348</v>
      </c>
      <c r="AN119" s="265">
        <f>AVERAGE(AN106:AN110)</f>
        <v>957.03439393939402</v>
      </c>
      <c r="AO119" s="162">
        <f>SUM(AO106:AO110)</f>
        <v>5.2805018565821316E-3</v>
      </c>
      <c r="AP119" s="264">
        <f>AVERAGE(AP106:AP110)</f>
        <v>5553.843170817353</v>
      </c>
      <c r="AQ119" s="162">
        <f>SUM(AQ106:AQ110)</f>
        <v>-6.7013411414989621E-2</v>
      </c>
      <c r="AR119" s="91"/>
      <c r="AS119" s="243" t="s">
        <v>348</v>
      </c>
      <c r="AT119" s="251">
        <f>AVERAGE(AT106:AT117)</f>
        <v>45.050254389762024</v>
      </c>
      <c r="AU119" s="313">
        <f>SUM(AU106:AU117)</f>
        <v>0.18497220044310703</v>
      </c>
      <c r="AV119" s="344">
        <f>AVERAGE(AV106:AV117)</f>
        <v>0.75</v>
      </c>
      <c r="AW119" s="91"/>
      <c r="AX119" s="91"/>
      <c r="AY119" s="91"/>
      <c r="BB119"/>
      <c r="BC119" s="243" t="s">
        <v>348</v>
      </c>
      <c r="BD119" s="283">
        <f>AVERAGE(BD106:BD117)</f>
        <v>6.3051293082219724</v>
      </c>
      <c r="BE119" s="313">
        <f>SUM(BE106:BE117)</f>
        <v>5.1680273787472197E-3</v>
      </c>
      <c r="BG119" s="243" t="s">
        <v>323</v>
      </c>
      <c r="BH119" s="312">
        <f>AVERAGE(BH82:BH83)</f>
        <v>6.8125</v>
      </c>
      <c r="BI119" s="162">
        <f>SUM(BI82:BI83)</f>
        <v>-2.1796419744742335E-2</v>
      </c>
      <c r="BK119" s="243" t="s">
        <v>323</v>
      </c>
      <c r="BL119" s="312">
        <f>AVERAGE(BL82:BL83)</f>
        <v>68155</v>
      </c>
      <c r="BM119" s="162">
        <f>SUM(BM82:BM83)</f>
        <v>3.8773276796537193E-2</v>
      </c>
      <c r="BO119" s="243" t="s">
        <v>323</v>
      </c>
      <c r="BP119" s="312">
        <f>AVERAGE(BP82:BP83)</f>
        <v>23680</v>
      </c>
      <c r="BQ119" s="162">
        <f>SUM(BQ82:BQ83)</f>
        <v>-4.7229013178581858E-2</v>
      </c>
      <c r="BS119" s="243" t="s">
        <v>323</v>
      </c>
      <c r="BT119" s="162">
        <f>SUM(BT70:BT73)</f>
        <v>0.19800000000000001</v>
      </c>
      <c r="BU119" s="162">
        <f>SUM(BU70:BU73)</f>
        <v>0.246</v>
      </c>
    </row>
    <row r="120" spans="1:73" ht="7.5" customHeight="1" x14ac:dyDescent="0.35">
      <c r="B120" s="211"/>
      <c r="H120" s="133"/>
      <c r="Q120" s="210"/>
      <c r="R120" s="244"/>
      <c r="S120" s="256"/>
      <c r="BK120" s="168"/>
      <c r="BL120" s="229"/>
      <c r="BM120" s="235"/>
    </row>
    <row r="121" spans="1:73" x14ac:dyDescent="0.35">
      <c r="B121" s="211"/>
      <c r="AA121" s="246"/>
      <c r="AB121" s="246"/>
      <c r="AC121" s="246"/>
      <c r="AD121" s="246"/>
      <c r="AE121" s="247"/>
      <c r="BK121" s="168"/>
      <c r="BL121" s="229"/>
      <c r="BM121" s="235"/>
    </row>
    <row r="122" spans="1:73" x14ac:dyDescent="0.35">
      <c r="B122" s="211"/>
      <c r="O122" t="s">
        <v>281</v>
      </c>
      <c r="AA122" s="246"/>
      <c r="AB122" s="246"/>
      <c r="AC122" s="246"/>
      <c r="AD122" s="304"/>
      <c r="AE122" s="247"/>
      <c r="AU122" s="104"/>
    </row>
    <row r="123" spans="1:73" x14ac:dyDescent="0.35">
      <c r="O123" t="s">
        <v>256</v>
      </c>
      <c r="P123" s="260"/>
      <c r="Q123" s="107">
        <v>0.56999999999999995</v>
      </c>
      <c r="R123" s="228">
        <f>($R$117*0.54/1000)/0.7986</f>
        <v>43.462803144252447</v>
      </c>
      <c r="S123" t="s">
        <v>321</v>
      </c>
      <c r="T123" t="s">
        <v>320</v>
      </c>
      <c r="V123" s="140"/>
      <c r="AD123" s="305"/>
    </row>
    <row r="124" spans="1:73" x14ac:dyDescent="0.35">
      <c r="O124" t="s">
        <v>257</v>
      </c>
      <c r="Q124" s="107">
        <v>0.6</v>
      </c>
      <c r="R124" s="228">
        <f>($R$117*Q124*1.08116/1000)</f>
        <v>41.696010062228403</v>
      </c>
      <c r="S124" s="263">
        <f>R124/0.7986</f>
        <v>52.211382497155526</v>
      </c>
      <c r="T124" s="173">
        <f>R124/0.88</f>
        <v>47.381829616168638</v>
      </c>
    </row>
    <row r="125" spans="1:73" x14ac:dyDescent="0.35">
      <c r="O125" t="s">
        <v>258</v>
      </c>
      <c r="Q125" s="107">
        <v>0.7</v>
      </c>
      <c r="R125" s="228">
        <f>($R$117*Q125*1.08116/1000)</f>
        <v>48.645345072599795</v>
      </c>
      <c r="S125" s="263">
        <f>R125/0.7986</f>
        <v>60.913279580014773</v>
      </c>
      <c r="T125" s="173">
        <f>R125/0.88</f>
        <v>55.278801218863407</v>
      </c>
    </row>
    <row r="126" spans="1:73" x14ac:dyDescent="0.35">
      <c r="O126" t="s">
        <v>111</v>
      </c>
      <c r="Q126" s="107">
        <v>0.85</v>
      </c>
      <c r="R126" s="228">
        <f>R117*Q126*1.08116/1000</f>
        <v>59.069347588156894</v>
      </c>
    </row>
    <row r="127" spans="1:73" x14ac:dyDescent="0.35">
      <c r="R127" s="133"/>
      <c r="S127" s="106"/>
    </row>
    <row r="129" spans="16:30" x14ac:dyDescent="0.35">
      <c r="P129" s="260"/>
      <c r="Q129" s="107"/>
      <c r="R129" s="228"/>
      <c r="AC129" s="306"/>
    </row>
    <row r="130" spans="16:30" x14ac:dyDescent="0.35">
      <c r="Q130" s="107"/>
      <c r="R130" s="228"/>
      <c r="S130" s="263"/>
    </row>
    <row r="131" spans="16:30" x14ac:dyDescent="0.35">
      <c r="Q131" s="107"/>
      <c r="R131" s="228"/>
      <c r="S131" s="263"/>
      <c r="AC131" s="307"/>
    </row>
    <row r="132" spans="16:30" x14ac:dyDescent="0.35">
      <c r="Q132" s="107"/>
      <c r="R132" s="228"/>
    </row>
    <row r="133" spans="16:30" x14ac:dyDescent="0.35">
      <c r="AD133" s="106"/>
    </row>
    <row r="135" spans="16:30" ht="32.25" customHeight="1" x14ac:dyDescent="0.35"/>
  </sheetData>
  <sheetProtection algorithmName="SHA-512" hashValue="e0JBwxOcV1YhWpyFiuLM6potzTUNd1OcObeX0Ks+iB1vXwRqtq6bS3L2CvUDF0M9N1E7/GLLHeTHxzse4TZEQg==" saltValue="Kthf3AaaFjT1WH9Ty9Q8AA==" spinCount="100000" sheet="1" autoFilter="0"/>
  <autoFilter ref="A2:BF120" xr:uid="{96B0BC24-9215-4EC6-A7CD-64F0FFF86501}">
    <filterColumn colId="3" showButton="0"/>
    <filterColumn colId="9">
      <filters>
        <dateGroupItem year="2025" dateTimeGrouping="year"/>
      </filters>
    </filterColumn>
    <filterColumn colId="26" showButton="0"/>
    <filterColumn colId="27" showButton="0"/>
    <filterColumn colId="29" showButton="0"/>
    <filterColumn colId="32" showButton="0"/>
    <filterColumn colId="33" showButton="0"/>
    <filterColumn colId="35" showButton="0"/>
    <filterColumn colId="38" showButton="0"/>
    <filterColumn colId="39" showButton="0"/>
    <filterColumn colId="41" showButton="0"/>
    <filterColumn colId="44" showButton="0"/>
    <filterColumn colId="45" showButton="0"/>
    <filterColumn colId="49" showButton="0"/>
    <filterColumn colId="50" showButton="0"/>
    <filterColumn colId="54" showButton="0"/>
    <filterColumn colId="55" showButton="0"/>
  </autoFilter>
  <mergeCells count="83">
    <mergeCell ref="BG2:BI2"/>
    <mergeCell ref="BK2:BM2"/>
    <mergeCell ref="BO2:BQ2"/>
    <mergeCell ref="BS2:BT2"/>
    <mergeCell ref="D61:E61"/>
    <mergeCell ref="D60:E60"/>
    <mergeCell ref="D58:E58"/>
    <mergeCell ref="D13:E13"/>
    <mergeCell ref="D14:E14"/>
    <mergeCell ref="D57:E57"/>
    <mergeCell ref="D56:E56"/>
    <mergeCell ref="D53:E53"/>
    <mergeCell ref="D52:E52"/>
    <mergeCell ref="D51:E51"/>
    <mergeCell ref="D10:E10"/>
    <mergeCell ref="D18:E18"/>
    <mergeCell ref="AS1:AU1"/>
    <mergeCell ref="AS2:AU2"/>
    <mergeCell ref="AM1:AQ1"/>
    <mergeCell ref="AM2:AO2"/>
    <mergeCell ref="AP2:AQ2"/>
    <mergeCell ref="AG1:AK1"/>
    <mergeCell ref="AG2:AI2"/>
    <mergeCell ref="AJ2:AK2"/>
    <mergeCell ref="D24:E24"/>
    <mergeCell ref="D17:E17"/>
    <mergeCell ref="U1:Y1"/>
    <mergeCell ref="O1:S1"/>
    <mergeCell ref="AA1:AE1"/>
    <mergeCell ref="AD2:AE2"/>
    <mergeCell ref="F1:G1"/>
    <mergeCell ref="J1:L1"/>
    <mergeCell ref="A1:E1"/>
    <mergeCell ref="D6:E6"/>
    <mergeCell ref="D7:E7"/>
    <mergeCell ref="D11:E11"/>
    <mergeCell ref="D3:E3"/>
    <mergeCell ref="BC2:BE2"/>
    <mergeCell ref="D4:E4"/>
    <mergeCell ref="AA2:AC2"/>
    <mergeCell ref="D33:E33"/>
    <mergeCell ref="D32:E32"/>
    <mergeCell ref="D31:E31"/>
    <mergeCell ref="D29:E29"/>
    <mergeCell ref="D28:E28"/>
    <mergeCell ref="D30:E30"/>
    <mergeCell ref="D16:E16"/>
    <mergeCell ref="D26:E26"/>
    <mergeCell ref="D23:E23"/>
    <mergeCell ref="D21:E21"/>
    <mergeCell ref="D8:E8"/>
    <mergeCell ref="D9:E9"/>
    <mergeCell ref="D27:E27"/>
    <mergeCell ref="AX2:AZ2"/>
    <mergeCell ref="D42:E42"/>
    <mergeCell ref="D39:E39"/>
    <mergeCell ref="D38:E38"/>
    <mergeCell ref="D36:E36"/>
    <mergeCell ref="D34:E34"/>
    <mergeCell ref="D25:E25"/>
    <mergeCell ref="D15:E15"/>
    <mergeCell ref="D12:E12"/>
    <mergeCell ref="D5:E5"/>
    <mergeCell ref="D22:E22"/>
    <mergeCell ref="D19:E19"/>
    <mergeCell ref="D2:E2"/>
    <mergeCell ref="D20:E20"/>
    <mergeCell ref="D35:E35"/>
    <mergeCell ref="D37:E37"/>
    <mergeCell ref="D41:E41"/>
    <mergeCell ref="D40:E40"/>
    <mergeCell ref="D46:E46"/>
    <mergeCell ref="D45:E45"/>
    <mergeCell ref="D119:E119"/>
    <mergeCell ref="D55:E55"/>
    <mergeCell ref="D54:E54"/>
    <mergeCell ref="D50:E50"/>
    <mergeCell ref="D49:E49"/>
    <mergeCell ref="D48:E48"/>
    <mergeCell ref="D59:E59"/>
    <mergeCell ref="D47:E47"/>
    <mergeCell ref="D44:E44"/>
    <mergeCell ref="D43:E43"/>
  </mergeCells>
  <phoneticPr fontId="27" type="noConversion"/>
  <pageMargins left="0.511811024" right="0.511811024" top="0.78740157499999996" bottom="0.78740157499999996" header="0.31496062000000002" footer="0.31496062000000002"/>
  <pageSetup paperSize="9" scale="2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129C-2690-44EE-8F8D-1852537F79D8}">
  <dimension ref="A1:L33"/>
  <sheetViews>
    <sheetView showGridLines="0" workbookViewId="0">
      <selection sqref="A1:XFD1048576"/>
    </sheetView>
  </sheetViews>
  <sheetFormatPr defaultRowHeight="14.5" x14ac:dyDescent="0.35"/>
  <cols>
    <col min="1" max="1" width="15.7265625" bestFit="1" customWidth="1"/>
    <col min="2" max="2" width="12.54296875" customWidth="1"/>
    <col min="3" max="3" width="11.81640625" customWidth="1"/>
    <col min="4" max="4" width="11" customWidth="1"/>
    <col min="6" max="6" width="13.54296875" customWidth="1"/>
    <col min="7" max="7" width="15.1796875" customWidth="1"/>
    <col min="8" max="8" width="15.54296875" customWidth="1"/>
  </cols>
  <sheetData>
    <row r="1" spans="1:12" ht="15" thickBot="1" x14ac:dyDescent="0.4">
      <c r="A1" s="301"/>
      <c r="B1" s="432" t="s">
        <v>349</v>
      </c>
      <c r="C1" s="432"/>
      <c r="D1" s="432"/>
      <c r="E1" s="286"/>
      <c r="F1" s="432" t="s">
        <v>350</v>
      </c>
      <c r="G1" s="432"/>
      <c r="H1" s="432"/>
    </row>
    <row r="2" spans="1:12" ht="26.5" thickBot="1" x14ac:dyDescent="0.4">
      <c r="A2" s="287" t="s">
        <v>287</v>
      </c>
      <c r="B2" s="288" t="s">
        <v>288</v>
      </c>
      <c r="C2" s="289" t="s">
        <v>289</v>
      </c>
      <c r="D2" s="290" t="s">
        <v>249</v>
      </c>
      <c r="E2" s="291"/>
      <c r="F2" s="288" t="s">
        <v>288</v>
      </c>
      <c r="G2" s="289" t="s">
        <v>289</v>
      </c>
      <c r="H2" s="288" t="s">
        <v>249</v>
      </c>
      <c r="J2" s="140" t="s">
        <v>295</v>
      </c>
    </row>
    <row r="3" spans="1:12" ht="15" thickBot="1" x14ac:dyDescent="0.4">
      <c r="A3" s="292" t="s">
        <v>111</v>
      </c>
      <c r="B3" s="293">
        <v>10696.02</v>
      </c>
      <c r="C3" s="298">
        <f>'Impacto liga LME'!K115</f>
        <v>5.382669565217391</v>
      </c>
      <c r="D3" s="294">
        <f>B3*C$3</f>
        <v>57573.141322956522</v>
      </c>
      <c r="E3" s="295"/>
      <c r="F3" s="293">
        <v>10800.78</v>
      </c>
      <c r="G3" s="298">
        <f>'Impacto liga LME'!K116</f>
        <v>5.3455399999999997</v>
      </c>
      <c r="H3" s="299">
        <f>F3*G$3</f>
        <v>57736.0015212</v>
      </c>
      <c r="J3" s="308">
        <f>H3/D3-1</f>
        <v>2.8287530348554135E-3</v>
      </c>
    </row>
    <row r="4" spans="1:12" ht="15" thickBot="1" x14ac:dyDescent="0.4">
      <c r="A4" s="297" t="s">
        <v>112</v>
      </c>
      <c r="B4" s="293">
        <v>3149.13</v>
      </c>
      <c r="C4" s="284"/>
      <c r="D4" s="294">
        <f t="shared" ref="D4:D5" si="0">B4*C$3</f>
        <v>16950.726207913041</v>
      </c>
      <c r="E4" s="295"/>
      <c r="F4" s="293">
        <v>3187.4</v>
      </c>
      <c r="G4" s="284"/>
      <c r="H4" s="296">
        <f t="shared" ref="H4:H5" si="1">F4*G$3</f>
        <v>17038.374196000001</v>
      </c>
      <c r="J4" s="308">
        <f>H4/D4-1</f>
        <v>5.1707512121836885E-3</v>
      </c>
    </row>
    <row r="5" spans="1:12" ht="15" thickBot="1" x14ac:dyDescent="0.4">
      <c r="A5" s="297" t="s">
        <v>290</v>
      </c>
      <c r="B5" s="293">
        <v>1968.24</v>
      </c>
      <c r="C5" s="284"/>
      <c r="D5" s="294">
        <f t="shared" si="0"/>
        <v>10594.385545043478</v>
      </c>
      <c r="E5" s="295"/>
      <c r="F5" s="293">
        <v>2001.8</v>
      </c>
      <c r="G5" s="284"/>
      <c r="H5" s="296">
        <f t="shared" si="1"/>
        <v>10700.701971999999</v>
      </c>
      <c r="J5" s="308">
        <f>H5/D5-1</f>
        <v>1.0035166881977364E-2</v>
      </c>
    </row>
    <row r="6" spans="1:12" x14ac:dyDescent="0.35">
      <c r="A6" s="167"/>
    </row>
    <row r="8" spans="1:12" ht="15" thickBot="1" x14ac:dyDescent="0.4">
      <c r="A8" s="300" t="s">
        <v>291</v>
      </c>
    </row>
    <row r="9" spans="1:12" ht="15" thickBot="1" x14ac:dyDescent="0.4">
      <c r="A9" s="292" t="s">
        <v>292</v>
      </c>
      <c r="B9" s="299">
        <f>B3*61%</f>
        <v>6524.5722000000005</v>
      </c>
      <c r="C9" s="298">
        <f>C3</f>
        <v>5.382669565217391</v>
      </c>
      <c r="D9" s="299">
        <f>B9*C$9</f>
        <v>35119.616207003477</v>
      </c>
      <c r="E9" s="295"/>
      <c r="F9" s="299">
        <f>F3*61%</f>
        <v>6588.4758000000002</v>
      </c>
      <c r="G9" s="298">
        <f>G3</f>
        <v>5.3455399999999997</v>
      </c>
      <c r="H9" s="299">
        <f>F9*G$9</f>
        <v>35218.960927931999</v>
      </c>
      <c r="J9" s="345">
        <f>H9/D9-1</f>
        <v>2.8287530348554135E-3</v>
      </c>
      <c r="K9" s="285" t="s">
        <v>306</v>
      </c>
    </row>
    <row r="10" spans="1:12" ht="15" thickBot="1" x14ac:dyDescent="0.4">
      <c r="A10" s="297" t="s">
        <v>293</v>
      </c>
      <c r="B10" s="293">
        <f>B4*36%</f>
        <v>1133.6867999999999</v>
      </c>
      <c r="C10" s="284"/>
      <c r="D10" s="294">
        <f>B10*C$9</f>
        <v>6102.261434848695</v>
      </c>
      <c r="E10" s="295"/>
      <c r="F10" s="293">
        <f>F4*36%</f>
        <v>1147.4639999999999</v>
      </c>
      <c r="G10" s="284"/>
      <c r="H10" s="296">
        <f>F10*G$9</f>
        <v>6133.8147105599992</v>
      </c>
      <c r="J10" s="345">
        <f>H10/D10-1</f>
        <v>5.1707512121834664E-3</v>
      </c>
    </row>
    <row r="11" spans="1:12" ht="15" thickBot="1" x14ac:dyDescent="0.4">
      <c r="A11" s="297" t="s">
        <v>294</v>
      </c>
      <c r="B11" s="293">
        <f>B5*3%</f>
        <v>59.047199999999997</v>
      </c>
      <c r="C11" s="284"/>
      <c r="D11" s="294">
        <f>B11*C$9</f>
        <v>317.83156635130433</v>
      </c>
      <c r="E11" s="295"/>
      <c r="F11" s="293">
        <f>F5*3%</f>
        <v>60.053999999999995</v>
      </c>
      <c r="G11" s="284"/>
      <c r="H11" s="296">
        <f>F11*G$9</f>
        <v>321.02105915999994</v>
      </c>
      <c r="J11" s="345">
        <f>H11/D11-1</f>
        <v>1.0035166881977364E-2</v>
      </c>
    </row>
    <row r="12" spans="1:12" x14ac:dyDescent="0.35">
      <c r="A12" s="300"/>
      <c r="B12" s="133">
        <f>SUM(B9:B11)</f>
        <v>7717.3062</v>
      </c>
      <c r="C12" s="133"/>
      <c r="D12" s="133">
        <f>SUM(D9:D11)</f>
        <v>41539.70920820348</v>
      </c>
      <c r="F12" s="133">
        <f>SUM(F9:F11)</f>
        <v>7795.9938000000002</v>
      </c>
      <c r="G12" s="133"/>
      <c r="H12" s="133">
        <f>SUM(H9:H11)</f>
        <v>41673.796697651997</v>
      </c>
      <c r="J12" s="102">
        <f>H12/D12-1</f>
        <v>3.2279351975346149E-3</v>
      </c>
      <c r="K12" s="302">
        <f>J12*94%</f>
        <v>3.034259085682538E-3</v>
      </c>
      <c r="L12" t="s">
        <v>307</v>
      </c>
    </row>
    <row r="13" spans="1:12" x14ac:dyDescent="0.35">
      <c r="A13" s="300"/>
      <c r="B13" s="228"/>
      <c r="D13" s="228"/>
      <c r="F13" s="228"/>
      <c r="H13" s="228"/>
    </row>
    <row r="14" spans="1:12" x14ac:dyDescent="0.35">
      <c r="B14" s="228"/>
      <c r="D14" s="228"/>
      <c r="F14" s="228"/>
      <c r="H14" s="228"/>
    </row>
    <row r="15" spans="1:12" ht="15" thickBot="1" x14ac:dyDescent="0.4">
      <c r="A15" s="300" t="s">
        <v>296</v>
      </c>
    </row>
    <row r="16" spans="1:12" ht="15" thickBot="1" x14ac:dyDescent="0.4">
      <c r="A16" s="292" t="s">
        <v>297</v>
      </c>
      <c r="B16" s="299">
        <f>B$3*59%</f>
        <v>6310.6517999999996</v>
      </c>
      <c r="C16" s="298">
        <f>C$3</f>
        <v>5.382669565217391</v>
      </c>
      <c r="D16" s="299">
        <f>B16*C$9</f>
        <v>33968.153380544347</v>
      </c>
      <c r="E16" s="295"/>
      <c r="F16" s="299">
        <f>F3*59%</f>
        <v>6372.4602000000004</v>
      </c>
      <c r="G16" s="298">
        <f>G$3</f>
        <v>5.3455399999999997</v>
      </c>
      <c r="H16" s="299">
        <f>F16*G$9</f>
        <v>34064.240897508003</v>
      </c>
      <c r="J16" s="345">
        <f>H16/D16-1</f>
        <v>2.8287530348556356E-3</v>
      </c>
      <c r="K16" s="285" t="s">
        <v>306</v>
      </c>
    </row>
    <row r="17" spans="1:12" ht="15" thickBot="1" x14ac:dyDescent="0.4">
      <c r="A17" s="297" t="s">
        <v>298</v>
      </c>
      <c r="B17" s="293">
        <f>B$4*39%</f>
        <v>1228.1607000000001</v>
      </c>
      <c r="C17" s="284"/>
      <c r="D17" s="294">
        <f>B17*C$9</f>
        <v>6610.783221086087</v>
      </c>
      <c r="E17" s="295"/>
      <c r="F17" s="293">
        <f>F4*39%</f>
        <v>1243.086</v>
      </c>
      <c r="G17" s="284"/>
      <c r="H17" s="296">
        <f>F17*G$9</f>
        <v>6644.9659364399995</v>
      </c>
      <c r="J17" s="345">
        <f t="shared" ref="J17:J19" si="2">H17/D17-1</f>
        <v>5.1707512121834664E-3</v>
      </c>
    </row>
    <row r="18" spans="1:12" ht="15" thickBot="1" x14ac:dyDescent="0.4">
      <c r="A18" s="297" t="s">
        <v>299</v>
      </c>
      <c r="B18" s="293">
        <f>B$5*2%</f>
        <v>39.364800000000002</v>
      </c>
      <c r="C18" s="284"/>
      <c r="D18" s="294">
        <f>B18*C$9</f>
        <v>211.88771090086956</v>
      </c>
      <c r="E18" s="295"/>
      <c r="F18" s="293">
        <f>F5*2%</f>
        <v>40.036000000000001</v>
      </c>
      <c r="G18" s="284"/>
      <c r="H18" s="296">
        <f>F18*G$9</f>
        <v>214.01403944</v>
      </c>
      <c r="J18" s="345">
        <f t="shared" si="2"/>
        <v>1.0035166881977586E-2</v>
      </c>
    </row>
    <row r="19" spans="1:12" x14ac:dyDescent="0.35">
      <c r="A19" s="300"/>
      <c r="B19" s="133">
        <f>SUM(B16:B18)</f>
        <v>7578.1773000000003</v>
      </c>
      <c r="C19" s="133"/>
      <c r="D19" s="133">
        <f>SUM(D16:D18)</f>
        <v>40790.824312531302</v>
      </c>
      <c r="F19" s="133">
        <f>SUM(F16:F18)</f>
        <v>7655.5822000000007</v>
      </c>
      <c r="G19" s="133"/>
      <c r="H19" s="133">
        <f>SUM(H16:H18)</f>
        <v>40923.220873388003</v>
      </c>
      <c r="J19" s="102">
        <f t="shared" si="2"/>
        <v>3.2457436957464836E-3</v>
      </c>
      <c r="K19" s="302">
        <f>J19*94%</f>
        <v>3.0509990740016945E-3</v>
      </c>
      <c r="L19" t="s">
        <v>307</v>
      </c>
    </row>
    <row r="20" spans="1:12" x14ac:dyDescent="0.35">
      <c r="J20" s="346"/>
    </row>
    <row r="21" spans="1:12" x14ac:dyDescent="0.35">
      <c r="J21" s="346"/>
    </row>
    <row r="22" spans="1:12" ht="15" thickBot="1" x14ac:dyDescent="0.4">
      <c r="A22" s="300" t="s">
        <v>300</v>
      </c>
      <c r="J22" s="346"/>
    </row>
    <row r="23" spans="1:12" ht="15" thickBot="1" x14ac:dyDescent="0.4">
      <c r="A23" s="292" t="s">
        <v>301</v>
      </c>
      <c r="B23" s="299">
        <f>B$3*62%</f>
        <v>6631.5324000000001</v>
      </c>
      <c r="C23" s="298">
        <f>C$3</f>
        <v>5.382669565217391</v>
      </c>
      <c r="D23" s="299">
        <f>B23*C$9</f>
        <v>35695.347620233042</v>
      </c>
      <c r="E23" s="295"/>
      <c r="F23" s="299">
        <f>F$3*62%</f>
        <v>6696.4836000000005</v>
      </c>
      <c r="G23" s="298">
        <f>G$3</f>
        <v>5.3455399999999997</v>
      </c>
      <c r="H23" s="299">
        <f>F23*G$9</f>
        <v>35796.320943143997</v>
      </c>
      <c r="J23" s="345">
        <f>H23/D23-1</f>
        <v>2.8287530348554135E-3</v>
      </c>
      <c r="K23" s="285" t="s">
        <v>306</v>
      </c>
    </row>
    <row r="24" spans="1:12" ht="15" thickBot="1" x14ac:dyDescent="0.4">
      <c r="A24" s="297" t="s">
        <v>293</v>
      </c>
      <c r="B24" s="293">
        <f>B$4*36%</f>
        <v>1133.6867999999999</v>
      </c>
      <c r="C24" s="284"/>
      <c r="D24" s="294">
        <f>B24*C$9</f>
        <v>6102.261434848695</v>
      </c>
      <c r="E24" s="295"/>
      <c r="F24" s="293">
        <f>F$4*36%</f>
        <v>1147.4639999999999</v>
      </c>
      <c r="G24" s="284"/>
      <c r="H24" s="296">
        <f>F24*G$9</f>
        <v>6133.8147105599992</v>
      </c>
      <c r="J24" s="345">
        <f t="shared" ref="J24:J26" si="3">H24/D24-1</f>
        <v>5.1707512121834664E-3</v>
      </c>
    </row>
    <row r="25" spans="1:12" ht="15" thickBot="1" x14ac:dyDescent="0.4">
      <c r="A25" s="297" t="s">
        <v>299</v>
      </c>
      <c r="B25" s="293">
        <f>B$5*2%</f>
        <v>39.364800000000002</v>
      </c>
      <c r="C25" s="284"/>
      <c r="D25" s="294">
        <f>B25*C$9</f>
        <v>211.88771090086956</v>
      </c>
      <c r="E25" s="295"/>
      <c r="F25" s="293">
        <f>F$5*2%</f>
        <v>40.036000000000001</v>
      </c>
      <c r="G25" s="284"/>
      <c r="H25" s="296">
        <f>F25*G$9</f>
        <v>214.01403944</v>
      </c>
      <c r="J25" s="345">
        <f t="shared" si="3"/>
        <v>1.0035166881977586E-2</v>
      </c>
    </row>
    <row r="26" spans="1:12" x14ac:dyDescent="0.35">
      <c r="A26" s="300"/>
      <c r="B26" s="133">
        <f>SUM(B23:B25)</f>
        <v>7804.5839999999998</v>
      </c>
      <c r="C26" s="133"/>
      <c r="D26" s="133">
        <f>SUM(D23:D25)</f>
        <v>42009.496765982607</v>
      </c>
      <c r="F26" s="133">
        <f>SUM(F23:F25)</f>
        <v>7883.9836000000005</v>
      </c>
      <c r="G26" s="133"/>
      <c r="H26" s="133">
        <f>SUM(H23:H25)</f>
        <v>42144.149693143998</v>
      </c>
      <c r="J26" s="102">
        <f t="shared" si="3"/>
        <v>3.2052973143545938E-3</v>
      </c>
      <c r="K26" s="302">
        <f>J26*94%</f>
        <v>3.0129794754933182E-3</v>
      </c>
      <c r="L26" t="s">
        <v>307</v>
      </c>
    </row>
    <row r="27" spans="1:12" x14ac:dyDescent="0.35">
      <c r="J27" s="346"/>
    </row>
    <row r="28" spans="1:12" x14ac:dyDescent="0.35">
      <c r="J28" s="346"/>
    </row>
    <row r="29" spans="1:12" ht="15" thickBot="1" x14ac:dyDescent="0.4">
      <c r="A29" s="300" t="s">
        <v>302</v>
      </c>
      <c r="J29" s="346"/>
    </row>
    <row r="30" spans="1:12" ht="15" thickBot="1" x14ac:dyDescent="0.4">
      <c r="A30" s="292" t="s">
        <v>303</v>
      </c>
      <c r="B30" s="299">
        <f>B$3*63%</f>
        <v>6738.4926000000005</v>
      </c>
      <c r="C30" s="298">
        <f>C$3</f>
        <v>5.382669565217391</v>
      </c>
      <c r="D30" s="299">
        <f>B30*C$9</f>
        <v>36271.079033462607</v>
      </c>
      <c r="E30" s="295"/>
      <c r="F30" s="299">
        <f>F$3*63%</f>
        <v>6804.4914000000008</v>
      </c>
      <c r="G30" s="298">
        <f>G$3</f>
        <v>5.3455399999999997</v>
      </c>
      <c r="H30" s="299">
        <f>F30*G$9</f>
        <v>36373.680958356003</v>
      </c>
      <c r="J30" s="345">
        <f>H30/D30-1</f>
        <v>2.8287530348556356E-3</v>
      </c>
      <c r="K30" s="285" t="s">
        <v>306</v>
      </c>
    </row>
    <row r="31" spans="1:12" ht="15" thickBot="1" x14ac:dyDescent="0.4">
      <c r="A31" s="297" t="s">
        <v>304</v>
      </c>
      <c r="B31" s="293">
        <f>B$4*37%</f>
        <v>1165.1781000000001</v>
      </c>
      <c r="C31" s="284"/>
      <c r="D31" s="294">
        <f>B31*C$9</f>
        <v>6271.7686969278266</v>
      </c>
      <c r="E31" s="295"/>
      <c r="F31" s="293">
        <f>F$4*37%</f>
        <v>1179.338</v>
      </c>
      <c r="G31" s="284"/>
      <c r="H31" s="296">
        <f>F31*G$9</f>
        <v>6304.1984525199996</v>
      </c>
      <c r="J31" s="345">
        <f t="shared" ref="J31:J33" si="4">H31/D31-1</f>
        <v>5.1707512121832444E-3</v>
      </c>
    </row>
    <row r="32" spans="1:12" ht="15" thickBot="1" x14ac:dyDescent="0.4">
      <c r="A32" s="297" t="s">
        <v>305</v>
      </c>
      <c r="B32" s="293">
        <f>B$5*0%</f>
        <v>0</v>
      </c>
      <c r="C32" s="284"/>
      <c r="D32" s="294">
        <f>B32*C$9</f>
        <v>0</v>
      </c>
      <c r="E32" s="295"/>
      <c r="F32" s="293">
        <f>F$5*0%</f>
        <v>0</v>
      </c>
      <c r="G32" s="284"/>
      <c r="H32" s="296">
        <f>F32*G$9</f>
        <v>0</v>
      </c>
      <c r="J32" s="345" t="e">
        <f>H32/D32-1</f>
        <v>#DIV/0!</v>
      </c>
    </row>
    <row r="33" spans="1:12" x14ac:dyDescent="0.35">
      <c r="A33" s="300"/>
      <c r="B33" s="133">
        <f>SUM(B30:B32)</f>
        <v>7903.6707000000006</v>
      </c>
      <c r="C33" s="133"/>
      <c r="D33" s="133">
        <f>SUM(D30:D32)</f>
        <v>42542.847730390436</v>
      </c>
      <c r="F33" s="133">
        <f>SUM(F30:F32)</f>
        <v>7983.8294000000005</v>
      </c>
      <c r="G33" s="133"/>
      <c r="H33" s="133">
        <f>SUM(H30:H32)</f>
        <v>42677.879410876005</v>
      </c>
      <c r="J33" s="102">
        <f t="shared" si="4"/>
        <v>3.1740160259443595E-3</v>
      </c>
      <c r="K33" s="302">
        <f>J33*75%</f>
        <v>2.3805120194582696E-3</v>
      </c>
      <c r="L33" t="s">
        <v>307</v>
      </c>
    </row>
  </sheetData>
  <mergeCells count="2">
    <mergeCell ref="B1:D1"/>
    <mergeCell ref="F1:H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49BB4-C6FE-4AFB-AF10-4BE1048A6C8D}">
  <dimension ref="C4:E52"/>
  <sheetViews>
    <sheetView showGridLines="0" topLeftCell="A3" workbookViewId="0">
      <selection activeCell="R14" sqref="R14"/>
    </sheetView>
  </sheetViews>
  <sheetFormatPr defaultRowHeight="14.5" x14ac:dyDescent="0.35"/>
  <cols>
    <col min="3" max="3" width="14.453125" customWidth="1"/>
    <col min="4" max="4" width="10.54296875" customWidth="1"/>
    <col min="5" max="5" width="12.54296875" customWidth="1"/>
  </cols>
  <sheetData>
    <row r="4" spans="3:5" x14ac:dyDescent="0.35">
      <c r="C4" s="427" t="s">
        <v>208</v>
      </c>
      <c r="D4" s="427"/>
      <c r="E4" s="427"/>
    </row>
    <row r="5" spans="3:5" x14ac:dyDescent="0.35">
      <c r="C5" s="220" t="s">
        <v>67</v>
      </c>
      <c r="D5" s="239" t="s">
        <v>251</v>
      </c>
      <c r="E5" s="240" t="s">
        <v>252</v>
      </c>
    </row>
    <row r="6" spans="3:5" x14ac:dyDescent="0.35">
      <c r="C6" s="168">
        <v>45017</v>
      </c>
      <c r="D6" s="274">
        <v>8795.71052631579</v>
      </c>
      <c r="E6" s="248"/>
    </row>
    <row r="7" spans="3:5" x14ac:dyDescent="0.35">
      <c r="C7" s="168">
        <v>45047</v>
      </c>
      <c r="D7" s="274">
        <v>8245.4210526315783</v>
      </c>
      <c r="E7" s="324">
        <v>-6.2563390647953576E-2</v>
      </c>
    </row>
    <row r="8" spans="3:5" x14ac:dyDescent="0.35">
      <c r="C8" s="168">
        <v>45078</v>
      </c>
      <c r="D8" s="274">
        <v>8385.363636363636</v>
      </c>
      <c r="E8" s="324">
        <v>1.6972157375443553E-2</v>
      </c>
    </row>
    <row r="9" spans="3:5" x14ac:dyDescent="0.35">
      <c r="C9" s="168">
        <v>45108</v>
      </c>
      <c r="D9" s="274">
        <v>8445.2380952380954</v>
      </c>
      <c r="E9" s="324">
        <v>7.1403532954503746E-3</v>
      </c>
    </row>
    <row r="10" spans="3:5" x14ac:dyDescent="0.35">
      <c r="C10" s="168">
        <v>45139</v>
      </c>
      <c r="D10" s="274">
        <v>8351.7727272727279</v>
      </c>
      <c r="E10" s="324">
        <v>-1.1067227106133171E-2</v>
      </c>
    </row>
    <row r="11" spans="3:5" x14ac:dyDescent="0.35">
      <c r="C11" s="168">
        <v>45170</v>
      </c>
      <c r="D11" s="274">
        <v>8272</v>
      </c>
      <c r="E11" s="324">
        <v>-9.5515922041592427E-3</v>
      </c>
    </row>
    <row r="12" spans="3:5" x14ac:dyDescent="0.35">
      <c r="C12" s="168">
        <v>45200</v>
      </c>
      <c r="D12" s="274">
        <v>7939.340909090909</v>
      </c>
      <c r="E12" s="324">
        <v>-4.0215073852646444E-2</v>
      </c>
    </row>
    <row r="13" spans="3:5" x14ac:dyDescent="0.35">
      <c r="C13" s="168">
        <v>45231</v>
      </c>
      <c r="D13" s="274">
        <v>8173.954545454545</v>
      </c>
      <c r="E13" s="324">
        <v>2.9550769900180685E-2</v>
      </c>
    </row>
    <row r="14" spans="3:5" x14ac:dyDescent="0.35">
      <c r="C14" s="168">
        <v>45261</v>
      </c>
      <c r="D14" s="274">
        <v>8394.105263157895</v>
      </c>
      <c r="E14" s="324">
        <v>2.6933195735199478E-2</v>
      </c>
    </row>
    <row r="15" spans="3:5" x14ac:dyDescent="0.35">
      <c r="C15" s="168">
        <v>45292</v>
      </c>
      <c r="D15" s="274">
        <v>8343.681818181818</v>
      </c>
      <c r="E15" s="324">
        <v>-6.007006511746682E-3</v>
      </c>
    </row>
    <row r="16" spans="3:5" x14ac:dyDescent="0.35">
      <c r="C16" s="168">
        <v>45323</v>
      </c>
      <c r="D16" s="274">
        <v>8310.74</v>
      </c>
      <c r="E16" s="324">
        <v>-3.9481153404045122E-3</v>
      </c>
    </row>
    <row r="17" spans="3:5" x14ac:dyDescent="0.35">
      <c r="C17" s="168">
        <v>45352</v>
      </c>
      <c r="D17" s="274">
        <v>8690.0952380952385</v>
      </c>
      <c r="E17" s="324">
        <v>4.564638505057772E-2</v>
      </c>
    </row>
    <row r="18" spans="3:5" x14ac:dyDescent="0.35">
      <c r="C18" s="168">
        <v>45383</v>
      </c>
      <c r="D18" s="274">
        <v>9480.8095238095229</v>
      </c>
      <c r="E18" s="324">
        <v>9.0990289985314332E-2</v>
      </c>
    </row>
    <row r="19" spans="3:5" x14ac:dyDescent="0.35">
      <c r="C19" s="168">
        <v>45413</v>
      </c>
      <c r="D19" s="274">
        <v>10023.26923076923</v>
      </c>
      <c r="E19" s="324">
        <v>5.721660218965563E-2</v>
      </c>
    </row>
    <row r="20" spans="3:5" x14ac:dyDescent="0.35">
      <c r="C20" s="243" t="s">
        <v>346</v>
      </c>
      <c r="D20" s="332"/>
      <c r="E20" s="162">
        <f>SUM(E6:E19)</f>
        <v>0.14109734786877814</v>
      </c>
    </row>
    <row r="22" spans="3:5" hidden="1" x14ac:dyDescent="0.35"/>
    <row r="23" spans="3:5" hidden="1" x14ac:dyDescent="0.35">
      <c r="C23" s="427" t="s">
        <v>343</v>
      </c>
      <c r="D23" s="427"/>
      <c r="E23" s="427"/>
    </row>
    <row r="24" spans="3:5" hidden="1" x14ac:dyDescent="0.35">
      <c r="C24" s="220" t="s">
        <v>67</v>
      </c>
      <c r="D24" s="239" t="s">
        <v>344</v>
      </c>
      <c r="E24" s="329" t="s">
        <v>345</v>
      </c>
    </row>
    <row r="25" spans="3:5" hidden="1" x14ac:dyDescent="0.35">
      <c r="C25" s="168">
        <v>45292</v>
      </c>
      <c r="D25" s="274">
        <v>3120</v>
      </c>
      <c r="E25" s="248">
        <v>-6.007006511746682E-3</v>
      </c>
    </row>
    <row r="26" spans="3:5" hidden="1" x14ac:dyDescent="0.35">
      <c r="C26" s="168">
        <v>45323</v>
      </c>
      <c r="D26" s="274">
        <v>2941</v>
      </c>
      <c r="E26" s="324">
        <v>-3.9481153404045122E-3</v>
      </c>
    </row>
    <row r="27" spans="3:5" hidden="1" x14ac:dyDescent="0.35">
      <c r="C27" s="168">
        <v>45352</v>
      </c>
      <c r="D27" s="274">
        <v>2864</v>
      </c>
      <c r="E27" s="324">
        <v>4.564638505057772E-2</v>
      </c>
    </row>
    <row r="28" spans="3:5" hidden="1" x14ac:dyDescent="0.35">
      <c r="C28" s="168">
        <v>45383</v>
      </c>
      <c r="D28" s="274">
        <v>3950</v>
      </c>
      <c r="E28" s="324">
        <v>9.0990289985314332E-2</v>
      </c>
    </row>
    <row r="29" spans="3:5" hidden="1" x14ac:dyDescent="0.35">
      <c r="C29" s="330">
        <v>45413</v>
      </c>
      <c r="D29" s="331">
        <v>7800</v>
      </c>
      <c r="E29" s="324">
        <f>D29/D28-1</f>
        <v>0.97468354430379756</v>
      </c>
    </row>
    <row r="30" spans="3:5" hidden="1" x14ac:dyDescent="0.35">
      <c r="C30" s="243" t="s">
        <v>342</v>
      </c>
      <c r="D30" s="265">
        <f>AVERAGE(D25:D29)</f>
        <v>4135</v>
      </c>
      <c r="E30" s="162">
        <f>SUM(E25:E29)</f>
        <v>1.1013650974875384</v>
      </c>
    </row>
    <row r="31" spans="3:5" hidden="1" x14ac:dyDescent="0.35"/>
    <row r="32" spans="3:5" hidden="1" x14ac:dyDescent="0.35"/>
    <row r="33" spans="3:5" hidden="1" x14ac:dyDescent="0.35"/>
    <row r="34" spans="3:5" hidden="1" x14ac:dyDescent="0.35"/>
    <row r="36" spans="3:5" x14ac:dyDescent="0.35">
      <c r="C36" s="427" t="s">
        <v>183</v>
      </c>
      <c r="D36" s="427"/>
      <c r="E36" s="427"/>
    </row>
    <row r="37" spans="3:5" x14ac:dyDescent="0.35">
      <c r="C37" s="220" t="s">
        <v>67</v>
      </c>
      <c r="D37" s="240" t="s">
        <v>253</v>
      </c>
      <c r="E37" s="240" t="s">
        <v>248</v>
      </c>
    </row>
    <row r="38" spans="3:5" x14ac:dyDescent="0.35">
      <c r="C38" s="168">
        <v>45017</v>
      </c>
      <c r="D38" s="261">
        <v>5.0202529411764703</v>
      </c>
      <c r="E38" s="248"/>
    </row>
    <row r="39" spans="3:5" x14ac:dyDescent="0.35">
      <c r="C39" s="168">
        <v>45047</v>
      </c>
      <c r="D39" s="261">
        <v>4.9764200000000001</v>
      </c>
      <c r="E39" s="248">
        <v>-8.7312216515923469E-3</v>
      </c>
    </row>
    <row r="40" spans="3:5" x14ac:dyDescent="0.35">
      <c r="C40" s="168">
        <v>45078</v>
      </c>
      <c r="D40" s="261">
        <v>4.8509666666666664</v>
      </c>
      <c r="E40" s="248">
        <v>-2.5209554927705824E-2</v>
      </c>
    </row>
    <row r="41" spans="3:5" x14ac:dyDescent="0.35">
      <c r="C41" s="168">
        <v>45108</v>
      </c>
      <c r="D41" s="261">
        <v>4.8031999999999986</v>
      </c>
      <c r="E41" s="248">
        <v>-9.8468346515130367E-3</v>
      </c>
    </row>
    <row r="42" spans="3:5" x14ac:dyDescent="0.35">
      <c r="C42" s="168">
        <v>45139</v>
      </c>
      <c r="D42" s="261">
        <v>4.9029434782608687</v>
      </c>
      <c r="E42" s="248">
        <v>2.0766047272832822E-2</v>
      </c>
    </row>
    <row r="43" spans="3:5" x14ac:dyDescent="0.35">
      <c r="C43" s="168">
        <v>45170</v>
      </c>
      <c r="D43" s="261">
        <v>4.9363899999999985</v>
      </c>
      <c r="E43" s="248">
        <v>6.8217228869613677E-3</v>
      </c>
    </row>
    <row r="44" spans="3:5" x14ac:dyDescent="0.35">
      <c r="C44" s="168">
        <v>45200</v>
      </c>
      <c r="D44" s="261">
        <v>5.0643599999999998</v>
      </c>
      <c r="E44" s="248">
        <v>2.5923802616892422E-2</v>
      </c>
    </row>
    <row r="45" spans="3:5" x14ac:dyDescent="0.35">
      <c r="C45" s="168">
        <v>45231</v>
      </c>
      <c r="D45" s="261">
        <v>4.8991681818181823</v>
      </c>
      <c r="E45" s="248">
        <v>-3.2618498325912348E-2</v>
      </c>
    </row>
    <row r="46" spans="3:5" x14ac:dyDescent="0.35">
      <c r="C46" s="168">
        <v>45261</v>
      </c>
      <c r="D46" s="261">
        <v>4.896642857142858</v>
      </c>
      <c r="E46" s="248">
        <v>-5.154598865775295E-4</v>
      </c>
    </row>
    <row r="47" spans="3:5" x14ac:dyDescent="0.35">
      <c r="C47" s="168">
        <v>45292</v>
      </c>
      <c r="D47" s="261">
        <v>4.9090454545454554</v>
      </c>
      <c r="E47" s="324">
        <v>2.5328776805735309E-3</v>
      </c>
    </row>
    <row r="48" spans="3:5" x14ac:dyDescent="0.35">
      <c r="C48" s="168">
        <v>45323</v>
      </c>
      <c r="D48" s="261">
        <v>4.9653684210526317</v>
      </c>
      <c r="E48" s="324">
        <v>1.147330311537953E-2</v>
      </c>
    </row>
    <row r="49" spans="3:5" x14ac:dyDescent="0.35">
      <c r="C49" s="168">
        <v>45352</v>
      </c>
      <c r="D49" s="261">
        <v>4.9834952380952373</v>
      </c>
      <c r="E49" s="324">
        <v>3.6506489560270694E-3</v>
      </c>
    </row>
    <row r="50" spans="3:5" x14ac:dyDescent="0.35">
      <c r="C50" s="168">
        <v>45383</v>
      </c>
      <c r="D50" s="261">
        <v>5.1284863636363633</v>
      </c>
      <c r="E50" s="324">
        <v>2.9094263887877947E-2</v>
      </c>
    </row>
    <row r="51" spans="3:5" x14ac:dyDescent="0.35">
      <c r="C51" s="168">
        <v>45413</v>
      </c>
      <c r="D51" s="261">
        <v>5.1177000000000001</v>
      </c>
      <c r="E51" s="324">
        <v>-2.1032255662887245E-3</v>
      </c>
    </row>
    <row r="52" spans="3:5" x14ac:dyDescent="0.35">
      <c r="C52" s="243" t="s">
        <v>346</v>
      </c>
      <c r="D52" s="332"/>
      <c r="E52" s="162">
        <f>SUM(E38:E51)</f>
        <v>2.1237871406954878E-2</v>
      </c>
    </row>
  </sheetData>
  <mergeCells count="3">
    <mergeCell ref="C4:E4"/>
    <mergeCell ref="C23:E23"/>
    <mergeCell ref="C36:E36"/>
  </mergeCell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3"/>
  <sheetViews>
    <sheetView topLeftCell="A19" workbookViewId="0">
      <selection activeCell="H29" activeCellId="1" sqref="A29:A43 H29:H43"/>
    </sheetView>
  </sheetViews>
  <sheetFormatPr defaultRowHeight="14.5" x14ac:dyDescent="0.35"/>
  <cols>
    <col min="6" max="7" width="10.1796875" bestFit="1" customWidth="1"/>
    <col min="8" max="8" width="7.26953125" bestFit="1" customWidth="1"/>
  </cols>
  <sheetData>
    <row r="1" spans="1:8" x14ac:dyDescent="0.35">
      <c r="A1" s="129">
        <v>42646</v>
      </c>
      <c r="B1" s="130">
        <v>4807</v>
      </c>
      <c r="C1" s="130">
        <v>2369.5</v>
      </c>
      <c r="D1" s="130">
        <v>1650</v>
      </c>
      <c r="E1" s="130">
        <v>2074</v>
      </c>
      <c r="F1" s="130">
        <v>20275</v>
      </c>
      <c r="G1" s="130">
        <v>10190</v>
      </c>
      <c r="H1" s="131">
        <v>3.2462</v>
      </c>
    </row>
    <row r="2" spans="1:8" x14ac:dyDescent="0.35">
      <c r="A2" s="129">
        <v>42647</v>
      </c>
      <c r="B2" s="130">
        <v>4790.5</v>
      </c>
      <c r="C2" s="130">
        <v>2404</v>
      </c>
      <c r="D2" s="130">
        <v>1670.5</v>
      </c>
      <c r="E2" s="130">
        <v>2099</v>
      </c>
      <c r="F2" s="130">
        <v>20200</v>
      </c>
      <c r="G2" s="130">
        <v>10155</v>
      </c>
      <c r="H2" s="131">
        <v>3.2338</v>
      </c>
    </row>
    <row r="3" spans="1:8" x14ac:dyDescent="0.35">
      <c r="A3" s="129">
        <v>42648</v>
      </c>
      <c r="B3" s="130">
        <v>4777.5</v>
      </c>
      <c r="C3" s="130">
        <v>2371</v>
      </c>
      <c r="D3" s="130">
        <v>1662.5</v>
      </c>
      <c r="E3" s="130">
        <v>2060</v>
      </c>
      <c r="F3" s="130">
        <v>19930</v>
      </c>
      <c r="G3" s="130">
        <v>9970</v>
      </c>
      <c r="H3" s="131">
        <v>3.2202999999999999</v>
      </c>
    </row>
    <row r="4" spans="1:8" x14ac:dyDescent="0.35">
      <c r="A4" s="129">
        <v>42649</v>
      </c>
      <c r="B4" s="130">
        <v>4742</v>
      </c>
      <c r="C4" s="130">
        <v>2327.5</v>
      </c>
      <c r="D4" s="130">
        <v>1667.5</v>
      </c>
      <c r="E4" s="130">
        <v>2045</v>
      </c>
      <c r="F4" s="130">
        <v>20200</v>
      </c>
      <c r="G4" s="130">
        <v>10120</v>
      </c>
      <c r="H4" s="131">
        <v>3.2359</v>
      </c>
    </row>
    <row r="5" spans="1:8" x14ac:dyDescent="0.35">
      <c r="A5" s="129">
        <v>42650</v>
      </c>
      <c r="B5" s="130">
        <v>4742</v>
      </c>
      <c r="C5" s="130">
        <v>2325.5</v>
      </c>
      <c r="D5" s="130">
        <v>1675</v>
      </c>
      <c r="E5" s="130">
        <v>2079</v>
      </c>
      <c r="F5" s="130">
        <v>20175</v>
      </c>
      <c r="G5" s="130">
        <v>10260</v>
      </c>
      <c r="H5" s="131">
        <v>3.2309999999999999</v>
      </c>
    </row>
    <row r="6" spans="1:8" x14ac:dyDescent="0.35">
      <c r="A6" s="129">
        <v>42653</v>
      </c>
      <c r="B6" s="130">
        <v>4786</v>
      </c>
      <c r="C6" s="130">
        <v>2323.5</v>
      </c>
      <c r="D6" s="130">
        <v>1678</v>
      </c>
      <c r="E6" s="130">
        <v>2095</v>
      </c>
      <c r="F6" s="130">
        <v>20120</v>
      </c>
      <c r="G6" s="130">
        <v>10305</v>
      </c>
      <c r="H6" s="131">
        <v>3.2134</v>
      </c>
    </row>
    <row r="7" spans="1:8" x14ac:dyDescent="0.35">
      <c r="A7" s="129">
        <v>42654</v>
      </c>
      <c r="B7" s="130">
        <v>4801.5</v>
      </c>
      <c r="C7" s="130">
        <v>2265.5</v>
      </c>
      <c r="D7" s="130">
        <v>1673</v>
      </c>
      <c r="E7" s="130">
        <v>2066</v>
      </c>
      <c r="F7" s="130">
        <v>20005</v>
      </c>
      <c r="G7" s="130">
        <v>10415</v>
      </c>
      <c r="H7" s="131">
        <v>3.2124999999999999</v>
      </c>
    </row>
    <row r="8" spans="1:8" x14ac:dyDescent="0.35">
      <c r="A8" s="129">
        <v>42655</v>
      </c>
      <c r="B8" s="130">
        <v>4805</v>
      </c>
      <c r="C8" s="130">
        <v>2260</v>
      </c>
      <c r="D8" s="130">
        <v>1684</v>
      </c>
      <c r="E8" s="130">
        <v>2041</v>
      </c>
      <c r="F8" s="130">
        <v>20000</v>
      </c>
      <c r="G8" s="130">
        <v>10575</v>
      </c>
      <c r="H8" s="132" t="s">
        <v>65</v>
      </c>
    </row>
    <row r="9" spans="1:8" x14ac:dyDescent="0.35">
      <c r="A9" s="129">
        <v>42656</v>
      </c>
      <c r="B9" s="130">
        <v>4754.5</v>
      </c>
      <c r="C9" s="130">
        <v>2230</v>
      </c>
      <c r="D9" s="130">
        <v>1681</v>
      </c>
      <c r="E9" s="130">
        <v>2013</v>
      </c>
      <c r="F9" s="130">
        <v>19700</v>
      </c>
      <c r="G9" s="130">
        <v>10415</v>
      </c>
      <c r="H9" s="131">
        <v>3.2136</v>
      </c>
    </row>
    <row r="10" spans="1:8" x14ac:dyDescent="0.35">
      <c r="A10" s="129">
        <v>42657</v>
      </c>
      <c r="B10" s="130">
        <v>4672.5</v>
      </c>
      <c r="C10" s="130">
        <v>2232.5</v>
      </c>
      <c r="D10" s="130">
        <v>1685</v>
      </c>
      <c r="E10" s="130">
        <v>1991.5</v>
      </c>
      <c r="F10" s="130">
        <v>19575</v>
      </c>
      <c r="G10" s="130">
        <v>10435</v>
      </c>
      <c r="H10" s="131">
        <v>3.2086999999999999</v>
      </c>
    </row>
    <row r="11" spans="1:8" x14ac:dyDescent="0.35">
      <c r="A11" s="129">
        <v>42660</v>
      </c>
      <c r="B11" s="130">
        <v>4671.5</v>
      </c>
      <c r="C11" s="130">
        <v>2260.5</v>
      </c>
      <c r="D11" s="130">
        <v>1645</v>
      </c>
      <c r="E11" s="130">
        <v>1986.5</v>
      </c>
      <c r="F11" s="130">
        <v>19510</v>
      </c>
      <c r="G11" s="130">
        <v>10400</v>
      </c>
      <c r="H11" s="131">
        <v>3.1863999999999999</v>
      </c>
    </row>
    <row r="12" spans="1:8" x14ac:dyDescent="0.35">
      <c r="A12" s="129">
        <v>42661</v>
      </c>
      <c r="B12" s="130">
        <v>4665.5</v>
      </c>
      <c r="C12" s="130">
        <v>2295.5</v>
      </c>
      <c r="D12" s="130">
        <v>1663.5</v>
      </c>
      <c r="E12" s="130">
        <v>1995</v>
      </c>
      <c r="F12" s="130">
        <v>19855</v>
      </c>
      <c r="G12" s="130">
        <v>10335</v>
      </c>
      <c r="H12" s="131">
        <v>3.1962999999999999</v>
      </c>
    </row>
    <row r="13" spans="1:8" x14ac:dyDescent="0.35">
      <c r="A13" s="129">
        <v>42662</v>
      </c>
      <c r="B13" s="130">
        <v>4642.5</v>
      </c>
      <c r="C13" s="130">
        <v>2270</v>
      </c>
      <c r="D13" s="130">
        <v>1622</v>
      </c>
      <c r="E13" s="130">
        <v>1965</v>
      </c>
      <c r="F13" s="130">
        <v>20000</v>
      </c>
      <c r="G13" s="130">
        <v>10280</v>
      </c>
      <c r="H13" s="131">
        <v>3.1873999999999998</v>
      </c>
    </row>
    <row r="14" spans="1:8" x14ac:dyDescent="0.35">
      <c r="A14" s="129">
        <v>42663</v>
      </c>
      <c r="B14" s="130">
        <v>4633.5</v>
      </c>
      <c r="C14" s="130">
        <v>2281</v>
      </c>
      <c r="D14" s="130">
        <v>1612.5</v>
      </c>
      <c r="E14" s="130">
        <v>2004.5</v>
      </c>
      <c r="F14" s="130">
        <v>20025</v>
      </c>
      <c r="G14" s="130">
        <v>10165</v>
      </c>
      <c r="H14" s="131">
        <v>3.18</v>
      </c>
    </row>
    <row r="15" spans="1:8" x14ac:dyDescent="0.35">
      <c r="A15" s="129">
        <v>42664</v>
      </c>
      <c r="B15" s="130">
        <v>4637</v>
      </c>
      <c r="C15" s="130">
        <v>2249</v>
      </c>
      <c r="D15" s="130">
        <v>1617</v>
      </c>
      <c r="E15" s="130">
        <v>2010</v>
      </c>
      <c r="F15" s="130">
        <v>20150</v>
      </c>
      <c r="G15" s="130">
        <v>9995</v>
      </c>
      <c r="H15" s="131">
        <v>3.1604999999999999</v>
      </c>
    </row>
    <row r="16" spans="1:8" x14ac:dyDescent="0.35">
      <c r="A16" s="129">
        <v>42667</v>
      </c>
      <c r="B16" s="130">
        <v>4620.5</v>
      </c>
      <c r="C16" s="130">
        <v>2291</v>
      </c>
      <c r="D16" s="130">
        <v>1626.5</v>
      </c>
      <c r="E16" s="130">
        <v>2010</v>
      </c>
      <c r="F16" s="130">
        <v>20245</v>
      </c>
      <c r="G16" s="130">
        <v>10020</v>
      </c>
      <c r="H16" s="131">
        <v>3.1593</v>
      </c>
    </row>
    <row r="17" spans="1:8" x14ac:dyDescent="0.35">
      <c r="A17" s="129">
        <v>42668</v>
      </c>
      <c r="B17" s="130">
        <v>4720</v>
      </c>
      <c r="C17" s="130">
        <v>2358</v>
      </c>
      <c r="D17" s="130">
        <v>1651</v>
      </c>
      <c r="E17" s="130">
        <v>2069</v>
      </c>
      <c r="F17" s="130">
        <v>20490</v>
      </c>
      <c r="G17" s="130">
        <v>10255</v>
      </c>
      <c r="H17" s="131">
        <v>3.1311</v>
      </c>
    </row>
    <row r="18" spans="1:8" x14ac:dyDescent="0.35">
      <c r="A18" s="129">
        <v>42669</v>
      </c>
      <c r="B18" s="130">
        <v>4717.5</v>
      </c>
      <c r="C18" s="130">
        <v>2339.5</v>
      </c>
      <c r="D18" s="130">
        <v>1673</v>
      </c>
      <c r="E18" s="130">
        <v>2058</v>
      </c>
      <c r="F18" s="130">
        <v>20700</v>
      </c>
      <c r="G18" s="130">
        <v>10150</v>
      </c>
      <c r="H18" s="131">
        <v>3.1193</v>
      </c>
    </row>
    <row r="19" spans="1:8" x14ac:dyDescent="0.35">
      <c r="A19" s="129">
        <v>42670</v>
      </c>
      <c r="B19" s="130">
        <v>4774</v>
      </c>
      <c r="C19" s="130">
        <v>2351</v>
      </c>
      <c r="D19" s="130">
        <v>1681.5</v>
      </c>
      <c r="E19" s="130">
        <v>2063.5</v>
      </c>
      <c r="F19" s="130">
        <v>20800</v>
      </c>
      <c r="G19" s="130">
        <v>10265</v>
      </c>
      <c r="H19" s="131">
        <v>3.1219000000000001</v>
      </c>
    </row>
    <row r="20" spans="1:8" x14ac:dyDescent="0.35">
      <c r="A20" s="129">
        <v>42671</v>
      </c>
      <c r="B20" s="130">
        <v>4787</v>
      </c>
      <c r="C20" s="130">
        <v>2374</v>
      </c>
      <c r="D20" s="130">
        <v>1701.5</v>
      </c>
      <c r="E20" s="130">
        <v>2048</v>
      </c>
      <c r="F20" s="130">
        <v>20875</v>
      </c>
      <c r="G20" s="130">
        <v>10340</v>
      </c>
      <c r="H20" s="131">
        <v>3.1429</v>
      </c>
    </row>
    <row r="21" spans="1:8" x14ac:dyDescent="0.35">
      <c r="A21" s="129">
        <v>42674</v>
      </c>
      <c r="B21" s="130">
        <v>4827.5</v>
      </c>
      <c r="C21" s="130">
        <v>2418.5</v>
      </c>
      <c r="D21" s="130">
        <v>1723</v>
      </c>
      <c r="E21" s="130">
        <v>2065.5</v>
      </c>
      <c r="F21" s="130">
        <v>21000</v>
      </c>
      <c r="G21" s="130">
        <v>10550</v>
      </c>
      <c r="H21" s="131">
        <v>3.1815000000000002</v>
      </c>
    </row>
    <row r="22" spans="1:8" x14ac:dyDescent="0.35">
      <c r="A22" s="129">
        <v>42675</v>
      </c>
      <c r="B22" s="130">
        <v>4862.5</v>
      </c>
      <c r="C22" s="130">
        <v>2444</v>
      </c>
      <c r="D22" s="130">
        <v>1732</v>
      </c>
      <c r="E22" s="130">
        <v>2052</v>
      </c>
      <c r="F22" s="130">
        <v>20990</v>
      </c>
      <c r="G22" s="130">
        <v>10445</v>
      </c>
      <c r="H22" s="131">
        <v>3.1810999999999998</v>
      </c>
    </row>
    <row r="23" spans="1:8" x14ac:dyDescent="0.35">
      <c r="A23" s="129">
        <v>42676</v>
      </c>
      <c r="B23" s="130">
        <v>4871</v>
      </c>
      <c r="C23" s="130">
        <v>2423</v>
      </c>
      <c r="D23" s="130">
        <v>1709</v>
      </c>
      <c r="E23" s="130">
        <v>2047.5</v>
      </c>
      <c r="F23" s="130">
        <v>20905</v>
      </c>
      <c r="G23" s="130">
        <v>10355</v>
      </c>
      <c r="H23" s="132" t="s">
        <v>65</v>
      </c>
    </row>
    <row r="24" spans="1:8" x14ac:dyDescent="0.35">
      <c r="A24" s="129">
        <v>42677</v>
      </c>
      <c r="B24" s="130">
        <v>4918</v>
      </c>
      <c r="C24" s="130">
        <v>2441</v>
      </c>
      <c r="D24" s="130">
        <v>1726</v>
      </c>
      <c r="E24" s="130">
        <v>2061</v>
      </c>
      <c r="F24" s="130">
        <v>21225</v>
      </c>
      <c r="G24" s="130">
        <v>10440</v>
      </c>
      <c r="H24" s="131">
        <v>3.2052999999999998</v>
      </c>
    </row>
    <row r="25" spans="1:8" x14ac:dyDescent="0.35">
      <c r="A25" s="129">
        <v>42678</v>
      </c>
      <c r="B25" s="130">
        <v>4943</v>
      </c>
      <c r="C25" s="130">
        <v>2441</v>
      </c>
      <c r="D25" s="130">
        <v>1718.5</v>
      </c>
      <c r="E25" s="130">
        <v>2070.5</v>
      </c>
      <c r="F25" s="130">
        <v>21405</v>
      </c>
      <c r="G25" s="130">
        <v>10385</v>
      </c>
      <c r="H25" s="131">
        <v>3.2309999999999999</v>
      </c>
    </row>
    <row r="29" spans="1:8" x14ac:dyDescent="0.35">
      <c r="A29" s="129">
        <v>42675</v>
      </c>
      <c r="B29" s="130">
        <v>4862.5</v>
      </c>
      <c r="C29" s="130">
        <v>2444</v>
      </c>
      <c r="D29" s="130">
        <v>1732</v>
      </c>
      <c r="E29" s="130">
        <v>2052</v>
      </c>
      <c r="F29" s="130">
        <v>20990</v>
      </c>
      <c r="G29" s="130">
        <v>10445</v>
      </c>
      <c r="H29" s="131">
        <v>3.1810999999999998</v>
      </c>
    </row>
    <row r="30" spans="1:8" x14ac:dyDescent="0.35">
      <c r="A30" s="129">
        <v>42676</v>
      </c>
      <c r="B30" s="130">
        <v>4871</v>
      </c>
      <c r="C30" s="130">
        <v>2423</v>
      </c>
      <c r="D30" s="130">
        <v>1709</v>
      </c>
      <c r="E30" s="130">
        <v>2047.5</v>
      </c>
      <c r="F30" s="130">
        <v>20905</v>
      </c>
      <c r="G30" s="130">
        <v>10355</v>
      </c>
      <c r="H30" s="132" t="s">
        <v>65</v>
      </c>
    </row>
    <row r="31" spans="1:8" x14ac:dyDescent="0.35">
      <c r="A31" s="129">
        <v>42677</v>
      </c>
      <c r="B31" s="130">
        <v>4918</v>
      </c>
      <c r="C31" s="130">
        <v>2441</v>
      </c>
      <c r="D31" s="130">
        <v>1726</v>
      </c>
      <c r="E31" s="130">
        <v>2061</v>
      </c>
      <c r="F31" s="130">
        <v>21225</v>
      </c>
      <c r="G31" s="130">
        <v>10440</v>
      </c>
      <c r="H31" s="131">
        <v>3.2052999999999998</v>
      </c>
    </row>
    <row r="32" spans="1:8" x14ac:dyDescent="0.35">
      <c r="A32" s="129">
        <v>42678</v>
      </c>
      <c r="B32" s="130">
        <v>4943</v>
      </c>
      <c r="C32" s="130">
        <v>2441</v>
      </c>
      <c r="D32" s="130">
        <v>1718.5</v>
      </c>
      <c r="E32" s="130">
        <v>2070.5</v>
      </c>
      <c r="F32" s="130">
        <v>21405</v>
      </c>
      <c r="G32" s="130">
        <v>10385</v>
      </c>
      <c r="H32" s="131">
        <v>3.2309999999999999</v>
      </c>
    </row>
    <row r="33" spans="1:8" x14ac:dyDescent="0.35">
      <c r="A33" s="129">
        <v>42681</v>
      </c>
      <c r="B33" s="130">
        <v>5032</v>
      </c>
      <c r="C33" s="130">
        <v>2454</v>
      </c>
      <c r="D33" s="130">
        <v>1716</v>
      </c>
      <c r="E33" s="130">
        <v>2093</v>
      </c>
      <c r="F33" s="130">
        <v>21655</v>
      </c>
      <c r="G33" s="130">
        <v>10930</v>
      </c>
      <c r="H33" s="131">
        <v>3.2448999999999999</v>
      </c>
    </row>
    <row r="34" spans="1:8" x14ac:dyDescent="0.35">
      <c r="A34" s="129">
        <v>42682</v>
      </c>
      <c r="B34" s="130">
        <v>5044</v>
      </c>
      <c r="C34" s="130">
        <v>2443.5</v>
      </c>
      <c r="D34" s="130">
        <v>1706</v>
      </c>
      <c r="E34" s="130">
        <v>2073</v>
      </c>
      <c r="F34" s="130">
        <v>21945</v>
      </c>
      <c r="G34" s="130">
        <v>11140</v>
      </c>
      <c r="H34" s="131">
        <v>3.2023999999999999</v>
      </c>
    </row>
    <row r="35" spans="1:8" x14ac:dyDescent="0.35">
      <c r="A35" s="129">
        <v>42683</v>
      </c>
      <c r="B35" s="130">
        <v>5335</v>
      </c>
      <c r="C35" s="130">
        <v>2452</v>
      </c>
      <c r="D35" s="130">
        <v>1737.5</v>
      </c>
      <c r="E35" s="130">
        <v>2127</v>
      </c>
      <c r="F35" s="130">
        <v>21700</v>
      </c>
      <c r="G35" s="130">
        <v>11450</v>
      </c>
      <c r="H35" s="131">
        <v>3.2023999999999999</v>
      </c>
    </row>
    <row r="36" spans="1:8" x14ac:dyDescent="0.35">
      <c r="A36" s="129">
        <v>42684</v>
      </c>
      <c r="B36" s="130">
        <v>5619</v>
      </c>
      <c r="C36" s="130">
        <v>2531.5</v>
      </c>
      <c r="D36" s="130">
        <v>1772.5</v>
      </c>
      <c r="E36" s="130">
        <v>2155</v>
      </c>
      <c r="F36" s="130">
        <v>21905</v>
      </c>
      <c r="G36" s="130">
        <v>11710</v>
      </c>
      <c r="H36" s="131">
        <v>3.2258</v>
      </c>
    </row>
    <row r="37" spans="1:8" x14ac:dyDescent="0.35">
      <c r="A37" s="129">
        <v>42685</v>
      </c>
      <c r="B37" s="130">
        <v>5900</v>
      </c>
      <c r="C37" s="130">
        <v>2528.5</v>
      </c>
      <c r="D37" s="130">
        <v>1777</v>
      </c>
      <c r="E37" s="130">
        <v>2151.5</v>
      </c>
      <c r="F37" s="130">
        <v>21750</v>
      </c>
      <c r="G37" s="130">
        <v>11735</v>
      </c>
      <c r="H37" s="131">
        <v>3.3104</v>
      </c>
    </row>
    <row r="38" spans="1:8" x14ac:dyDescent="0.35">
      <c r="A38" s="129">
        <v>42688</v>
      </c>
      <c r="B38" s="130">
        <v>5620</v>
      </c>
      <c r="C38" s="130">
        <v>2539</v>
      </c>
      <c r="D38" s="130">
        <v>1765</v>
      </c>
      <c r="E38" s="130">
        <v>2150.5</v>
      </c>
      <c r="F38" s="130">
        <v>21375</v>
      </c>
      <c r="G38" s="130">
        <v>11135</v>
      </c>
      <c r="H38" s="131">
        <v>3.4377</v>
      </c>
    </row>
    <row r="39" spans="1:8" x14ac:dyDescent="0.35">
      <c r="A39" s="129">
        <v>42689</v>
      </c>
      <c r="B39" s="130">
        <v>5448</v>
      </c>
      <c r="C39" s="130">
        <v>2552</v>
      </c>
      <c r="D39" s="130">
        <v>1727</v>
      </c>
      <c r="E39" s="130">
        <v>2154</v>
      </c>
      <c r="F39" s="130">
        <v>20500</v>
      </c>
      <c r="G39" s="130">
        <v>11155</v>
      </c>
      <c r="H39" s="132" t="s">
        <v>65</v>
      </c>
    </row>
    <row r="40" spans="1:8" x14ac:dyDescent="0.35">
      <c r="A40" s="129">
        <v>42690</v>
      </c>
      <c r="B40" s="130">
        <v>5459</v>
      </c>
      <c r="C40" s="130">
        <v>2556</v>
      </c>
      <c r="D40" s="130">
        <v>1719</v>
      </c>
      <c r="E40" s="130">
        <v>2186.5</v>
      </c>
      <c r="F40" s="130">
        <v>20305</v>
      </c>
      <c r="G40" s="130">
        <v>11205</v>
      </c>
      <c r="H40" s="131">
        <v>3.4445999999999999</v>
      </c>
    </row>
    <row r="41" spans="1:8" x14ac:dyDescent="0.35">
      <c r="A41" s="129">
        <v>42691</v>
      </c>
      <c r="B41" s="130">
        <v>5426</v>
      </c>
      <c r="C41" s="130">
        <v>2494</v>
      </c>
      <c r="D41" s="130">
        <v>1692.5</v>
      </c>
      <c r="E41" s="130">
        <v>2142</v>
      </c>
      <c r="F41" s="130">
        <v>20335</v>
      </c>
      <c r="G41" s="130">
        <v>11240</v>
      </c>
      <c r="H41" s="131">
        <v>3.4182999999999999</v>
      </c>
    </row>
    <row r="42" spans="1:8" x14ac:dyDescent="0.35">
      <c r="A42" s="129">
        <v>42692</v>
      </c>
      <c r="B42" s="130">
        <v>5446</v>
      </c>
      <c r="C42" s="130">
        <v>2535</v>
      </c>
      <c r="D42" s="130">
        <v>1712</v>
      </c>
      <c r="E42" s="130">
        <v>2158</v>
      </c>
      <c r="F42" s="130">
        <v>20405</v>
      </c>
      <c r="G42" s="130">
        <v>11080</v>
      </c>
      <c r="H42" s="131">
        <v>3.4051999999999998</v>
      </c>
    </row>
    <row r="43" spans="1:8" x14ac:dyDescent="0.35">
      <c r="A43" s="129">
        <v>42695</v>
      </c>
      <c r="B43" s="130">
        <v>5535.5</v>
      </c>
      <c r="C43" s="130">
        <v>2565</v>
      </c>
      <c r="D43" s="130">
        <v>1726</v>
      </c>
      <c r="E43" s="130">
        <v>2170</v>
      </c>
      <c r="F43" s="130">
        <v>21000</v>
      </c>
      <c r="G43" s="130">
        <v>11155</v>
      </c>
      <c r="H43" s="131">
        <v>3.3917000000000002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K17"/>
  <sheetViews>
    <sheetView showGridLines="0" workbookViewId="0">
      <selection activeCell="M14" sqref="M14"/>
    </sheetView>
  </sheetViews>
  <sheetFormatPr defaultRowHeight="14.5" x14ac:dyDescent="0.35"/>
  <cols>
    <col min="1" max="1" width="5.1796875" customWidth="1"/>
    <col min="2" max="2" width="31.1796875" bestFit="1" customWidth="1"/>
    <col min="3" max="3" width="16.7265625" style="140" bestFit="1" customWidth="1"/>
    <col min="4" max="4" width="14.7265625" style="140" hidden="1" customWidth="1"/>
    <col min="5" max="5" width="13.1796875" style="140" hidden="1" customWidth="1"/>
    <col min="6" max="6" width="18.1796875" style="140" bestFit="1" customWidth="1"/>
    <col min="7" max="7" width="20.54296875" style="140" bestFit="1" customWidth="1"/>
    <col min="8" max="8" width="24.26953125" style="140" customWidth="1"/>
    <col min="9" max="9" width="19.54296875" style="140" bestFit="1" customWidth="1"/>
    <col min="10" max="10" width="19.54296875" style="140" customWidth="1"/>
    <col min="11" max="11" width="18.1796875" style="140" customWidth="1"/>
  </cols>
  <sheetData>
    <row r="2" spans="2:11" x14ac:dyDescent="0.35">
      <c r="B2" s="435" t="s">
        <v>116</v>
      </c>
      <c r="C2" s="436"/>
      <c r="D2" s="436"/>
      <c r="E2" s="436"/>
      <c r="F2" s="436"/>
      <c r="G2" s="436"/>
      <c r="H2" s="436"/>
      <c r="I2" s="436"/>
      <c r="J2" s="436"/>
      <c r="K2" s="436"/>
    </row>
    <row r="3" spans="2:11" x14ac:dyDescent="0.35">
      <c r="B3" s="143"/>
      <c r="C3" s="155" t="s">
        <v>123</v>
      </c>
      <c r="D3" s="155"/>
      <c r="E3" s="155"/>
      <c r="F3" s="154" t="s">
        <v>124</v>
      </c>
      <c r="G3" s="433" t="s">
        <v>132</v>
      </c>
      <c r="H3" s="434"/>
      <c r="I3" s="437"/>
      <c r="J3" s="438"/>
      <c r="K3" s="439"/>
    </row>
    <row r="4" spans="2:11" ht="29" x14ac:dyDescent="0.35">
      <c r="B4" s="142" t="s">
        <v>110</v>
      </c>
      <c r="C4" s="142" t="s">
        <v>131</v>
      </c>
      <c r="D4" s="142" t="s">
        <v>55</v>
      </c>
      <c r="E4" s="142" t="s">
        <v>56</v>
      </c>
      <c r="F4" s="142" t="s">
        <v>57</v>
      </c>
      <c r="G4" s="144" t="s">
        <v>133</v>
      </c>
      <c r="H4" s="144" t="s">
        <v>134</v>
      </c>
      <c r="I4" s="144" t="s">
        <v>115</v>
      </c>
      <c r="J4" s="144" t="s">
        <v>128</v>
      </c>
      <c r="K4" s="144" t="s">
        <v>121</v>
      </c>
    </row>
    <row r="5" spans="2:11" x14ac:dyDescent="0.35">
      <c r="B5" s="136" t="s">
        <v>111</v>
      </c>
      <c r="C5" s="156">
        <f>'Impacto liga LME'!P5</f>
        <v>4757.965909090909</v>
      </c>
      <c r="D5" s="156">
        <f>'Impacto liga LME'!P6</f>
        <v>4705.625</v>
      </c>
      <c r="E5" s="156">
        <f>'Impacto liga LME'!P7</f>
        <v>4732.1428571428569</v>
      </c>
      <c r="F5" s="156">
        <f>'Impacto liga LME'!P8</f>
        <v>5443.25</v>
      </c>
      <c r="G5" s="156">
        <v>4830</v>
      </c>
      <c r="H5" s="156">
        <v>5790</v>
      </c>
      <c r="I5" s="137">
        <f>F5/C5-1</f>
        <v>0.14402879381706768</v>
      </c>
      <c r="J5" s="137">
        <f>H5/G5-1</f>
        <v>0.19875776397515521</v>
      </c>
      <c r="K5" s="152">
        <f>H5/C5-1</f>
        <v>0.21690657533657665</v>
      </c>
    </row>
    <row r="6" spans="2:11" x14ac:dyDescent="0.35">
      <c r="B6" s="136" t="s">
        <v>112</v>
      </c>
      <c r="C6" s="156">
        <f>'Impacto liga LME'!V5</f>
        <v>2282.4299999999998</v>
      </c>
      <c r="D6" s="156">
        <f>'Impacto liga LME'!V6</f>
        <v>2292.44</v>
      </c>
      <c r="E6" s="156">
        <f>'Impacto liga LME'!V7</f>
        <v>2314</v>
      </c>
      <c r="F6" s="156">
        <f>'Impacto liga LME'!V8</f>
        <v>2568.84</v>
      </c>
      <c r="G6" s="156">
        <v>2272</v>
      </c>
      <c r="H6" s="156">
        <v>2730</v>
      </c>
      <c r="I6" s="137">
        <f>F6/C6-1</f>
        <v>0.12548468080072572</v>
      </c>
      <c r="J6" s="137">
        <f t="shared" ref="J6:J8" si="0">H6/G6-1</f>
        <v>0.2015845070422535</v>
      </c>
      <c r="K6" s="152">
        <f>H6/C6-1</f>
        <v>0.19609363704472882</v>
      </c>
    </row>
    <row r="7" spans="2:11" x14ac:dyDescent="0.35">
      <c r="B7" s="136" t="s">
        <v>113</v>
      </c>
      <c r="C7" s="157">
        <f>'Impacto liga LME'!K5</f>
        <v>3.2096</v>
      </c>
      <c r="D7" s="157">
        <f>'Impacto liga LME'!K6</f>
        <v>3.2564000000000002</v>
      </c>
      <c r="E7" s="158">
        <f>'Impacto liga LME'!K7</f>
        <v>3.1903999999999999</v>
      </c>
      <c r="F7" s="158">
        <f>'Impacto liga LME'!K8</f>
        <v>3.3472</v>
      </c>
      <c r="G7" s="158">
        <v>3.3</v>
      </c>
      <c r="H7" s="158">
        <v>3.5</v>
      </c>
      <c r="I7" s="137">
        <f>F7/C7-1</f>
        <v>4.287138584247252E-2</v>
      </c>
      <c r="J7" s="137">
        <f t="shared" si="0"/>
        <v>6.0606060606060552E-2</v>
      </c>
      <c r="K7" s="152">
        <f>H7/C7-1</f>
        <v>9.0478564307078679E-2</v>
      </c>
    </row>
    <row r="8" spans="2:11" x14ac:dyDescent="0.35">
      <c r="B8" s="138" t="s">
        <v>114</v>
      </c>
      <c r="C8" s="159">
        <f t="shared" ref="C8:H8" si="1">((C5*0.6)+(C6*0.4))*(C7)</f>
        <v>12092.97536029091</v>
      </c>
      <c r="D8" s="159">
        <f t="shared" si="1"/>
        <v>12180.078996400001</v>
      </c>
      <c r="E8" s="159">
        <f t="shared" si="1"/>
        <v>12011.491382857143</v>
      </c>
      <c r="F8" s="159">
        <f t="shared" si="1"/>
        <v>14371.156339199999</v>
      </c>
      <c r="G8" s="159">
        <f t="shared" si="1"/>
        <v>12562.44</v>
      </c>
      <c r="H8" s="159">
        <f t="shared" si="1"/>
        <v>15981</v>
      </c>
      <c r="I8" s="139">
        <f>F8/C8-1</f>
        <v>0.1883887886177158</v>
      </c>
      <c r="J8" s="139">
        <f t="shared" si="0"/>
        <v>0.27212547880825699</v>
      </c>
      <c r="K8" s="141">
        <f>H8/C8-1</f>
        <v>0.32151100319578929</v>
      </c>
    </row>
    <row r="9" spans="2:11" x14ac:dyDescent="0.35">
      <c r="B9" s="440"/>
      <c r="C9" s="440"/>
      <c r="D9" s="440"/>
      <c r="E9" s="440"/>
      <c r="F9" s="440"/>
      <c r="G9" s="440"/>
      <c r="H9" s="440"/>
      <c r="I9" s="440"/>
      <c r="J9" s="440"/>
      <c r="K9" s="440"/>
    </row>
    <row r="10" spans="2:11" x14ac:dyDescent="0.35">
      <c r="B10" s="138" t="s">
        <v>117</v>
      </c>
      <c r="C10" s="147"/>
      <c r="D10" s="147"/>
      <c r="E10" s="147"/>
      <c r="F10" s="147" t="s">
        <v>130</v>
      </c>
      <c r="G10" s="147" t="s">
        <v>130</v>
      </c>
      <c r="H10" s="147" t="s">
        <v>130</v>
      </c>
      <c r="I10" s="147" t="s">
        <v>126</v>
      </c>
      <c r="J10" s="145"/>
    </row>
    <row r="11" spans="2:11" x14ac:dyDescent="0.35">
      <c r="B11" s="136" t="s">
        <v>118</v>
      </c>
      <c r="C11" s="135"/>
      <c r="D11" s="146"/>
      <c r="E11" s="146"/>
      <c r="F11" s="135">
        <v>0.17</v>
      </c>
      <c r="G11" s="135">
        <v>0.01</v>
      </c>
      <c r="H11" s="135">
        <v>0.24</v>
      </c>
      <c r="I11" s="135">
        <v>0.11509999999999999</v>
      </c>
      <c r="J11" s="151"/>
    </row>
    <row r="12" spans="2:11" x14ac:dyDescent="0.35">
      <c r="B12" s="127" t="s">
        <v>119</v>
      </c>
      <c r="C12" s="135"/>
      <c r="D12" s="146"/>
      <c r="E12" s="146"/>
      <c r="F12" s="135">
        <v>0.17</v>
      </c>
      <c r="G12" s="135">
        <v>0.01</v>
      </c>
      <c r="H12" s="135">
        <v>0.24</v>
      </c>
      <c r="I12" s="135">
        <v>0.1013</v>
      </c>
      <c r="J12" s="151"/>
    </row>
    <row r="13" spans="2:11" x14ac:dyDescent="0.35">
      <c r="B13" s="127" t="s">
        <v>120</v>
      </c>
      <c r="C13" s="135"/>
      <c r="D13" s="146"/>
      <c r="E13" s="146"/>
      <c r="F13" s="135">
        <v>0.17</v>
      </c>
      <c r="G13" s="135">
        <v>0.02</v>
      </c>
      <c r="H13" s="135">
        <v>0.25</v>
      </c>
      <c r="I13" s="135">
        <v>2.6800000000000001E-2</v>
      </c>
      <c r="J13" s="151"/>
    </row>
    <row r="14" spans="2:11" x14ac:dyDescent="0.35">
      <c r="B14" s="127" t="s">
        <v>122</v>
      </c>
      <c r="C14" s="135"/>
      <c r="D14" s="146"/>
      <c r="E14" s="146"/>
      <c r="F14" s="135">
        <v>0.17</v>
      </c>
      <c r="G14" s="135">
        <v>0.01</v>
      </c>
      <c r="H14" s="135">
        <v>0.24</v>
      </c>
      <c r="I14" s="135">
        <v>3.7499999999999999E-2</v>
      </c>
      <c r="J14" s="151"/>
    </row>
    <row r="15" spans="2:11" x14ac:dyDescent="0.35">
      <c r="B15" s="127" t="s">
        <v>125</v>
      </c>
      <c r="C15" s="135"/>
      <c r="D15" s="146"/>
      <c r="E15" s="146"/>
      <c r="F15" s="135">
        <v>0.04</v>
      </c>
      <c r="G15" s="135">
        <v>0.01</v>
      </c>
      <c r="H15" s="135">
        <v>7.0000000000000007E-2</v>
      </c>
      <c r="I15" s="149">
        <v>0.1709</v>
      </c>
      <c r="J15" s="148"/>
    </row>
    <row r="16" spans="2:11" x14ac:dyDescent="0.35">
      <c r="B16" s="127" t="s">
        <v>127</v>
      </c>
      <c r="C16" s="150"/>
      <c r="D16" s="146"/>
      <c r="E16" s="146"/>
      <c r="F16" s="135">
        <v>0.04</v>
      </c>
      <c r="G16" s="150">
        <v>0.01</v>
      </c>
      <c r="H16" s="135">
        <v>7.0000000000000007E-2</v>
      </c>
      <c r="I16" s="149">
        <v>6.5500000000000003E-2</v>
      </c>
      <c r="J16" s="148"/>
    </row>
    <row r="17" spans="2:10" x14ac:dyDescent="0.35">
      <c r="B17" s="127" t="s">
        <v>129</v>
      </c>
      <c r="C17" s="146"/>
      <c r="D17" s="146"/>
      <c r="E17" s="146"/>
      <c r="F17" s="146"/>
      <c r="G17" s="153">
        <v>1.3599999999999999E-2</v>
      </c>
      <c r="H17" s="150">
        <v>0.18420000000000003</v>
      </c>
      <c r="I17" s="149"/>
      <c r="J17" s="148"/>
    </row>
  </sheetData>
  <mergeCells count="4">
    <mergeCell ref="G3:H3"/>
    <mergeCell ref="B2:K2"/>
    <mergeCell ref="I3:K3"/>
    <mergeCell ref="B9:K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25</vt:i4>
      </vt:variant>
      <vt:variant>
        <vt:lpstr>Intervalos Nomeados</vt:lpstr>
      </vt:variant>
      <vt:variant>
        <vt:i4>1</vt:i4>
      </vt:variant>
    </vt:vector>
  </HeadingPairs>
  <TitlesOfParts>
    <vt:vector size="26" baseType="lpstr">
      <vt:lpstr>2013</vt:lpstr>
      <vt:lpstr>2014</vt:lpstr>
      <vt:lpstr>2015</vt:lpstr>
      <vt:lpstr>2016</vt:lpstr>
      <vt:lpstr>2017</vt:lpstr>
      <vt:lpstr>Cotação Média LME</vt:lpstr>
      <vt:lpstr>Dolar Medio</vt:lpstr>
      <vt:lpstr>LME Média</vt:lpstr>
      <vt:lpstr>Cotação Dolar</vt:lpstr>
      <vt:lpstr>2018</vt:lpstr>
      <vt:lpstr>2019</vt:lpstr>
      <vt:lpstr>Planilha3</vt:lpstr>
      <vt:lpstr>2020</vt:lpstr>
      <vt:lpstr>Planilha2</vt:lpstr>
      <vt:lpstr>2022</vt:lpstr>
      <vt:lpstr>2021</vt:lpstr>
      <vt:lpstr>2023</vt:lpstr>
      <vt:lpstr>2024</vt:lpstr>
      <vt:lpstr>2025</vt:lpstr>
      <vt:lpstr>2026</vt:lpstr>
      <vt:lpstr>Impacto liga LME</vt:lpstr>
      <vt:lpstr>Impacto tabela TM</vt:lpstr>
      <vt:lpstr>Planilha1</vt:lpstr>
      <vt:lpstr>Plan1</vt:lpstr>
      <vt:lpstr>Plan2</vt:lpstr>
      <vt:lpstr>'Cotação Média LME'!Area_de_impressao</vt:lpstr>
    </vt:vector>
  </TitlesOfParts>
  <Company>DOCOL METAIS SANITARIOS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Zattar de Oliveira</dc:creator>
  <cp:lastModifiedBy>Cleusa Tereza Back Dalfovo</cp:lastModifiedBy>
  <cp:lastPrinted>2020-10-20T12:05:39Z</cp:lastPrinted>
  <dcterms:created xsi:type="dcterms:W3CDTF">2014-02-10T15:28:44Z</dcterms:created>
  <dcterms:modified xsi:type="dcterms:W3CDTF">2026-01-27T13:02:39Z</dcterms:modified>
</cp:coreProperties>
</file>